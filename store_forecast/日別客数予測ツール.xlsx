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い方" sheetId="1" state="visible" r:id="rId3"/>
    <sheet name="予測" sheetId="2" state="visible" r:id="rId4"/>
    <sheet name="時間帯別予測" sheetId="3" state="visible" r:id="rId5"/>
    <sheet name="設定" sheetId="4" state="visible" r:id="rId6"/>
    <sheet name="先月データ" sheetId="5" state="visible" r:id="rId7"/>
    <sheet name="先々月データ" sheetId="6" state="visible" r:id="rId8"/>
    <sheet name="祝日" sheetId="7" state="visible" r:id="rId9"/>
    <sheet name="集計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7" authorId="0">
      <text>
        <r>
          <rPr>
            <sz val="10"/>
            <rFont val="Arial"/>
            <family val="2"/>
          </rPr>
          <t xml:space="preserve">1.00=</t>
        </r>
        <r>
          <rPr>
            <sz val="10"/>
            <rFont val="WenQuanYi Zen Hei"/>
            <family val="2"/>
          </rPr>
          <t xml:space="preserve">補正なし。</t>
        </r>
        <r>
          <rPr>
            <sz val="10"/>
            <rFont val="Arial"/>
            <family val="2"/>
          </rPr>
          <t xml:space="preserve">1.20=2</t>
        </r>
        <r>
          <rPr>
            <sz val="10"/>
            <rFont val="WenQuanYi Zen Hei"/>
            <family val="2"/>
          </rPr>
          <t xml:space="preserve">割増、</t>
        </r>
        <r>
          <rPr>
            <sz val="10"/>
            <rFont val="Arial"/>
            <family val="2"/>
          </rPr>
          <t xml:space="preserve">0.80=2</t>
        </r>
        <r>
          <rPr>
            <sz val="10"/>
            <rFont val="WenQuanYi Zen Hei"/>
            <family val="2"/>
          </rPr>
          <t xml:space="preserve">割減。空欄にすると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扱い（休業日）になります。</t>
        </r>
      </text>
    </comment>
  </commentList>
</comments>
</file>

<file path=xl/sharedStrings.xml><?xml version="1.0" encoding="utf-8"?>
<sst xmlns="http://schemas.openxmlformats.org/spreadsheetml/2006/main" count="180" uniqueCount="115">
  <si>
    <t xml:space="preserve">日別客数予測ツール</t>
  </si>
  <si>
    <r>
      <rPr>
        <b val="true"/>
        <sz val="10"/>
        <rFont val="WenQuanYi Zen Hei"/>
        <family val="2"/>
      </rPr>
      <t xml:space="preserve">■ 毎月の使い方（</t>
    </r>
    <r>
      <rPr>
        <b val="true"/>
        <sz val="10"/>
        <rFont val="Meiryo UI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ステップ）</t>
    </r>
  </si>
  <si>
    <r>
      <rPr>
        <sz val="10"/>
        <rFont val="WenQuanYi Zen Hei"/>
        <family val="2"/>
      </rPr>
      <t xml:space="preserve">① 「先月データ」シートの</t>
    </r>
    <r>
      <rPr>
        <sz val="10"/>
        <rFont val="Meiryo UI"/>
        <family val="0"/>
        <charset val="1"/>
      </rPr>
      <t xml:space="preserve">A1</t>
    </r>
    <r>
      <rPr>
        <sz val="10"/>
        <rFont val="WenQuanYi Zen Hei"/>
        <family val="2"/>
      </rPr>
      <t xml:space="preserve">を選択 → 先月の時間帯別売上実績表（見出し行ごと）を貼り付け</t>
    </r>
  </si>
  <si>
    <r>
      <rPr>
        <sz val="10"/>
        <rFont val="WenQuanYi Zen Hei"/>
        <family val="2"/>
      </rPr>
      <t xml:space="preserve">② 「先々月データ」シートの</t>
    </r>
    <r>
      <rPr>
        <sz val="10"/>
        <rFont val="Meiryo UI"/>
        <family val="0"/>
        <charset val="1"/>
      </rPr>
      <t xml:space="preserve">A1</t>
    </r>
    <r>
      <rPr>
        <sz val="10"/>
        <rFont val="WenQuanYi Zen Hei"/>
        <family val="2"/>
      </rPr>
      <t xml:space="preserve">を選択 → 先々月の時間帯別売上実績表を貼り付け</t>
    </r>
  </si>
  <si>
    <r>
      <rPr>
        <sz val="10"/>
        <rFont val="WenQuanYi Zen Hei"/>
        <family val="2"/>
      </rPr>
      <t xml:space="preserve">   ※ 貼り付け前に、前回のデータを </t>
    </r>
    <r>
      <rPr>
        <sz val="10"/>
        <rFont val="Meiryo UI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X </t>
    </r>
    <r>
      <rPr>
        <sz val="10"/>
        <rFont val="WenQuanYi Zen Hei"/>
        <family val="2"/>
      </rPr>
      <t xml:space="preserve">列ごと削除してください（</t>
    </r>
    <r>
      <rPr>
        <sz val="10"/>
        <rFont val="Meiryo UI"/>
        <family val="0"/>
        <charset val="1"/>
      </rPr>
      <t xml:space="preserve">Z</t>
    </r>
    <r>
      <rPr>
        <sz val="10"/>
        <rFont val="WenQuanYi Zen Hei"/>
        <family val="2"/>
      </rPr>
      <t xml:space="preserve">列の自動計算列は消さない）</t>
    </r>
  </si>
  <si>
    <t xml:space="preserve">③ 「予測」シートに当月（先月の翌月）の日別予測客数が表示されます。「時間帯別予測」はシフト作成用</t>
  </si>
  <si>
    <t xml:space="preserve">   必要に応じて「予測」シートの黄色セル（日別補正）にイベント・天候などの倍率を入力</t>
  </si>
  <si>
    <t xml:space="preserve">■ 予測の考え方</t>
  </si>
  <si>
    <r>
      <rPr>
        <b val="true"/>
        <sz val="10"/>
        <rFont val="WenQuanYi Zen Hei"/>
        <family val="2"/>
      </rPr>
      <t xml:space="preserve">予測客数 ＝ 日タイプ別の基準客数 </t>
    </r>
    <r>
      <rPr>
        <b val="true"/>
        <sz val="10"/>
        <rFont val="Meiryo UI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季節係数 </t>
    </r>
    <r>
      <rPr>
        <b val="true"/>
        <sz val="10"/>
        <rFont val="Meiryo UI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トレンド係数 </t>
    </r>
    <r>
      <rPr>
        <b val="true"/>
        <sz val="10"/>
        <rFont val="Meiryo UI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日別補正</t>
    </r>
  </si>
  <si>
    <r>
      <rPr>
        <sz val="10"/>
        <rFont val="WenQuanYi Zen Hei"/>
        <family val="2"/>
      </rPr>
      <t xml:space="preserve">・日タイプ：月〜日の曜日 ＋「祝」（祝日シートに載っている日）の</t>
    </r>
    <r>
      <rPr>
        <sz val="10"/>
        <rFont val="Meiryo UI"/>
        <family val="0"/>
        <charset val="1"/>
      </rPr>
      <t xml:space="preserve">8</t>
    </r>
    <r>
      <rPr>
        <sz val="10"/>
        <rFont val="WenQuanYi Zen Hei"/>
        <family val="2"/>
      </rPr>
      <t xml:space="preserve">区分。焼肉業態は曜日差が非常に大きいため、まず曜日で分けるのが最重要</t>
    </r>
  </si>
  <si>
    <r>
      <rPr>
        <sz val="10"/>
        <rFont val="WenQuanYi Zen Hei"/>
        <family val="2"/>
      </rPr>
      <t xml:space="preserve">・基準客数：先月・先々月それぞれの日タイプ別平均客数を、重み（先月</t>
    </r>
    <r>
      <rPr>
        <sz val="10"/>
        <rFont val="Meiryo UI"/>
        <family val="0"/>
        <charset val="1"/>
      </rPr>
      <t xml:space="preserve">0.6</t>
    </r>
    <r>
      <rPr>
        <sz val="10"/>
        <rFont val="WenQuanYi Zen Hei"/>
        <family val="2"/>
      </rPr>
      <t xml:space="preserve">／先々月</t>
    </r>
    <r>
      <rPr>
        <sz val="10"/>
        <rFont val="Meiryo UI"/>
        <family val="0"/>
        <charset val="1"/>
      </rPr>
      <t xml:space="preserve">0.4</t>
    </r>
    <r>
      <rPr>
        <sz val="10"/>
        <rFont val="WenQuanYi Zen Hei"/>
        <family val="2"/>
      </rPr>
      <t xml:space="preserve">）で加重平均。客数</t>
    </r>
    <r>
      <rPr>
        <sz val="10"/>
        <rFont val="Meiryo UI"/>
        <family val="0"/>
        <charset val="1"/>
      </rPr>
      <t xml:space="preserve">0</t>
    </r>
    <r>
      <rPr>
        <sz val="10"/>
        <rFont val="WenQuanYi Zen Hei"/>
        <family val="2"/>
      </rPr>
      <t xml:space="preserve">の日は休業日として除外</t>
    </r>
  </si>
  <si>
    <r>
      <rPr>
        <sz val="10"/>
        <rFont val="WenQuanYi Zen Hei"/>
        <family val="2"/>
      </rPr>
      <t xml:space="preserve">   祝日が過去</t>
    </r>
    <r>
      <rPr>
        <sz val="10"/>
        <rFont val="Meiryo UI"/>
        <family val="0"/>
        <charset val="1"/>
      </rPr>
      <t xml:space="preserve">2</t>
    </r>
    <r>
      <rPr>
        <sz val="10"/>
        <rFont val="WenQuanYi Zen Hei"/>
        <family val="2"/>
      </rPr>
      <t xml:space="preserve">カ月に無い場合は日曜の値、データが全く無いタイプは全体平均で代用</t>
    </r>
  </si>
  <si>
    <t xml:space="preserve">・季節係数：「設定」に前年当月の客数合計を入れると、前年の『先月・先々月 → 当月』の伸び率で補正（お盆・年末などの季節変動を反映）</t>
  </si>
  <si>
    <t xml:space="preserve">・トレンド係数：販促・値上げ・競合出店など全体的な上げ下げを手入力（参考に前年比を表示）</t>
  </si>
  <si>
    <t xml:space="preserve">・日別補正：給料日後の週末、地域イベント、雨予報など、その日だけの要因</t>
  </si>
  <si>
    <r>
      <rPr>
        <sz val="10"/>
        <rFont val="WenQuanYi Zen Hei"/>
        <family val="2"/>
      </rPr>
      <t xml:space="preserve">・時間帯別：日予測 </t>
    </r>
    <r>
      <rPr>
        <sz val="10"/>
        <rFont val="Meiryo UI"/>
        <family val="0"/>
        <charset val="1"/>
      </rPr>
      <t xml:space="preserve">× </t>
    </r>
    <r>
      <rPr>
        <sz val="10"/>
        <rFont val="WenQuanYi Zen Hei"/>
        <family val="2"/>
      </rPr>
      <t xml:space="preserve">同じ日タイプの時刻別構成比（過去</t>
    </r>
    <r>
      <rPr>
        <sz val="10"/>
        <rFont val="Meiryo UI"/>
        <family val="0"/>
        <charset val="1"/>
      </rPr>
      <t xml:space="preserve">2</t>
    </r>
    <r>
      <rPr>
        <sz val="10"/>
        <rFont val="WenQuanYi Zen Hei"/>
        <family val="2"/>
      </rPr>
      <t xml:space="preserve">カ月の平均）</t>
    </r>
  </si>
  <si>
    <r>
      <rPr>
        <sz val="10"/>
        <rFont val="WenQuanYi Zen Hei"/>
        <family val="2"/>
      </rPr>
      <t xml:space="preserve">・予測売上：予測客数 </t>
    </r>
    <r>
      <rPr>
        <sz val="10"/>
        <rFont val="Meiryo UI"/>
        <family val="0"/>
        <charset val="1"/>
      </rPr>
      <t xml:space="preserve">× </t>
    </r>
    <r>
      <rPr>
        <sz val="10"/>
        <rFont val="WenQuanYi Zen Hei"/>
        <family val="2"/>
      </rPr>
      <t xml:space="preserve">日タイプ別の客単価（加重平均）</t>
    </r>
  </si>
  <si>
    <t xml:space="preserve">■ シート一覧</t>
  </si>
  <si>
    <t xml:space="preserve">予測／時間帯別予測：結果　設定：重み・係数（黄色が入力欄）　先月データ／先々月データ：貼り付け先　祝日：祝日・特異日リスト　集計：内部計算</t>
  </si>
  <si>
    <t xml:space="preserve">■ 色の意味</t>
  </si>
  <si>
    <t xml:space="preserve">黄色背景・青字＝入力してよいセル　／　それ以外＝自動計算（触らない）</t>
  </si>
  <si>
    <t xml:space="preserve">月間予測客数</t>
  </si>
  <si>
    <r>
      <rPr>
        <sz val="9"/>
        <color rgb="FF595959"/>
        <rFont val="WenQuanYi Zen Hei"/>
        <family val="2"/>
      </rPr>
      <t xml:space="preserve">黄色の「日別補正」に、イベント・天候・販促などの影響を倍率で入力（例：雨予報</t>
    </r>
    <r>
      <rPr>
        <sz val="9"/>
        <color rgb="FF595959"/>
        <rFont val="Meiryo UI"/>
        <family val="0"/>
        <charset val="1"/>
      </rPr>
      <t xml:space="preserve">0.9</t>
    </r>
    <r>
      <rPr>
        <sz val="9"/>
        <color rgb="FF595959"/>
        <rFont val="WenQuanYi Zen Hei"/>
        <family val="2"/>
      </rPr>
      <t xml:space="preserve">、地域祭り</t>
    </r>
    <r>
      <rPr>
        <sz val="9"/>
        <color rgb="FF595959"/>
        <rFont val="Meiryo UI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）</t>
    </r>
  </si>
  <si>
    <t xml:space="preserve">月間予測売上</t>
  </si>
  <si>
    <t xml:space="preserve">先月実績客数</t>
  </si>
  <si>
    <r>
      <rPr>
        <b val="true"/>
        <sz val="10"/>
        <rFont val="WenQuanYi Zen Hei"/>
        <family val="2"/>
      </rPr>
      <t xml:space="preserve">先月比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客数</t>
    </r>
    <r>
      <rPr>
        <b val="true"/>
        <sz val="10"/>
        <rFont val="Meiryo UI"/>
        <family val="0"/>
        <charset val="1"/>
      </rPr>
      <t xml:space="preserve">)</t>
    </r>
  </si>
  <si>
    <t xml:space="preserve">日付</t>
  </si>
  <si>
    <t xml:space="preserve">曜日</t>
  </si>
  <si>
    <t xml:space="preserve">日タイプ</t>
  </si>
  <si>
    <t xml:space="preserve">基準客数</t>
  </si>
  <si>
    <t xml:space="preserve">季節係数</t>
  </si>
  <si>
    <t xml:space="preserve">トレンド係数</t>
  </si>
  <si>
    <t xml:space="preserve">日別補正</t>
  </si>
  <si>
    <t xml:space="preserve">予測客数</t>
  </si>
  <si>
    <t xml:space="preserve">予測売上</t>
  </si>
  <si>
    <t xml:space="preserve">メモ</t>
  </si>
  <si>
    <t xml:space="preserve">合計</t>
  </si>
  <si>
    <r>
      <rPr>
        <sz val="9"/>
        <color rgb="FF595959"/>
        <rFont val="WenQuanYi Zen Hei"/>
        <family val="2"/>
      </rPr>
      <t xml:space="preserve">日別予測客数 </t>
    </r>
    <r>
      <rPr>
        <sz val="9"/>
        <color rgb="FF595959"/>
        <rFont val="Meiryo UI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日タイプ別の時刻構成比（集計シート）。小数は四捨五入表示のため、合計が日別予測と</t>
    </r>
    <r>
      <rPr>
        <sz val="9"/>
        <color rgb="FF595959"/>
        <rFont val="Meiryo UI"/>
        <family val="0"/>
        <charset val="1"/>
      </rPr>
      <t xml:space="preserve">±</t>
    </r>
    <r>
      <rPr>
        <sz val="9"/>
        <color rgb="FF595959"/>
        <rFont val="WenQuanYi Zen Hei"/>
        <family val="2"/>
      </rPr>
      <t xml:space="preserve">数名ずれることがあります。</t>
    </r>
  </si>
  <si>
    <t xml:space="preserve">タイプ</t>
  </si>
  <si>
    <t xml:space="preserve">日予測</t>
  </si>
  <si>
    <t xml:space="preserve">設定</t>
  </si>
  <si>
    <t xml:space="preserve">先月（データから自動判定）</t>
  </si>
  <si>
    <r>
      <rPr>
        <sz val="9"/>
        <color rgb="FF595959"/>
        <rFont val="WenQuanYi Zen Hei"/>
        <family val="2"/>
      </rPr>
      <t xml:space="preserve">先月データの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行目の日付から自動判定</t>
    </r>
  </si>
  <si>
    <t xml:space="preserve">先々月（データから自動判定）</t>
  </si>
  <si>
    <r>
      <rPr>
        <sz val="9"/>
        <color rgb="FF595959"/>
        <rFont val="WenQuanYi Zen Hei"/>
        <family val="2"/>
      </rPr>
      <t xml:space="preserve">先々月データの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行目の日付から自動判定</t>
    </r>
  </si>
  <si>
    <t xml:space="preserve">予測する月（当月）</t>
  </si>
  <si>
    <r>
      <rPr>
        <sz val="9"/>
        <color rgb="FF595959"/>
        <rFont val="WenQuanYi Zen Hei"/>
        <family val="2"/>
      </rPr>
      <t xml:space="preserve">通常は先月の翌月（自動）。別の月にしたい場合は </t>
    </r>
    <r>
      <rPr>
        <sz val="9"/>
        <color rgb="FF595959"/>
        <rFont val="Meiryo UI"/>
        <family val="0"/>
        <charset val="1"/>
      </rPr>
      <t xml:space="preserve">2026/11/1 </t>
    </r>
    <r>
      <rPr>
        <sz val="9"/>
        <color rgb="FF595959"/>
        <rFont val="WenQuanYi Zen Hei"/>
        <family val="2"/>
      </rPr>
      <t xml:space="preserve">のように月初日を直接入力</t>
    </r>
  </si>
  <si>
    <t xml:space="preserve">当月の日数</t>
  </si>
  <si>
    <t xml:space="preserve">▼ 重み・補正</t>
  </si>
  <si>
    <t xml:space="preserve">先月の重み</t>
  </si>
  <si>
    <r>
      <rPr>
        <sz val="9"/>
        <color rgb="FF595959"/>
        <rFont val="WenQuanYi Zen Hei"/>
        <family val="2"/>
      </rPr>
      <t xml:space="preserve">直近ほど重視。先々月と合計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でなくても</t>
    </r>
    <r>
      <rPr>
        <sz val="9"/>
        <color rgb="FF595959"/>
        <rFont val="Meiryo UI"/>
        <family val="0"/>
        <charset val="1"/>
      </rPr>
      <t xml:space="preserve">OK</t>
    </r>
    <r>
      <rPr>
        <sz val="9"/>
        <color rgb="FF595959"/>
        <rFont val="WenQuanYi Zen Hei"/>
        <family val="2"/>
      </rPr>
      <t xml:space="preserve">（比率で按分）</t>
    </r>
  </si>
  <si>
    <t xml:space="preserve">先々月の重み</t>
  </si>
  <si>
    <r>
      <rPr>
        <sz val="9"/>
        <color rgb="FF595959"/>
        <rFont val="WenQuanYi Zen Hei"/>
        <family val="2"/>
      </rPr>
      <t xml:space="preserve">全体の上げ下げ。例：販促・値上げで</t>
    </r>
    <r>
      <rPr>
        <sz val="9"/>
        <color rgb="FF595959"/>
        <rFont val="Meiryo UI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増を見込む→</t>
    </r>
    <r>
      <rPr>
        <sz val="9"/>
        <color rgb="FF595959"/>
        <rFont val="Meiryo UI"/>
        <family val="0"/>
        <charset val="1"/>
      </rPr>
      <t xml:space="preserve">1.05</t>
    </r>
    <r>
      <rPr>
        <sz val="9"/>
        <color rgb="FF595959"/>
        <rFont val="WenQuanYi Zen Hei"/>
        <family val="2"/>
      </rPr>
      <t xml:space="preserve">。下の参考値（前年比）も判断材料に</t>
    </r>
  </si>
  <si>
    <t xml:space="preserve">前年当月の客数合計（任意）</t>
  </si>
  <si>
    <r>
      <rPr>
        <sz val="9"/>
        <color rgb="FF595959"/>
        <rFont val="WenQuanYi Zen Hei"/>
        <family val="2"/>
      </rPr>
      <t xml:space="preserve">入力すると季節係数を自動計算。空欄なら季節係数</t>
    </r>
    <r>
      <rPr>
        <sz val="9"/>
        <color rgb="FF595959"/>
        <rFont val="Meiryo UI"/>
        <family val="0"/>
        <charset val="1"/>
      </rPr>
      <t xml:space="preserve">=1</t>
    </r>
  </si>
  <si>
    <t xml:space="preserve">季節係数（自動）</t>
  </si>
  <si>
    <r>
      <rPr>
        <sz val="9"/>
        <color rgb="FF595959"/>
        <rFont val="WenQuanYi Zen Hei"/>
        <family val="2"/>
      </rPr>
      <t xml:space="preserve">＝前年当月の日平均 </t>
    </r>
    <r>
      <rPr>
        <sz val="9"/>
        <color rgb="FF595959"/>
        <rFont val="Meiryo UI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前年の先月・先々月の日平均（重み付き）</t>
    </r>
  </si>
  <si>
    <t xml:space="preserve">▼ 判断材料</t>
  </si>
  <si>
    <t xml:space="preserve">【参考】先月 客数前年比</t>
  </si>
  <si>
    <r>
      <rPr>
        <sz val="9"/>
        <color rgb="FF595959"/>
        <rFont val="WenQuanYi Zen Hei"/>
        <family val="2"/>
      </rPr>
      <t xml:space="preserve">当年客数 </t>
    </r>
    <r>
      <rPr>
        <sz val="9"/>
        <color rgb="FF595959"/>
        <rFont val="Meiryo UI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前年客数</t>
    </r>
  </si>
  <si>
    <t xml:space="preserve">【参考】先々月 客数前年比</t>
  </si>
  <si>
    <t xml:space="preserve">【参考】先月 日平均客数</t>
  </si>
  <si>
    <t xml:space="preserve">【参考】先々月 日平均客数</t>
  </si>
  <si>
    <t xml:space="preserve">データチェック</t>
  </si>
  <si>
    <t xml:space="preserve">黄色セル＝入力欄（青字）。その他は自動計算です。</t>
  </si>
  <si>
    <r>
      <rPr>
        <b val="true"/>
        <sz val="11"/>
        <color rgb="FFC00000"/>
        <rFont val="Meiryo UI"/>
        <family val="0"/>
        <charset val="1"/>
      </rPr>
      <t xml:space="preserve">← A1</t>
    </r>
    <r>
      <rPr>
        <b val="true"/>
        <sz val="11"/>
        <color rgb="FFC00000"/>
        <rFont val="WenQuanYi Zen Hei"/>
        <family val="2"/>
      </rPr>
      <t xml:space="preserve">セルを選択して、先月の「時間帯別売上実績表」を見出し行ごと貼り付けてください</t>
    </r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</si>
  <si>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</t>
    </r>
    <r>
      <rPr>
        <b val="true"/>
        <sz val="10"/>
        <rFont val="Meiryo UI"/>
        <family val="0"/>
        <charset val="1"/>
      </rPr>
      <t xml:space="preserve">)</t>
    </r>
  </si>
  <si>
    <r>
      <rPr>
        <b val="true"/>
        <sz val="11"/>
        <color rgb="FFC00000"/>
        <rFont val="Meiryo UI"/>
        <family val="0"/>
        <charset val="1"/>
      </rPr>
      <t xml:space="preserve">← A1</t>
    </r>
    <r>
      <rPr>
        <b val="true"/>
        <sz val="11"/>
        <color rgb="FFC00000"/>
        <rFont val="WenQuanYi Zen Hei"/>
        <family val="2"/>
      </rPr>
      <t xml:space="preserve">セルを選択して、先々月の「時間帯別売上実績表」を見出し行ごと貼り付けてください</t>
    </r>
  </si>
  <si>
    <t xml:space="preserve">名称</t>
  </si>
  <si>
    <t xml:space="preserve">祝日扱いにしたい日（お盆・年末年始・地域イベント等）は、この表の下に日付を追加してください。</t>
  </si>
  <si>
    <t xml:space="preserve">元日</t>
  </si>
  <si>
    <t xml:space="preserve">成人の日</t>
  </si>
  <si>
    <t xml:space="preserve">建国記念の日</t>
  </si>
  <si>
    <t xml:space="preserve">天皇誕生日</t>
  </si>
  <si>
    <t xml:space="preserve">振替休日</t>
  </si>
  <si>
    <t xml:space="preserve">春分の日</t>
  </si>
  <si>
    <t xml:space="preserve">昭和の日</t>
  </si>
  <si>
    <t xml:space="preserve">憲法記念日</t>
  </si>
  <si>
    <t xml:space="preserve">みどりの日</t>
  </si>
  <si>
    <t xml:space="preserve">こどもの日</t>
  </si>
  <si>
    <t xml:space="preserve">海の日</t>
  </si>
  <si>
    <t xml:space="preserve">山の日</t>
  </si>
  <si>
    <t xml:space="preserve">敬老の日</t>
  </si>
  <si>
    <t xml:space="preserve">秋分の日</t>
  </si>
  <si>
    <t xml:space="preserve">スポーツの日</t>
  </si>
  <si>
    <t xml:space="preserve">文化の日</t>
  </si>
  <si>
    <t xml:space="preserve">勤労感謝の日</t>
  </si>
  <si>
    <t xml:space="preserve">国民の休日</t>
  </si>
  <si>
    <t xml:space="preserve">集計（自動計算・編集不要）</t>
  </si>
  <si>
    <t xml:space="preserve">日</t>
  </si>
  <si>
    <t xml:space="preserve">先月 日付</t>
  </si>
  <si>
    <t xml:space="preserve">客数</t>
  </si>
  <si>
    <t xml:space="preserve">売上</t>
  </si>
  <si>
    <t xml:space="preserve">前年客数</t>
  </si>
  <si>
    <t xml:space="preserve">先々月 日付</t>
  </si>
  <si>
    <r>
      <rPr>
        <b val="true"/>
        <sz val="10"/>
        <rFont val="WenQuanYi Zen Hei"/>
        <family val="2"/>
      </rPr>
      <t xml:space="preserve">日タイプ別 基準値（客数</t>
    </r>
    <r>
      <rPr>
        <b val="true"/>
        <sz val="10"/>
        <rFont val="Meiryo UI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の日＝休業日は除外）</t>
    </r>
  </si>
  <si>
    <t xml:space="preserve">先月 日数</t>
  </si>
  <si>
    <t xml:space="preserve">先月 平均客数</t>
  </si>
  <si>
    <t xml:space="preserve">先々月 日数</t>
  </si>
  <si>
    <t xml:space="preserve">先々月 平均客数</t>
  </si>
  <si>
    <t xml:space="preserve">重み付け平均</t>
  </si>
  <si>
    <t xml:space="preserve">採用基準客数</t>
  </si>
  <si>
    <t xml:space="preserve">先月 客単価</t>
  </si>
  <si>
    <t xml:space="preserve">先々月 客単価</t>
  </si>
  <si>
    <t xml:space="preserve">採用客単価</t>
  </si>
  <si>
    <t xml:space="preserve">月</t>
  </si>
  <si>
    <t xml:space="preserve">火</t>
  </si>
  <si>
    <t xml:space="preserve">水</t>
  </si>
  <si>
    <t xml:space="preserve">木</t>
  </si>
  <si>
    <t xml:space="preserve">金</t>
  </si>
  <si>
    <t xml:space="preserve">土</t>
  </si>
  <si>
    <t xml:space="preserve">祝</t>
  </si>
  <si>
    <t xml:space="preserve">全体平均</t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</si>
  <si>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時刻の構成比（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日の客数に占める割合）  ※時刻は見出しを書き換え可</t>
    </r>
  </si>
  <si>
    <r>
      <rPr>
        <sz val="9"/>
        <color rgb="FF808080"/>
        <rFont val="WenQuanYi Zen Hei"/>
        <family val="2"/>
      </rPr>
      <t xml:space="preserve">（計算用）日タイプ</t>
    </r>
    <r>
      <rPr>
        <sz val="9"/>
        <color rgb="FF808080"/>
        <rFont val="Meiryo UI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時刻の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日あたり平均客数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</si>
</sst>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0.0%"/>
    <numFmt numFmtId="167" formatCode="m/d"/>
    <numFmt numFmtId="168" formatCode="#,##0.0"/>
    <numFmt numFmtId="169" formatCode="0.000"/>
    <numFmt numFmtId="170" formatCode="0.00"/>
    <numFmt numFmtId="171" formatCode="0\時"/>
    <numFmt numFmtId="172" formatCode="m/d\(AAA\)"/>
    <numFmt numFmtId="173" formatCode="0"/>
    <numFmt numFmtId="174" formatCode="yyyy\年m\月"/>
    <numFmt numFmtId="175" formatCode="yyyy/mm/dd\(AAA\)"/>
    <numFmt numFmtId="176" formatCode="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Meiryo UI"/>
      <family val="0"/>
      <charset val="1"/>
    </font>
    <font>
      <b val="true"/>
      <sz val="10"/>
      <name val="WenQuanYi Zen Hei"/>
      <family val="2"/>
    </font>
    <font>
      <b val="true"/>
      <sz val="10"/>
      <name val="Meiryo UI"/>
      <family val="0"/>
      <charset val="1"/>
    </font>
    <font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Meiryo UI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Meiryo UI"/>
      <family val="0"/>
      <charset val="1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FFFFFF"/>
      <name val="Meiryo UI"/>
      <family val="0"/>
      <charset val="1"/>
    </font>
    <font>
      <b val="true"/>
      <sz val="11"/>
      <color rgb="FFC00000"/>
      <name val="Meiryo UI"/>
      <family val="0"/>
      <charset val="1"/>
    </font>
    <font>
      <b val="true"/>
      <sz val="11"/>
      <color rgb="FFC00000"/>
      <name val="WenQuanYi Zen Hei"/>
      <family val="2"/>
    </font>
    <font>
      <sz val="9"/>
      <color rgb="FF808080"/>
      <name val="Meiryo UI"/>
      <family val="0"/>
      <charset val="1"/>
    </font>
    <font>
      <sz val="9"/>
      <color rgb="FF80808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44546A"/>
        <bgColor rgb="FF595959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D9D9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0070C0"/>
      </font>
    </dxf>
    <dxf>
      <font>
        <b val="1"/>
        <color rgb="FFC00000"/>
      </font>
    </dxf>
    <dxf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993366"/>
      <rgbColor rgb="FFFFF2CC"/>
      <rgbColor rgb="FFEDEDED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70AD47"/>
      <rgbColor rgb="FFFFC000"/>
      <rgbColor rgb="FFFF9900"/>
      <rgbColor rgb="FFFF6600"/>
      <rgbColor rgb="FF595959"/>
      <rgbColor rgb="FF878787"/>
      <rgbColor rgb="FF003366"/>
      <rgbColor rgb="FF4F81BD"/>
      <rgbColor rgb="FF003300"/>
      <rgbColor rgb="FF333300"/>
      <rgbColor rgb="FF993300"/>
      <rgbColor rgb="FF993366"/>
      <rgbColor rgb="FF44546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日別 予測客数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予測!H7</c:f>
              <c:strCache>
                <c:ptCount val="1"/>
                <c:pt idx="0">
                  <c:v>予測客数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予測!$A$8:$A$38</c:f>
              <c:strCache>
                <c:ptCount val="31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予測!$H$8:$H$38</c:f>
              <c:numCache>
                <c:formatCode>General</c:formatCode>
                <c:ptCount val="31"/>
              </c:numCache>
            </c:numRef>
          </c:val>
        </c:ser>
        <c:gapWidth val="150"/>
        <c:overlap val="0"/>
        <c:axId val="15357811"/>
        <c:axId val="56105940"/>
      </c:barChart>
      <c:catAx>
        <c:axId val="15357811"/>
        <c:scaling>
          <c:orientation val="minMax"/>
        </c:scaling>
        <c:delete val="0"/>
        <c:axPos val="b"/>
        <c:numFmt formatCode="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105940"/>
        <c:crosses val="autoZero"/>
        <c:auto val="1"/>
        <c:lblAlgn val="ctr"/>
        <c:lblOffset val="100"/>
        <c:noMultiLvlLbl val="0"/>
      </c:catAx>
      <c:valAx>
        <c:axId val="561059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客数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3578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5</xdr:row>
      <xdr:rowOff>160560</xdr:rowOff>
    </xdr:from>
    <xdr:to>
      <xdr:col>23</xdr:col>
      <xdr:colOff>581760</xdr:colOff>
      <xdr:row>22</xdr:row>
      <xdr:rowOff>11160</xdr:rowOff>
    </xdr:to>
    <xdr:graphicFrame>
      <xdr:nvGraphicFramePr>
        <xdr:cNvPr id="0" name="Chart 1"/>
        <xdr:cNvGraphicFramePr/>
      </xdr:nvGraphicFramePr>
      <xdr:xfrm>
        <a:off x="8646840" y="114300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2: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2"/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3" t="s">
        <v>8</v>
      </c>
    </row>
    <row r="13" customFormat="false" ht="26.85" hidden="false" customHeight="false" outlineLevel="0" collapsed="false">
      <c r="B13" s="4" t="s">
        <v>9</v>
      </c>
    </row>
    <row r="14" customFormat="false" ht="26.8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26.8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2"/>
    </row>
    <row r="22" customFormat="false" ht="15" hidden="false" customHeight="false" outlineLevel="0" collapsed="false">
      <c r="B22" s="3" t="s">
        <v>17</v>
      </c>
    </row>
    <row r="23" customFormat="false" ht="26.85" hidden="false" customHeight="false" outlineLevel="0" collapsed="false">
      <c r="B23" s="4" t="s">
        <v>18</v>
      </c>
    </row>
    <row r="24" customFormat="false" ht="15" hidden="false" customHeight="false" outlineLevel="0" collapsed="false">
      <c r="B24" s="2"/>
    </row>
    <row r="25" customFormat="false" ht="15" hidden="false" customHeight="false" outlineLevel="0" collapsed="false">
      <c r="B25" s="3" t="s">
        <v>19</v>
      </c>
    </row>
    <row r="26" customFormat="false" ht="15" hidden="false" customHeight="false" outlineLevel="0" collapsed="false">
      <c r="B26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J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28"/>
  </cols>
  <sheetData>
    <row r="1" customFormat="false" ht="17.35" hidden="false" customHeight="false" outlineLevel="0" collapsed="false">
      <c r="A1" s="5" t="str">
        <f aca="false">IF(設定!B5="","日別客数予測（先月データを貼り付けてください）",TEXT(設定!B5,"yyyy年m月")&amp;"　日別客数予測")</f>
        <v>日別客数予測（先月データを貼り付けてください）</v>
      </c>
    </row>
    <row r="2" customFormat="false" ht="15" hidden="false" customHeight="false" outlineLevel="0" collapsed="false">
      <c r="A2" s="6" t="str">
        <f aca="false">"データ: "&amp;設定!B19&amp;"　／　季節係数 "&amp;TEXT(設定!B13,"0.000")&amp;"　トレンド係数 "&amp;TEXT(設定!B11,"0.00")</f>
        <v>データ: 先月データ未貼付　／　季節係数 1.000　トレンド係数 1.00</v>
      </c>
    </row>
    <row r="3" customFormat="false" ht="15" hidden="false" customHeight="false" outlineLevel="0" collapsed="false">
      <c r="A3" s="7" t="s">
        <v>21</v>
      </c>
      <c r="B3" s="7"/>
      <c r="C3" s="7"/>
      <c r="D3" s="8" t="n">
        <f aca="false">SUM(H8:H38)</f>
        <v>0</v>
      </c>
      <c r="E3" s="8"/>
      <c r="G3" s="6" t="s">
        <v>22</v>
      </c>
    </row>
    <row r="4" customFormat="false" ht="15" hidden="false" customHeight="false" outlineLevel="0" collapsed="false">
      <c r="A4" s="7" t="s">
        <v>23</v>
      </c>
      <c r="B4" s="7"/>
      <c r="C4" s="7"/>
      <c r="D4" s="8" t="n">
        <f aca="false">SUM(I8:I38)</f>
        <v>0</v>
      </c>
      <c r="E4" s="8"/>
    </row>
    <row r="5" customFormat="false" ht="15" hidden="false" customHeight="false" outlineLevel="0" collapsed="false">
      <c r="A5" s="7" t="s">
        <v>24</v>
      </c>
      <c r="B5" s="7"/>
      <c r="C5" s="7"/>
      <c r="D5" s="8" t="n">
        <f aca="false">SUM(集計!D3:D33)</f>
        <v>0</v>
      </c>
      <c r="E5" s="8"/>
    </row>
    <row r="6" customFormat="false" ht="15" hidden="false" customHeight="false" outlineLevel="0" collapsed="false">
      <c r="A6" s="7" t="s">
        <v>25</v>
      </c>
      <c r="B6" s="7"/>
      <c r="C6" s="7"/>
      <c r="D6" s="9" t="str">
        <f aca="false">IFERROR(D3/D5,"")</f>
        <v/>
      </c>
      <c r="E6" s="9"/>
    </row>
    <row r="7" customFormat="false" ht="26.85" hidden="false" customHeight="false" outlineLevel="0" collapsed="false">
      <c r="A7" s="10" t="s">
        <v>26</v>
      </c>
      <c r="B7" s="10" t="s">
        <v>27</v>
      </c>
      <c r="C7" s="10" t="s">
        <v>28</v>
      </c>
      <c r="D7" s="10" t="s">
        <v>29</v>
      </c>
      <c r="E7" s="10" t="s">
        <v>30</v>
      </c>
      <c r="F7" s="10" t="s">
        <v>31</v>
      </c>
      <c r="G7" s="10" t="s">
        <v>32</v>
      </c>
      <c r="H7" s="10" t="s">
        <v>33</v>
      </c>
      <c r="I7" s="10" t="s">
        <v>34</v>
      </c>
      <c r="J7" s="10" t="s">
        <v>35</v>
      </c>
    </row>
    <row r="8" customFormat="false" ht="15" hidden="false" customHeight="false" outlineLevel="0" collapsed="false">
      <c r="A8" s="11" t="str">
        <f aca="false">IF(OR(設定!$B$5="",1&gt;設定!$B$6),"",設定!$B$5+0)</f>
        <v/>
      </c>
      <c r="B8" s="12" t="str">
        <f aca="false">IF(A8="","",CHOOSE(WEEKDAY(A8,2),"月","火","水","木","金","土","日"))</f>
        <v/>
      </c>
      <c r="C8" s="12" t="str">
        <f aca="false">IF(A8="","",IF(COUNTIF(祝日!$A:$A,A8)&gt;0,"祝",CHOOSE(WEEKDAY(A8,2),"月","火","水","木","金","土","日")))</f>
        <v/>
      </c>
      <c r="D8" s="13" t="str">
        <f aca="false">IF(A8="","",INDEX(集計!$G$37:$G$44,MATCH(C8,集計!$A$37:$A$44,0)))</f>
        <v/>
      </c>
      <c r="E8" s="14" t="str">
        <f aca="false">IF(A8="","",設定!$B$13)</f>
        <v/>
      </c>
      <c r="F8" s="15" t="str">
        <f aca="false">IF(A8="","",設定!$B$11)</f>
        <v/>
      </c>
      <c r="G8" s="16" t="n">
        <v>1</v>
      </c>
      <c r="H8" s="17" t="str">
        <f aca="false">IF(A8="","",ROUND(D8*E8*F8*N(G8),0))</f>
        <v/>
      </c>
      <c r="I8" s="18" t="str">
        <f aca="false">IF(A8="","",ROUND(H8*INDEX(集計!$J$37:$J$44,MATCH(C8,集計!$A$37:$A$44,0)),-2))</f>
        <v/>
      </c>
      <c r="J8" s="19"/>
    </row>
    <row r="9" customFormat="false" ht="15" hidden="false" customHeight="false" outlineLevel="0" collapsed="false">
      <c r="A9" s="11" t="str">
        <f aca="false">IF(OR(設定!$B$5="",2&gt;設定!$B$6),"",設定!$B$5+1)</f>
        <v/>
      </c>
      <c r="B9" s="12" t="str">
        <f aca="false">IF(A9="","",CHOOSE(WEEKDAY(A9,2),"月","火","水","木","金","土","日"))</f>
        <v/>
      </c>
      <c r="C9" s="12" t="str">
        <f aca="false">IF(A9="","",IF(COUNTIF(祝日!$A:$A,A9)&gt;0,"祝",CHOOSE(WEEKDAY(A9,2),"月","火","水","木","金","土","日")))</f>
        <v/>
      </c>
      <c r="D9" s="13" t="str">
        <f aca="false">IF(A9="","",INDEX(集計!$G$37:$G$44,MATCH(C9,集計!$A$37:$A$44,0)))</f>
        <v/>
      </c>
      <c r="E9" s="14" t="str">
        <f aca="false">IF(A9="","",設定!$B$13)</f>
        <v/>
      </c>
      <c r="F9" s="15" t="str">
        <f aca="false">IF(A9="","",設定!$B$11)</f>
        <v/>
      </c>
      <c r="G9" s="16" t="n">
        <v>1</v>
      </c>
      <c r="H9" s="17" t="str">
        <f aca="false">IF(A9="","",ROUND(D9*E9*F9*N(G9),0))</f>
        <v/>
      </c>
      <c r="I9" s="18" t="str">
        <f aca="false">IF(A9="","",ROUND(H9*INDEX(集計!$J$37:$J$44,MATCH(C9,集計!$A$37:$A$44,0)),-2))</f>
        <v/>
      </c>
      <c r="J9" s="19"/>
    </row>
    <row r="10" customFormat="false" ht="15" hidden="false" customHeight="false" outlineLevel="0" collapsed="false">
      <c r="A10" s="11" t="str">
        <f aca="false">IF(OR(設定!$B$5="",3&gt;設定!$B$6),"",設定!$B$5+2)</f>
        <v/>
      </c>
      <c r="B10" s="12" t="str">
        <f aca="false">IF(A10="","",CHOOSE(WEEKDAY(A10,2),"月","火","水","木","金","土","日"))</f>
        <v/>
      </c>
      <c r="C10" s="12" t="str">
        <f aca="false">IF(A10="","",IF(COUNTIF(祝日!$A:$A,A10)&gt;0,"祝",CHOOSE(WEEKDAY(A10,2),"月","火","水","木","金","土","日")))</f>
        <v/>
      </c>
      <c r="D10" s="13" t="str">
        <f aca="false">IF(A10="","",INDEX(集計!$G$37:$G$44,MATCH(C10,集計!$A$37:$A$44,0)))</f>
        <v/>
      </c>
      <c r="E10" s="14" t="str">
        <f aca="false">IF(A10="","",設定!$B$13)</f>
        <v/>
      </c>
      <c r="F10" s="15" t="str">
        <f aca="false">IF(A10="","",設定!$B$11)</f>
        <v/>
      </c>
      <c r="G10" s="16" t="n">
        <v>1</v>
      </c>
      <c r="H10" s="17" t="str">
        <f aca="false">IF(A10="","",ROUND(D10*E10*F10*N(G10),0))</f>
        <v/>
      </c>
      <c r="I10" s="18" t="str">
        <f aca="false">IF(A10="","",ROUND(H10*INDEX(集計!$J$37:$J$44,MATCH(C10,集計!$A$37:$A$44,0)),-2))</f>
        <v/>
      </c>
      <c r="J10" s="19"/>
    </row>
    <row r="11" customFormat="false" ht="15" hidden="false" customHeight="false" outlineLevel="0" collapsed="false">
      <c r="A11" s="11" t="str">
        <f aca="false">IF(OR(設定!$B$5="",4&gt;設定!$B$6),"",設定!$B$5+3)</f>
        <v/>
      </c>
      <c r="B11" s="12" t="str">
        <f aca="false">IF(A11="","",CHOOSE(WEEKDAY(A11,2),"月","火","水","木","金","土","日"))</f>
        <v/>
      </c>
      <c r="C11" s="12" t="str">
        <f aca="false">IF(A11="","",IF(COUNTIF(祝日!$A:$A,A11)&gt;0,"祝",CHOOSE(WEEKDAY(A11,2),"月","火","水","木","金","土","日")))</f>
        <v/>
      </c>
      <c r="D11" s="13" t="str">
        <f aca="false">IF(A11="","",INDEX(集計!$G$37:$G$44,MATCH(C11,集計!$A$37:$A$44,0)))</f>
        <v/>
      </c>
      <c r="E11" s="14" t="str">
        <f aca="false">IF(A11="","",設定!$B$13)</f>
        <v/>
      </c>
      <c r="F11" s="15" t="str">
        <f aca="false">IF(A11="","",設定!$B$11)</f>
        <v/>
      </c>
      <c r="G11" s="16" t="n">
        <v>1</v>
      </c>
      <c r="H11" s="17" t="str">
        <f aca="false">IF(A11="","",ROUND(D11*E11*F11*N(G11),0))</f>
        <v/>
      </c>
      <c r="I11" s="18" t="str">
        <f aca="false">IF(A11="","",ROUND(H11*INDEX(集計!$J$37:$J$44,MATCH(C11,集計!$A$37:$A$44,0)),-2))</f>
        <v/>
      </c>
      <c r="J11" s="19"/>
    </row>
    <row r="12" customFormat="false" ht="15" hidden="false" customHeight="false" outlineLevel="0" collapsed="false">
      <c r="A12" s="11" t="str">
        <f aca="false">IF(OR(設定!$B$5="",5&gt;設定!$B$6),"",設定!$B$5+4)</f>
        <v/>
      </c>
      <c r="B12" s="12" t="str">
        <f aca="false">IF(A12="","",CHOOSE(WEEKDAY(A12,2),"月","火","水","木","金","土","日"))</f>
        <v/>
      </c>
      <c r="C12" s="12" t="str">
        <f aca="false">IF(A12="","",IF(COUNTIF(祝日!$A:$A,A12)&gt;0,"祝",CHOOSE(WEEKDAY(A12,2),"月","火","水","木","金","土","日")))</f>
        <v/>
      </c>
      <c r="D12" s="13" t="str">
        <f aca="false">IF(A12="","",INDEX(集計!$G$37:$G$44,MATCH(C12,集計!$A$37:$A$44,0)))</f>
        <v/>
      </c>
      <c r="E12" s="14" t="str">
        <f aca="false">IF(A12="","",設定!$B$13)</f>
        <v/>
      </c>
      <c r="F12" s="15" t="str">
        <f aca="false">IF(A12="","",設定!$B$11)</f>
        <v/>
      </c>
      <c r="G12" s="16" t="n">
        <v>1</v>
      </c>
      <c r="H12" s="17" t="str">
        <f aca="false">IF(A12="","",ROUND(D12*E12*F12*N(G12),0))</f>
        <v/>
      </c>
      <c r="I12" s="18" t="str">
        <f aca="false">IF(A12="","",ROUND(H12*INDEX(集計!$J$37:$J$44,MATCH(C12,集計!$A$37:$A$44,0)),-2))</f>
        <v/>
      </c>
      <c r="J12" s="19"/>
    </row>
    <row r="13" customFormat="false" ht="15" hidden="false" customHeight="false" outlineLevel="0" collapsed="false">
      <c r="A13" s="11" t="str">
        <f aca="false">IF(OR(設定!$B$5="",6&gt;設定!$B$6),"",設定!$B$5+5)</f>
        <v/>
      </c>
      <c r="B13" s="12" t="str">
        <f aca="false">IF(A13="","",CHOOSE(WEEKDAY(A13,2),"月","火","水","木","金","土","日"))</f>
        <v/>
      </c>
      <c r="C13" s="12" t="str">
        <f aca="false">IF(A13="","",IF(COUNTIF(祝日!$A:$A,A13)&gt;0,"祝",CHOOSE(WEEKDAY(A13,2),"月","火","水","木","金","土","日")))</f>
        <v/>
      </c>
      <c r="D13" s="13" t="str">
        <f aca="false">IF(A13="","",INDEX(集計!$G$37:$G$44,MATCH(C13,集計!$A$37:$A$44,0)))</f>
        <v/>
      </c>
      <c r="E13" s="14" t="str">
        <f aca="false">IF(A13="","",設定!$B$13)</f>
        <v/>
      </c>
      <c r="F13" s="15" t="str">
        <f aca="false">IF(A13="","",設定!$B$11)</f>
        <v/>
      </c>
      <c r="G13" s="16" t="n">
        <v>1</v>
      </c>
      <c r="H13" s="17" t="str">
        <f aca="false">IF(A13="","",ROUND(D13*E13*F13*N(G13),0))</f>
        <v/>
      </c>
      <c r="I13" s="18" t="str">
        <f aca="false">IF(A13="","",ROUND(H13*INDEX(集計!$J$37:$J$44,MATCH(C13,集計!$A$37:$A$44,0)),-2))</f>
        <v/>
      </c>
      <c r="J13" s="19"/>
    </row>
    <row r="14" customFormat="false" ht="15" hidden="false" customHeight="false" outlineLevel="0" collapsed="false">
      <c r="A14" s="11" t="str">
        <f aca="false">IF(OR(設定!$B$5="",7&gt;設定!$B$6),"",設定!$B$5+6)</f>
        <v/>
      </c>
      <c r="B14" s="12" t="str">
        <f aca="false">IF(A14="","",CHOOSE(WEEKDAY(A14,2),"月","火","水","木","金","土","日"))</f>
        <v/>
      </c>
      <c r="C14" s="12" t="str">
        <f aca="false">IF(A14="","",IF(COUNTIF(祝日!$A:$A,A14)&gt;0,"祝",CHOOSE(WEEKDAY(A14,2),"月","火","水","木","金","土","日")))</f>
        <v/>
      </c>
      <c r="D14" s="13" t="str">
        <f aca="false">IF(A14="","",INDEX(集計!$G$37:$G$44,MATCH(C14,集計!$A$37:$A$44,0)))</f>
        <v/>
      </c>
      <c r="E14" s="14" t="str">
        <f aca="false">IF(A14="","",設定!$B$13)</f>
        <v/>
      </c>
      <c r="F14" s="15" t="str">
        <f aca="false">IF(A14="","",設定!$B$11)</f>
        <v/>
      </c>
      <c r="G14" s="16" t="n">
        <v>1</v>
      </c>
      <c r="H14" s="17" t="str">
        <f aca="false">IF(A14="","",ROUND(D14*E14*F14*N(G14),0))</f>
        <v/>
      </c>
      <c r="I14" s="18" t="str">
        <f aca="false">IF(A14="","",ROUND(H14*INDEX(集計!$J$37:$J$44,MATCH(C14,集計!$A$37:$A$44,0)),-2))</f>
        <v/>
      </c>
      <c r="J14" s="19"/>
    </row>
    <row r="15" customFormat="false" ht="15" hidden="false" customHeight="false" outlineLevel="0" collapsed="false">
      <c r="A15" s="11" t="str">
        <f aca="false">IF(OR(設定!$B$5="",8&gt;設定!$B$6),"",設定!$B$5+7)</f>
        <v/>
      </c>
      <c r="B15" s="12" t="str">
        <f aca="false">IF(A15="","",CHOOSE(WEEKDAY(A15,2),"月","火","水","木","金","土","日"))</f>
        <v/>
      </c>
      <c r="C15" s="12" t="str">
        <f aca="false">IF(A15="","",IF(COUNTIF(祝日!$A:$A,A15)&gt;0,"祝",CHOOSE(WEEKDAY(A15,2),"月","火","水","木","金","土","日")))</f>
        <v/>
      </c>
      <c r="D15" s="13" t="str">
        <f aca="false">IF(A15="","",INDEX(集計!$G$37:$G$44,MATCH(C15,集計!$A$37:$A$44,0)))</f>
        <v/>
      </c>
      <c r="E15" s="14" t="str">
        <f aca="false">IF(A15="","",設定!$B$13)</f>
        <v/>
      </c>
      <c r="F15" s="15" t="str">
        <f aca="false">IF(A15="","",設定!$B$11)</f>
        <v/>
      </c>
      <c r="G15" s="16" t="n">
        <v>1</v>
      </c>
      <c r="H15" s="17" t="str">
        <f aca="false">IF(A15="","",ROUND(D15*E15*F15*N(G15),0))</f>
        <v/>
      </c>
      <c r="I15" s="18" t="str">
        <f aca="false">IF(A15="","",ROUND(H15*INDEX(集計!$J$37:$J$44,MATCH(C15,集計!$A$37:$A$44,0)),-2))</f>
        <v/>
      </c>
      <c r="J15" s="19"/>
    </row>
    <row r="16" customFormat="false" ht="15" hidden="false" customHeight="false" outlineLevel="0" collapsed="false">
      <c r="A16" s="11" t="str">
        <f aca="false">IF(OR(設定!$B$5="",9&gt;設定!$B$6),"",設定!$B$5+8)</f>
        <v/>
      </c>
      <c r="B16" s="12" t="str">
        <f aca="false">IF(A16="","",CHOOSE(WEEKDAY(A16,2),"月","火","水","木","金","土","日"))</f>
        <v/>
      </c>
      <c r="C16" s="12" t="str">
        <f aca="false">IF(A16="","",IF(COUNTIF(祝日!$A:$A,A16)&gt;0,"祝",CHOOSE(WEEKDAY(A16,2),"月","火","水","木","金","土","日")))</f>
        <v/>
      </c>
      <c r="D16" s="13" t="str">
        <f aca="false">IF(A16="","",INDEX(集計!$G$37:$G$44,MATCH(C16,集計!$A$37:$A$44,0)))</f>
        <v/>
      </c>
      <c r="E16" s="14" t="str">
        <f aca="false">IF(A16="","",設定!$B$13)</f>
        <v/>
      </c>
      <c r="F16" s="15" t="str">
        <f aca="false">IF(A16="","",設定!$B$11)</f>
        <v/>
      </c>
      <c r="G16" s="16" t="n">
        <v>1</v>
      </c>
      <c r="H16" s="17" t="str">
        <f aca="false">IF(A16="","",ROUND(D16*E16*F16*N(G16),0))</f>
        <v/>
      </c>
      <c r="I16" s="18" t="str">
        <f aca="false">IF(A16="","",ROUND(H16*INDEX(集計!$J$37:$J$44,MATCH(C16,集計!$A$37:$A$44,0)),-2))</f>
        <v/>
      </c>
      <c r="J16" s="19"/>
    </row>
    <row r="17" customFormat="false" ht="15" hidden="false" customHeight="false" outlineLevel="0" collapsed="false">
      <c r="A17" s="11" t="str">
        <f aca="false">IF(OR(設定!$B$5="",10&gt;設定!$B$6),"",設定!$B$5+9)</f>
        <v/>
      </c>
      <c r="B17" s="12" t="str">
        <f aca="false">IF(A17="","",CHOOSE(WEEKDAY(A17,2),"月","火","水","木","金","土","日"))</f>
        <v/>
      </c>
      <c r="C17" s="12" t="str">
        <f aca="false">IF(A17="","",IF(COUNTIF(祝日!$A:$A,A17)&gt;0,"祝",CHOOSE(WEEKDAY(A17,2),"月","火","水","木","金","土","日")))</f>
        <v/>
      </c>
      <c r="D17" s="13" t="str">
        <f aca="false">IF(A17="","",INDEX(集計!$G$37:$G$44,MATCH(C17,集計!$A$37:$A$44,0)))</f>
        <v/>
      </c>
      <c r="E17" s="14" t="str">
        <f aca="false">IF(A17="","",設定!$B$13)</f>
        <v/>
      </c>
      <c r="F17" s="15" t="str">
        <f aca="false">IF(A17="","",設定!$B$11)</f>
        <v/>
      </c>
      <c r="G17" s="16" t="n">
        <v>1</v>
      </c>
      <c r="H17" s="17" t="str">
        <f aca="false">IF(A17="","",ROUND(D17*E17*F17*N(G17),0))</f>
        <v/>
      </c>
      <c r="I17" s="18" t="str">
        <f aca="false">IF(A17="","",ROUND(H17*INDEX(集計!$J$37:$J$44,MATCH(C17,集計!$A$37:$A$44,0)),-2))</f>
        <v/>
      </c>
      <c r="J17" s="19"/>
    </row>
    <row r="18" customFormat="false" ht="15" hidden="false" customHeight="false" outlineLevel="0" collapsed="false">
      <c r="A18" s="11" t="str">
        <f aca="false">IF(OR(設定!$B$5="",11&gt;設定!$B$6),"",設定!$B$5+10)</f>
        <v/>
      </c>
      <c r="B18" s="12" t="str">
        <f aca="false">IF(A18="","",CHOOSE(WEEKDAY(A18,2),"月","火","水","木","金","土","日"))</f>
        <v/>
      </c>
      <c r="C18" s="12" t="str">
        <f aca="false">IF(A18="","",IF(COUNTIF(祝日!$A:$A,A18)&gt;0,"祝",CHOOSE(WEEKDAY(A18,2),"月","火","水","木","金","土","日")))</f>
        <v/>
      </c>
      <c r="D18" s="13" t="str">
        <f aca="false">IF(A18="","",INDEX(集計!$G$37:$G$44,MATCH(C18,集計!$A$37:$A$44,0)))</f>
        <v/>
      </c>
      <c r="E18" s="14" t="str">
        <f aca="false">IF(A18="","",設定!$B$13)</f>
        <v/>
      </c>
      <c r="F18" s="15" t="str">
        <f aca="false">IF(A18="","",設定!$B$11)</f>
        <v/>
      </c>
      <c r="G18" s="16" t="n">
        <v>1</v>
      </c>
      <c r="H18" s="17" t="str">
        <f aca="false">IF(A18="","",ROUND(D18*E18*F18*N(G18),0))</f>
        <v/>
      </c>
      <c r="I18" s="18" t="str">
        <f aca="false">IF(A18="","",ROUND(H18*INDEX(集計!$J$37:$J$44,MATCH(C18,集計!$A$37:$A$44,0)),-2))</f>
        <v/>
      </c>
      <c r="J18" s="19"/>
    </row>
    <row r="19" customFormat="false" ht="15" hidden="false" customHeight="false" outlineLevel="0" collapsed="false">
      <c r="A19" s="11" t="str">
        <f aca="false">IF(OR(設定!$B$5="",12&gt;設定!$B$6),"",設定!$B$5+11)</f>
        <v/>
      </c>
      <c r="B19" s="12" t="str">
        <f aca="false">IF(A19="","",CHOOSE(WEEKDAY(A19,2),"月","火","水","木","金","土","日"))</f>
        <v/>
      </c>
      <c r="C19" s="12" t="str">
        <f aca="false">IF(A19="","",IF(COUNTIF(祝日!$A:$A,A19)&gt;0,"祝",CHOOSE(WEEKDAY(A19,2),"月","火","水","木","金","土","日")))</f>
        <v/>
      </c>
      <c r="D19" s="13" t="str">
        <f aca="false">IF(A19="","",INDEX(集計!$G$37:$G$44,MATCH(C19,集計!$A$37:$A$44,0)))</f>
        <v/>
      </c>
      <c r="E19" s="14" t="str">
        <f aca="false">IF(A19="","",設定!$B$13)</f>
        <v/>
      </c>
      <c r="F19" s="15" t="str">
        <f aca="false">IF(A19="","",設定!$B$11)</f>
        <v/>
      </c>
      <c r="G19" s="16" t="n">
        <v>1</v>
      </c>
      <c r="H19" s="17" t="str">
        <f aca="false">IF(A19="","",ROUND(D19*E19*F19*N(G19),0))</f>
        <v/>
      </c>
      <c r="I19" s="18" t="str">
        <f aca="false">IF(A19="","",ROUND(H19*INDEX(集計!$J$37:$J$44,MATCH(C19,集計!$A$37:$A$44,0)),-2))</f>
        <v/>
      </c>
      <c r="J19" s="19"/>
    </row>
    <row r="20" customFormat="false" ht="15" hidden="false" customHeight="false" outlineLevel="0" collapsed="false">
      <c r="A20" s="11" t="str">
        <f aca="false">IF(OR(設定!$B$5="",13&gt;設定!$B$6),"",設定!$B$5+12)</f>
        <v/>
      </c>
      <c r="B20" s="12" t="str">
        <f aca="false">IF(A20="","",CHOOSE(WEEKDAY(A20,2),"月","火","水","木","金","土","日"))</f>
        <v/>
      </c>
      <c r="C20" s="12" t="str">
        <f aca="false">IF(A20="","",IF(COUNTIF(祝日!$A:$A,A20)&gt;0,"祝",CHOOSE(WEEKDAY(A20,2),"月","火","水","木","金","土","日")))</f>
        <v/>
      </c>
      <c r="D20" s="13" t="str">
        <f aca="false">IF(A20="","",INDEX(集計!$G$37:$G$44,MATCH(C20,集計!$A$37:$A$44,0)))</f>
        <v/>
      </c>
      <c r="E20" s="14" t="str">
        <f aca="false">IF(A20="","",設定!$B$13)</f>
        <v/>
      </c>
      <c r="F20" s="15" t="str">
        <f aca="false">IF(A20="","",設定!$B$11)</f>
        <v/>
      </c>
      <c r="G20" s="16" t="n">
        <v>1</v>
      </c>
      <c r="H20" s="17" t="str">
        <f aca="false">IF(A20="","",ROUND(D20*E20*F20*N(G20),0))</f>
        <v/>
      </c>
      <c r="I20" s="18" t="str">
        <f aca="false">IF(A20="","",ROUND(H20*INDEX(集計!$J$37:$J$44,MATCH(C20,集計!$A$37:$A$44,0)),-2))</f>
        <v/>
      </c>
      <c r="J20" s="19"/>
    </row>
    <row r="21" customFormat="false" ht="15" hidden="false" customHeight="false" outlineLevel="0" collapsed="false">
      <c r="A21" s="11" t="str">
        <f aca="false">IF(OR(設定!$B$5="",14&gt;設定!$B$6),"",設定!$B$5+13)</f>
        <v/>
      </c>
      <c r="B21" s="12" t="str">
        <f aca="false">IF(A21="","",CHOOSE(WEEKDAY(A21,2),"月","火","水","木","金","土","日"))</f>
        <v/>
      </c>
      <c r="C21" s="12" t="str">
        <f aca="false">IF(A21="","",IF(COUNTIF(祝日!$A:$A,A21)&gt;0,"祝",CHOOSE(WEEKDAY(A21,2),"月","火","水","木","金","土","日")))</f>
        <v/>
      </c>
      <c r="D21" s="13" t="str">
        <f aca="false">IF(A21="","",INDEX(集計!$G$37:$G$44,MATCH(C21,集計!$A$37:$A$44,0)))</f>
        <v/>
      </c>
      <c r="E21" s="14" t="str">
        <f aca="false">IF(A21="","",設定!$B$13)</f>
        <v/>
      </c>
      <c r="F21" s="15" t="str">
        <f aca="false">IF(A21="","",設定!$B$11)</f>
        <v/>
      </c>
      <c r="G21" s="16" t="n">
        <v>1</v>
      </c>
      <c r="H21" s="17" t="str">
        <f aca="false">IF(A21="","",ROUND(D21*E21*F21*N(G21),0))</f>
        <v/>
      </c>
      <c r="I21" s="18" t="str">
        <f aca="false">IF(A21="","",ROUND(H21*INDEX(集計!$J$37:$J$44,MATCH(C21,集計!$A$37:$A$44,0)),-2))</f>
        <v/>
      </c>
      <c r="J21" s="19"/>
    </row>
    <row r="22" customFormat="false" ht="15" hidden="false" customHeight="false" outlineLevel="0" collapsed="false">
      <c r="A22" s="11" t="str">
        <f aca="false">IF(OR(設定!$B$5="",15&gt;設定!$B$6),"",設定!$B$5+14)</f>
        <v/>
      </c>
      <c r="B22" s="12" t="str">
        <f aca="false">IF(A22="","",CHOOSE(WEEKDAY(A22,2),"月","火","水","木","金","土","日"))</f>
        <v/>
      </c>
      <c r="C22" s="12" t="str">
        <f aca="false">IF(A22="","",IF(COUNTIF(祝日!$A:$A,A22)&gt;0,"祝",CHOOSE(WEEKDAY(A22,2),"月","火","水","木","金","土","日")))</f>
        <v/>
      </c>
      <c r="D22" s="13" t="str">
        <f aca="false">IF(A22="","",INDEX(集計!$G$37:$G$44,MATCH(C22,集計!$A$37:$A$44,0)))</f>
        <v/>
      </c>
      <c r="E22" s="14" t="str">
        <f aca="false">IF(A22="","",設定!$B$13)</f>
        <v/>
      </c>
      <c r="F22" s="15" t="str">
        <f aca="false">IF(A22="","",設定!$B$11)</f>
        <v/>
      </c>
      <c r="G22" s="16" t="n">
        <v>1</v>
      </c>
      <c r="H22" s="17" t="str">
        <f aca="false">IF(A22="","",ROUND(D22*E22*F22*N(G22),0))</f>
        <v/>
      </c>
      <c r="I22" s="18" t="str">
        <f aca="false">IF(A22="","",ROUND(H22*INDEX(集計!$J$37:$J$44,MATCH(C22,集計!$A$37:$A$44,0)),-2))</f>
        <v/>
      </c>
      <c r="J22" s="19"/>
    </row>
    <row r="23" customFormat="false" ht="15" hidden="false" customHeight="false" outlineLevel="0" collapsed="false">
      <c r="A23" s="11" t="str">
        <f aca="false">IF(OR(設定!$B$5="",16&gt;設定!$B$6),"",設定!$B$5+15)</f>
        <v/>
      </c>
      <c r="B23" s="12" t="str">
        <f aca="false">IF(A23="","",CHOOSE(WEEKDAY(A23,2),"月","火","水","木","金","土","日"))</f>
        <v/>
      </c>
      <c r="C23" s="12" t="str">
        <f aca="false">IF(A23="","",IF(COUNTIF(祝日!$A:$A,A23)&gt;0,"祝",CHOOSE(WEEKDAY(A23,2),"月","火","水","木","金","土","日")))</f>
        <v/>
      </c>
      <c r="D23" s="13" t="str">
        <f aca="false">IF(A23="","",INDEX(集計!$G$37:$G$44,MATCH(C23,集計!$A$37:$A$44,0)))</f>
        <v/>
      </c>
      <c r="E23" s="14" t="str">
        <f aca="false">IF(A23="","",設定!$B$13)</f>
        <v/>
      </c>
      <c r="F23" s="15" t="str">
        <f aca="false">IF(A23="","",設定!$B$11)</f>
        <v/>
      </c>
      <c r="G23" s="16" t="n">
        <v>1</v>
      </c>
      <c r="H23" s="17" t="str">
        <f aca="false">IF(A23="","",ROUND(D23*E23*F23*N(G23),0))</f>
        <v/>
      </c>
      <c r="I23" s="18" t="str">
        <f aca="false">IF(A23="","",ROUND(H23*INDEX(集計!$J$37:$J$44,MATCH(C23,集計!$A$37:$A$44,0)),-2))</f>
        <v/>
      </c>
      <c r="J23" s="19"/>
    </row>
    <row r="24" customFormat="false" ht="15" hidden="false" customHeight="false" outlineLevel="0" collapsed="false">
      <c r="A24" s="11" t="str">
        <f aca="false">IF(OR(設定!$B$5="",17&gt;設定!$B$6),"",設定!$B$5+16)</f>
        <v/>
      </c>
      <c r="B24" s="12" t="str">
        <f aca="false">IF(A24="","",CHOOSE(WEEKDAY(A24,2),"月","火","水","木","金","土","日"))</f>
        <v/>
      </c>
      <c r="C24" s="12" t="str">
        <f aca="false">IF(A24="","",IF(COUNTIF(祝日!$A:$A,A24)&gt;0,"祝",CHOOSE(WEEKDAY(A24,2),"月","火","水","木","金","土","日")))</f>
        <v/>
      </c>
      <c r="D24" s="13" t="str">
        <f aca="false">IF(A24="","",INDEX(集計!$G$37:$G$44,MATCH(C24,集計!$A$37:$A$44,0)))</f>
        <v/>
      </c>
      <c r="E24" s="14" t="str">
        <f aca="false">IF(A24="","",設定!$B$13)</f>
        <v/>
      </c>
      <c r="F24" s="15" t="str">
        <f aca="false">IF(A24="","",設定!$B$11)</f>
        <v/>
      </c>
      <c r="G24" s="16" t="n">
        <v>1</v>
      </c>
      <c r="H24" s="17" t="str">
        <f aca="false">IF(A24="","",ROUND(D24*E24*F24*N(G24),0))</f>
        <v/>
      </c>
      <c r="I24" s="18" t="str">
        <f aca="false">IF(A24="","",ROUND(H24*INDEX(集計!$J$37:$J$44,MATCH(C24,集計!$A$37:$A$44,0)),-2))</f>
        <v/>
      </c>
      <c r="J24" s="19"/>
    </row>
    <row r="25" customFormat="false" ht="15" hidden="false" customHeight="false" outlineLevel="0" collapsed="false">
      <c r="A25" s="11" t="str">
        <f aca="false">IF(OR(設定!$B$5="",18&gt;設定!$B$6),"",設定!$B$5+17)</f>
        <v/>
      </c>
      <c r="B25" s="12" t="str">
        <f aca="false">IF(A25="","",CHOOSE(WEEKDAY(A25,2),"月","火","水","木","金","土","日"))</f>
        <v/>
      </c>
      <c r="C25" s="12" t="str">
        <f aca="false">IF(A25="","",IF(COUNTIF(祝日!$A:$A,A25)&gt;0,"祝",CHOOSE(WEEKDAY(A25,2),"月","火","水","木","金","土","日")))</f>
        <v/>
      </c>
      <c r="D25" s="13" t="str">
        <f aca="false">IF(A25="","",INDEX(集計!$G$37:$G$44,MATCH(C25,集計!$A$37:$A$44,0)))</f>
        <v/>
      </c>
      <c r="E25" s="14" t="str">
        <f aca="false">IF(A25="","",設定!$B$13)</f>
        <v/>
      </c>
      <c r="F25" s="15" t="str">
        <f aca="false">IF(A25="","",設定!$B$11)</f>
        <v/>
      </c>
      <c r="G25" s="16" t="n">
        <v>1</v>
      </c>
      <c r="H25" s="17" t="str">
        <f aca="false">IF(A25="","",ROUND(D25*E25*F25*N(G25),0))</f>
        <v/>
      </c>
      <c r="I25" s="18" t="str">
        <f aca="false">IF(A25="","",ROUND(H25*INDEX(集計!$J$37:$J$44,MATCH(C25,集計!$A$37:$A$44,0)),-2))</f>
        <v/>
      </c>
      <c r="J25" s="19"/>
    </row>
    <row r="26" customFormat="false" ht="15" hidden="false" customHeight="false" outlineLevel="0" collapsed="false">
      <c r="A26" s="11" t="str">
        <f aca="false">IF(OR(設定!$B$5="",19&gt;設定!$B$6),"",設定!$B$5+18)</f>
        <v/>
      </c>
      <c r="B26" s="12" t="str">
        <f aca="false">IF(A26="","",CHOOSE(WEEKDAY(A26,2),"月","火","水","木","金","土","日"))</f>
        <v/>
      </c>
      <c r="C26" s="12" t="str">
        <f aca="false">IF(A26="","",IF(COUNTIF(祝日!$A:$A,A26)&gt;0,"祝",CHOOSE(WEEKDAY(A26,2),"月","火","水","木","金","土","日")))</f>
        <v/>
      </c>
      <c r="D26" s="13" t="str">
        <f aca="false">IF(A26="","",INDEX(集計!$G$37:$G$44,MATCH(C26,集計!$A$37:$A$44,0)))</f>
        <v/>
      </c>
      <c r="E26" s="14" t="str">
        <f aca="false">IF(A26="","",設定!$B$13)</f>
        <v/>
      </c>
      <c r="F26" s="15" t="str">
        <f aca="false">IF(A26="","",設定!$B$11)</f>
        <v/>
      </c>
      <c r="G26" s="16" t="n">
        <v>1</v>
      </c>
      <c r="H26" s="17" t="str">
        <f aca="false">IF(A26="","",ROUND(D26*E26*F26*N(G26),0))</f>
        <v/>
      </c>
      <c r="I26" s="18" t="str">
        <f aca="false">IF(A26="","",ROUND(H26*INDEX(集計!$J$37:$J$44,MATCH(C26,集計!$A$37:$A$44,0)),-2))</f>
        <v/>
      </c>
      <c r="J26" s="19"/>
    </row>
    <row r="27" customFormat="false" ht="15" hidden="false" customHeight="false" outlineLevel="0" collapsed="false">
      <c r="A27" s="11" t="str">
        <f aca="false">IF(OR(設定!$B$5="",20&gt;設定!$B$6),"",設定!$B$5+19)</f>
        <v/>
      </c>
      <c r="B27" s="12" t="str">
        <f aca="false">IF(A27="","",CHOOSE(WEEKDAY(A27,2),"月","火","水","木","金","土","日"))</f>
        <v/>
      </c>
      <c r="C27" s="12" t="str">
        <f aca="false">IF(A27="","",IF(COUNTIF(祝日!$A:$A,A27)&gt;0,"祝",CHOOSE(WEEKDAY(A27,2),"月","火","水","木","金","土","日")))</f>
        <v/>
      </c>
      <c r="D27" s="13" t="str">
        <f aca="false">IF(A27="","",INDEX(集計!$G$37:$G$44,MATCH(C27,集計!$A$37:$A$44,0)))</f>
        <v/>
      </c>
      <c r="E27" s="14" t="str">
        <f aca="false">IF(A27="","",設定!$B$13)</f>
        <v/>
      </c>
      <c r="F27" s="15" t="str">
        <f aca="false">IF(A27="","",設定!$B$11)</f>
        <v/>
      </c>
      <c r="G27" s="16" t="n">
        <v>1</v>
      </c>
      <c r="H27" s="17" t="str">
        <f aca="false">IF(A27="","",ROUND(D27*E27*F27*N(G27),0))</f>
        <v/>
      </c>
      <c r="I27" s="18" t="str">
        <f aca="false">IF(A27="","",ROUND(H27*INDEX(集計!$J$37:$J$44,MATCH(C27,集計!$A$37:$A$44,0)),-2))</f>
        <v/>
      </c>
      <c r="J27" s="19"/>
    </row>
    <row r="28" customFormat="false" ht="15" hidden="false" customHeight="false" outlineLevel="0" collapsed="false">
      <c r="A28" s="11" t="str">
        <f aca="false">IF(OR(設定!$B$5="",21&gt;設定!$B$6),"",設定!$B$5+20)</f>
        <v/>
      </c>
      <c r="B28" s="12" t="str">
        <f aca="false">IF(A28="","",CHOOSE(WEEKDAY(A28,2),"月","火","水","木","金","土","日"))</f>
        <v/>
      </c>
      <c r="C28" s="12" t="str">
        <f aca="false">IF(A28="","",IF(COUNTIF(祝日!$A:$A,A28)&gt;0,"祝",CHOOSE(WEEKDAY(A28,2),"月","火","水","木","金","土","日")))</f>
        <v/>
      </c>
      <c r="D28" s="13" t="str">
        <f aca="false">IF(A28="","",INDEX(集計!$G$37:$G$44,MATCH(C28,集計!$A$37:$A$44,0)))</f>
        <v/>
      </c>
      <c r="E28" s="14" t="str">
        <f aca="false">IF(A28="","",設定!$B$13)</f>
        <v/>
      </c>
      <c r="F28" s="15" t="str">
        <f aca="false">IF(A28="","",設定!$B$11)</f>
        <v/>
      </c>
      <c r="G28" s="16" t="n">
        <v>1</v>
      </c>
      <c r="H28" s="17" t="str">
        <f aca="false">IF(A28="","",ROUND(D28*E28*F28*N(G28),0))</f>
        <v/>
      </c>
      <c r="I28" s="18" t="str">
        <f aca="false">IF(A28="","",ROUND(H28*INDEX(集計!$J$37:$J$44,MATCH(C28,集計!$A$37:$A$44,0)),-2))</f>
        <v/>
      </c>
      <c r="J28" s="19"/>
    </row>
    <row r="29" customFormat="false" ht="15" hidden="false" customHeight="false" outlineLevel="0" collapsed="false">
      <c r="A29" s="11" t="str">
        <f aca="false">IF(OR(設定!$B$5="",22&gt;設定!$B$6),"",設定!$B$5+21)</f>
        <v/>
      </c>
      <c r="B29" s="12" t="str">
        <f aca="false">IF(A29="","",CHOOSE(WEEKDAY(A29,2),"月","火","水","木","金","土","日"))</f>
        <v/>
      </c>
      <c r="C29" s="12" t="str">
        <f aca="false">IF(A29="","",IF(COUNTIF(祝日!$A:$A,A29)&gt;0,"祝",CHOOSE(WEEKDAY(A29,2),"月","火","水","木","金","土","日")))</f>
        <v/>
      </c>
      <c r="D29" s="13" t="str">
        <f aca="false">IF(A29="","",INDEX(集計!$G$37:$G$44,MATCH(C29,集計!$A$37:$A$44,0)))</f>
        <v/>
      </c>
      <c r="E29" s="14" t="str">
        <f aca="false">IF(A29="","",設定!$B$13)</f>
        <v/>
      </c>
      <c r="F29" s="15" t="str">
        <f aca="false">IF(A29="","",設定!$B$11)</f>
        <v/>
      </c>
      <c r="G29" s="16" t="n">
        <v>1</v>
      </c>
      <c r="H29" s="17" t="str">
        <f aca="false">IF(A29="","",ROUND(D29*E29*F29*N(G29),0))</f>
        <v/>
      </c>
      <c r="I29" s="18" t="str">
        <f aca="false">IF(A29="","",ROUND(H29*INDEX(集計!$J$37:$J$44,MATCH(C29,集計!$A$37:$A$44,0)),-2))</f>
        <v/>
      </c>
      <c r="J29" s="19"/>
    </row>
    <row r="30" customFormat="false" ht="15" hidden="false" customHeight="false" outlineLevel="0" collapsed="false">
      <c r="A30" s="11" t="str">
        <f aca="false">IF(OR(設定!$B$5="",23&gt;設定!$B$6),"",設定!$B$5+22)</f>
        <v/>
      </c>
      <c r="B30" s="12" t="str">
        <f aca="false">IF(A30="","",CHOOSE(WEEKDAY(A30,2),"月","火","水","木","金","土","日"))</f>
        <v/>
      </c>
      <c r="C30" s="12" t="str">
        <f aca="false">IF(A30="","",IF(COUNTIF(祝日!$A:$A,A30)&gt;0,"祝",CHOOSE(WEEKDAY(A30,2),"月","火","水","木","金","土","日")))</f>
        <v/>
      </c>
      <c r="D30" s="13" t="str">
        <f aca="false">IF(A30="","",INDEX(集計!$G$37:$G$44,MATCH(C30,集計!$A$37:$A$44,0)))</f>
        <v/>
      </c>
      <c r="E30" s="14" t="str">
        <f aca="false">IF(A30="","",設定!$B$13)</f>
        <v/>
      </c>
      <c r="F30" s="15" t="str">
        <f aca="false">IF(A30="","",設定!$B$11)</f>
        <v/>
      </c>
      <c r="G30" s="16" t="n">
        <v>1</v>
      </c>
      <c r="H30" s="17" t="str">
        <f aca="false">IF(A30="","",ROUND(D30*E30*F30*N(G30),0))</f>
        <v/>
      </c>
      <c r="I30" s="18" t="str">
        <f aca="false">IF(A30="","",ROUND(H30*INDEX(集計!$J$37:$J$44,MATCH(C30,集計!$A$37:$A$44,0)),-2))</f>
        <v/>
      </c>
      <c r="J30" s="19"/>
    </row>
    <row r="31" customFormat="false" ht="15" hidden="false" customHeight="false" outlineLevel="0" collapsed="false">
      <c r="A31" s="11" t="str">
        <f aca="false">IF(OR(設定!$B$5="",24&gt;設定!$B$6),"",設定!$B$5+23)</f>
        <v/>
      </c>
      <c r="B31" s="12" t="str">
        <f aca="false">IF(A31="","",CHOOSE(WEEKDAY(A31,2),"月","火","水","木","金","土","日"))</f>
        <v/>
      </c>
      <c r="C31" s="12" t="str">
        <f aca="false">IF(A31="","",IF(COUNTIF(祝日!$A:$A,A31)&gt;0,"祝",CHOOSE(WEEKDAY(A31,2),"月","火","水","木","金","土","日")))</f>
        <v/>
      </c>
      <c r="D31" s="13" t="str">
        <f aca="false">IF(A31="","",INDEX(集計!$G$37:$G$44,MATCH(C31,集計!$A$37:$A$44,0)))</f>
        <v/>
      </c>
      <c r="E31" s="14" t="str">
        <f aca="false">IF(A31="","",設定!$B$13)</f>
        <v/>
      </c>
      <c r="F31" s="15" t="str">
        <f aca="false">IF(A31="","",設定!$B$11)</f>
        <v/>
      </c>
      <c r="G31" s="16" t="n">
        <v>1</v>
      </c>
      <c r="H31" s="17" t="str">
        <f aca="false">IF(A31="","",ROUND(D31*E31*F31*N(G31),0))</f>
        <v/>
      </c>
      <c r="I31" s="18" t="str">
        <f aca="false">IF(A31="","",ROUND(H31*INDEX(集計!$J$37:$J$44,MATCH(C31,集計!$A$37:$A$44,0)),-2))</f>
        <v/>
      </c>
      <c r="J31" s="19"/>
    </row>
    <row r="32" customFormat="false" ht="15" hidden="false" customHeight="false" outlineLevel="0" collapsed="false">
      <c r="A32" s="11" t="str">
        <f aca="false">IF(OR(設定!$B$5="",25&gt;設定!$B$6),"",設定!$B$5+24)</f>
        <v/>
      </c>
      <c r="B32" s="12" t="str">
        <f aca="false">IF(A32="","",CHOOSE(WEEKDAY(A32,2),"月","火","水","木","金","土","日"))</f>
        <v/>
      </c>
      <c r="C32" s="12" t="str">
        <f aca="false">IF(A32="","",IF(COUNTIF(祝日!$A:$A,A32)&gt;0,"祝",CHOOSE(WEEKDAY(A32,2),"月","火","水","木","金","土","日")))</f>
        <v/>
      </c>
      <c r="D32" s="13" t="str">
        <f aca="false">IF(A32="","",INDEX(集計!$G$37:$G$44,MATCH(C32,集計!$A$37:$A$44,0)))</f>
        <v/>
      </c>
      <c r="E32" s="14" t="str">
        <f aca="false">IF(A32="","",設定!$B$13)</f>
        <v/>
      </c>
      <c r="F32" s="15" t="str">
        <f aca="false">IF(A32="","",設定!$B$11)</f>
        <v/>
      </c>
      <c r="G32" s="16" t="n">
        <v>1</v>
      </c>
      <c r="H32" s="17" t="str">
        <f aca="false">IF(A32="","",ROUND(D32*E32*F32*N(G32),0))</f>
        <v/>
      </c>
      <c r="I32" s="18" t="str">
        <f aca="false">IF(A32="","",ROUND(H32*INDEX(集計!$J$37:$J$44,MATCH(C32,集計!$A$37:$A$44,0)),-2))</f>
        <v/>
      </c>
      <c r="J32" s="19"/>
    </row>
    <row r="33" customFormat="false" ht="15" hidden="false" customHeight="false" outlineLevel="0" collapsed="false">
      <c r="A33" s="11" t="str">
        <f aca="false">IF(OR(設定!$B$5="",26&gt;設定!$B$6),"",設定!$B$5+25)</f>
        <v/>
      </c>
      <c r="B33" s="12" t="str">
        <f aca="false">IF(A33="","",CHOOSE(WEEKDAY(A33,2),"月","火","水","木","金","土","日"))</f>
        <v/>
      </c>
      <c r="C33" s="12" t="str">
        <f aca="false">IF(A33="","",IF(COUNTIF(祝日!$A:$A,A33)&gt;0,"祝",CHOOSE(WEEKDAY(A33,2),"月","火","水","木","金","土","日")))</f>
        <v/>
      </c>
      <c r="D33" s="13" t="str">
        <f aca="false">IF(A33="","",INDEX(集計!$G$37:$G$44,MATCH(C33,集計!$A$37:$A$44,0)))</f>
        <v/>
      </c>
      <c r="E33" s="14" t="str">
        <f aca="false">IF(A33="","",設定!$B$13)</f>
        <v/>
      </c>
      <c r="F33" s="15" t="str">
        <f aca="false">IF(A33="","",設定!$B$11)</f>
        <v/>
      </c>
      <c r="G33" s="16" t="n">
        <v>1</v>
      </c>
      <c r="H33" s="17" t="str">
        <f aca="false">IF(A33="","",ROUND(D33*E33*F33*N(G33),0))</f>
        <v/>
      </c>
      <c r="I33" s="18" t="str">
        <f aca="false">IF(A33="","",ROUND(H33*INDEX(集計!$J$37:$J$44,MATCH(C33,集計!$A$37:$A$44,0)),-2))</f>
        <v/>
      </c>
      <c r="J33" s="19"/>
    </row>
    <row r="34" customFormat="false" ht="15" hidden="false" customHeight="false" outlineLevel="0" collapsed="false">
      <c r="A34" s="11" t="str">
        <f aca="false">IF(OR(設定!$B$5="",27&gt;設定!$B$6),"",設定!$B$5+26)</f>
        <v/>
      </c>
      <c r="B34" s="12" t="str">
        <f aca="false">IF(A34="","",CHOOSE(WEEKDAY(A34,2),"月","火","水","木","金","土","日"))</f>
        <v/>
      </c>
      <c r="C34" s="12" t="str">
        <f aca="false">IF(A34="","",IF(COUNTIF(祝日!$A:$A,A34)&gt;0,"祝",CHOOSE(WEEKDAY(A34,2),"月","火","水","木","金","土","日")))</f>
        <v/>
      </c>
      <c r="D34" s="13" t="str">
        <f aca="false">IF(A34="","",INDEX(集計!$G$37:$G$44,MATCH(C34,集計!$A$37:$A$44,0)))</f>
        <v/>
      </c>
      <c r="E34" s="14" t="str">
        <f aca="false">IF(A34="","",設定!$B$13)</f>
        <v/>
      </c>
      <c r="F34" s="15" t="str">
        <f aca="false">IF(A34="","",設定!$B$11)</f>
        <v/>
      </c>
      <c r="G34" s="16" t="n">
        <v>1</v>
      </c>
      <c r="H34" s="17" t="str">
        <f aca="false">IF(A34="","",ROUND(D34*E34*F34*N(G34),0))</f>
        <v/>
      </c>
      <c r="I34" s="18" t="str">
        <f aca="false">IF(A34="","",ROUND(H34*INDEX(集計!$J$37:$J$44,MATCH(C34,集計!$A$37:$A$44,0)),-2))</f>
        <v/>
      </c>
      <c r="J34" s="19"/>
    </row>
    <row r="35" customFormat="false" ht="15" hidden="false" customHeight="false" outlineLevel="0" collapsed="false">
      <c r="A35" s="11" t="str">
        <f aca="false">IF(OR(設定!$B$5="",28&gt;設定!$B$6),"",設定!$B$5+27)</f>
        <v/>
      </c>
      <c r="B35" s="12" t="str">
        <f aca="false">IF(A35="","",CHOOSE(WEEKDAY(A35,2),"月","火","水","木","金","土","日"))</f>
        <v/>
      </c>
      <c r="C35" s="12" t="str">
        <f aca="false">IF(A35="","",IF(COUNTIF(祝日!$A:$A,A35)&gt;0,"祝",CHOOSE(WEEKDAY(A35,2),"月","火","水","木","金","土","日")))</f>
        <v/>
      </c>
      <c r="D35" s="13" t="str">
        <f aca="false">IF(A35="","",INDEX(集計!$G$37:$G$44,MATCH(C35,集計!$A$37:$A$44,0)))</f>
        <v/>
      </c>
      <c r="E35" s="14" t="str">
        <f aca="false">IF(A35="","",設定!$B$13)</f>
        <v/>
      </c>
      <c r="F35" s="15" t="str">
        <f aca="false">IF(A35="","",設定!$B$11)</f>
        <v/>
      </c>
      <c r="G35" s="16" t="n">
        <v>1</v>
      </c>
      <c r="H35" s="17" t="str">
        <f aca="false">IF(A35="","",ROUND(D35*E35*F35*N(G35),0))</f>
        <v/>
      </c>
      <c r="I35" s="18" t="str">
        <f aca="false">IF(A35="","",ROUND(H35*INDEX(集計!$J$37:$J$44,MATCH(C35,集計!$A$37:$A$44,0)),-2))</f>
        <v/>
      </c>
      <c r="J35" s="19"/>
    </row>
    <row r="36" customFormat="false" ht="15" hidden="false" customHeight="false" outlineLevel="0" collapsed="false">
      <c r="A36" s="11" t="str">
        <f aca="false">IF(OR(設定!$B$5="",29&gt;設定!$B$6),"",設定!$B$5+28)</f>
        <v/>
      </c>
      <c r="B36" s="12" t="str">
        <f aca="false">IF(A36="","",CHOOSE(WEEKDAY(A36,2),"月","火","水","木","金","土","日"))</f>
        <v/>
      </c>
      <c r="C36" s="12" t="str">
        <f aca="false">IF(A36="","",IF(COUNTIF(祝日!$A:$A,A36)&gt;0,"祝",CHOOSE(WEEKDAY(A36,2),"月","火","水","木","金","土","日")))</f>
        <v/>
      </c>
      <c r="D36" s="13" t="str">
        <f aca="false">IF(A36="","",INDEX(集計!$G$37:$G$44,MATCH(C36,集計!$A$37:$A$44,0)))</f>
        <v/>
      </c>
      <c r="E36" s="14" t="str">
        <f aca="false">IF(A36="","",設定!$B$13)</f>
        <v/>
      </c>
      <c r="F36" s="15" t="str">
        <f aca="false">IF(A36="","",設定!$B$11)</f>
        <v/>
      </c>
      <c r="G36" s="16" t="n">
        <v>1</v>
      </c>
      <c r="H36" s="17" t="str">
        <f aca="false">IF(A36="","",ROUND(D36*E36*F36*N(G36),0))</f>
        <v/>
      </c>
      <c r="I36" s="18" t="str">
        <f aca="false">IF(A36="","",ROUND(H36*INDEX(集計!$J$37:$J$44,MATCH(C36,集計!$A$37:$A$44,0)),-2))</f>
        <v/>
      </c>
      <c r="J36" s="19"/>
    </row>
    <row r="37" customFormat="false" ht="15" hidden="false" customHeight="false" outlineLevel="0" collapsed="false">
      <c r="A37" s="11" t="str">
        <f aca="false">IF(OR(設定!$B$5="",30&gt;設定!$B$6),"",設定!$B$5+29)</f>
        <v/>
      </c>
      <c r="B37" s="12" t="str">
        <f aca="false">IF(A37="","",CHOOSE(WEEKDAY(A37,2),"月","火","水","木","金","土","日"))</f>
        <v/>
      </c>
      <c r="C37" s="12" t="str">
        <f aca="false">IF(A37="","",IF(COUNTIF(祝日!$A:$A,A37)&gt;0,"祝",CHOOSE(WEEKDAY(A37,2),"月","火","水","木","金","土","日")))</f>
        <v/>
      </c>
      <c r="D37" s="13" t="str">
        <f aca="false">IF(A37="","",INDEX(集計!$G$37:$G$44,MATCH(C37,集計!$A$37:$A$44,0)))</f>
        <v/>
      </c>
      <c r="E37" s="14" t="str">
        <f aca="false">IF(A37="","",設定!$B$13)</f>
        <v/>
      </c>
      <c r="F37" s="15" t="str">
        <f aca="false">IF(A37="","",設定!$B$11)</f>
        <v/>
      </c>
      <c r="G37" s="16" t="n">
        <v>1</v>
      </c>
      <c r="H37" s="17" t="str">
        <f aca="false">IF(A37="","",ROUND(D37*E37*F37*N(G37),0))</f>
        <v/>
      </c>
      <c r="I37" s="18" t="str">
        <f aca="false">IF(A37="","",ROUND(H37*INDEX(集計!$J$37:$J$44,MATCH(C37,集計!$A$37:$A$44,0)),-2))</f>
        <v/>
      </c>
      <c r="J37" s="19"/>
    </row>
    <row r="38" customFormat="false" ht="15" hidden="false" customHeight="false" outlineLevel="0" collapsed="false">
      <c r="A38" s="11" t="str">
        <f aca="false">IF(OR(設定!$B$5="",31&gt;設定!$B$6),"",設定!$B$5+30)</f>
        <v/>
      </c>
      <c r="B38" s="12" t="str">
        <f aca="false">IF(A38="","",CHOOSE(WEEKDAY(A38,2),"月","火","水","木","金","土","日"))</f>
        <v/>
      </c>
      <c r="C38" s="12" t="str">
        <f aca="false">IF(A38="","",IF(COUNTIF(祝日!$A:$A,A38)&gt;0,"祝",CHOOSE(WEEKDAY(A38,2),"月","火","水","木","金","土","日")))</f>
        <v/>
      </c>
      <c r="D38" s="13" t="str">
        <f aca="false">IF(A38="","",INDEX(集計!$G$37:$G$44,MATCH(C38,集計!$A$37:$A$44,0)))</f>
        <v/>
      </c>
      <c r="E38" s="14" t="str">
        <f aca="false">IF(A38="","",設定!$B$13)</f>
        <v/>
      </c>
      <c r="F38" s="15" t="str">
        <f aca="false">IF(A38="","",設定!$B$11)</f>
        <v/>
      </c>
      <c r="G38" s="16" t="n">
        <v>1</v>
      </c>
      <c r="H38" s="17" t="str">
        <f aca="false">IF(A38="","",ROUND(D38*E38*F38*N(G38),0))</f>
        <v/>
      </c>
      <c r="I38" s="18" t="str">
        <f aca="false">IF(A38="","",ROUND(H38*INDEX(集計!$J$37:$J$44,MATCH(C38,集計!$A$37:$A$44,0)),-2))</f>
        <v/>
      </c>
      <c r="J38" s="19"/>
    </row>
    <row r="39" customFormat="false" ht="15" hidden="false" customHeight="false" outlineLevel="0" collapsed="false">
      <c r="A39" s="20" t="s">
        <v>36</v>
      </c>
      <c r="B39" s="21"/>
      <c r="C39" s="21"/>
      <c r="D39" s="21"/>
      <c r="E39" s="21"/>
      <c r="F39" s="21"/>
      <c r="G39" s="21"/>
      <c r="H39" s="22" t="n">
        <f aca="false">SUM(H8:H38)</f>
        <v>0</v>
      </c>
      <c r="I39" s="22" t="n">
        <f aca="false">SUM(I8:I38)</f>
        <v>0</v>
      </c>
      <c r="J39" s="21"/>
    </row>
  </sheetData>
  <mergeCells count="8">
    <mergeCell ref="A3:C3"/>
    <mergeCell ref="D3:E3"/>
    <mergeCell ref="A4:C4"/>
    <mergeCell ref="D4:E4"/>
    <mergeCell ref="A5:C5"/>
    <mergeCell ref="D5:E5"/>
    <mergeCell ref="A6:C6"/>
    <mergeCell ref="D6:E6"/>
  </mergeCells>
  <conditionalFormatting sqref="A8:C38">
    <cfRule type="expression" priority="2" aboveAverage="0" equalAverage="0" bottom="0" percent="0" rank="0" text="" dxfId="0">
      <formula>$C8="土"</formula>
    </cfRule>
    <cfRule type="expression" priority="3" aboveAverage="0" equalAverage="0" bottom="0" percent="0" rank="0" text="" dxfId="1">
      <formula>OR($C8="日",$C8="祝")</formula>
    </cfRule>
  </conditionalFormatting>
  <dataValidations count="1">
    <dataValidation allowBlank="true" error="0〜5の倍率で入力してください（例：1.2）" errorStyle="stop" operator="between" showDropDown="false" showErrorMessage="false" showInputMessage="false" sqref="G8:G38" type="decimal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P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16" min="4" style="0" width="6"/>
  </cols>
  <sheetData>
    <row r="1" customFormat="false" ht="17.35" hidden="false" customHeight="false" outlineLevel="0" collapsed="false">
      <c r="A1" s="5" t="str">
        <f aca="false">IF(設定!B5="","時間帯別 予測客数",TEXT(設定!B5,"yyyy年m月")&amp;"　時間帯別 予測客数（シフト作成用）")</f>
        <v>時間帯別 予測客数</v>
      </c>
    </row>
    <row r="2" customFormat="false" ht="15" hidden="false" customHeight="false" outlineLevel="0" collapsed="false">
      <c r="A2" s="6" t="s">
        <v>37</v>
      </c>
    </row>
    <row r="4" customFormat="false" ht="15" hidden="false" customHeight="false" outlineLevel="0" collapsed="false">
      <c r="A4" s="10" t="s">
        <v>26</v>
      </c>
      <c r="B4" s="10" t="s">
        <v>38</v>
      </c>
      <c r="C4" s="10" t="s">
        <v>39</v>
      </c>
      <c r="D4" s="23" t="n">
        <f aca="false">集計!B51</f>
        <v>11</v>
      </c>
      <c r="E4" s="23" t="n">
        <f aca="false">集計!C51</f>
        <v>12</v>
      </c>
      <c r="F4" s="23" t="n">
        <f aca="false">集計!D51</f>
        <v>13</v>
      </c>
      <c r="G4" s="23" t="n">
        <f aca="false">集計!E51</f>
        <v>14</v>
      </c>
      <c r="H4" s="23" t="n">
        <f aca="false">集計!F51</f>
        <v>15</v>
      </c>
      <c r="I4" s="23" t="n">
        <f aca="false">集計!G51</f>
        <v>16</v>
      </c>
      <c r="J4" s="23" t="n">
        <f aca="false">集計!H51</f>
        <v>17</v>
      </c>
      <c r="K4" s="23" t="n">
        <f aca="false">集計!I51</f>
        <v>18</v>
      </c>
      <c r="L4" s="23" t="n">
        <f aca="false">集計!J51</f>
        <v>19</v>
      </c>
      <c r="M4" s="23" t="n">
        <f aca="false">集計!K51</f>
        <v>20</v>
      </c>
      <c r="N4" s="23" t="n">
        <f aca="false">集計!L51</f>
        <v>21</v>
      </c>
      <c r="O4" s="23" t="n">
        <f aca="false">集計!M51</f>
        <v>22</v>
      </c>
      <c r="P4" s="23" t="n">
        <f aca="false">集計!N51</f>
        <v>23</v>
      </c>
    </row>
    <row r="5" customFormat="false" ht="15" hidden="false" customHeight="false" outlineLevel="0" collapsed="false">
      <c r="A5" s="24" t="str">
        <f aca="false">予測!A8</f>
        <v/>
      </c>
      <c r="B5" s="12" t="str">
        <f aca="false">予測!C8</f>
        <v/>
      </c>
      <c r="C5" s="17" t="str">
        <f aca="false">予測!H8</f>
        <v/>
      </c>
      <c r="D5" s="25" t="str">
        <f aca="false">IF($A5="","",$C5*INDEX(集計!B$52:B$59,MATCH($B5,集計!$A$52:$A$59,0)))</f>
        <v/>
      </c>
      <c r="E5" s="25" t="str">
        <f aca="false">IF($A5="","",$C5*INDEX(集計!C$52:C$59,MATCH($B5,集計!$A$52:$A$59,0)))</f>
        <v/>
      </c>
      <c r="F5" s="25" t="str">
        <f aca="false">IF($A5="","",$C5*INDEX(集計!D$52:D$59,MATCH($B5,集計!$A$52:$A$59,0)))</f>
        <v/>
      </c>
      <c r="G5" s="25" t="str">
        <f aca="false">IF($A5="","",$C5*INDEX(集計!E$52:E$59,MATCH($B5,集計!$A$52:$A$59,0)))</f>
        <v/>
      </c>
      <c r="H5" s="25" t="str">
        <f aca="false">IF($A5="","",$C5*INDEX(集計!F$52:F$59,MATCH($B5,集計!$A$52:$A$59,0)))</f>
        <v/>
      </c>
      <c r="I5" s="25" t="str">
        <f aca="false">IF($A5="","",$C5*INDEX(集計!G$52:G$59,MATCH($B5,集計!$A$52:$A$59,0)))</f>
        <v/>
      </c>
      <c r="J5" s="25" t="str">
        <f aca="false">IF($A5="","",$C5*INDEX(集計!H$52:H$59,MATCH($B5,集計!$A$52:$A$59,0)))</f>
        <v/>
      </c>
      <c r="K5" s="25" t="str">
        <f aca="false">IF($A5="","",$C5*INDEX(集計!I$52:I$59,MATCH($B5,集計!$A$52:$A$59,0)))</f>
        <v/>
      </c>
      <c r="L5" s="25" t="str">
        <f aca="false">IF($A5="","",$C5*INDEX(集計!J$52:J$59,MATCH($B5,集計!$A$52:$A$59,0)))</f>
        <v/>
      </c>
      <c r="M5" s="25" t="str">
        <f aca="false">IF($A5="","",$C5*INDEX(集計!K$52:K$59,MATCH($B5,集計!$A$52:$A$59,0)))</f>
        <v/>
      </c>
      <c r="N5" s="25" t="str">
        <f aca="false">IF($A5="","",$C5*INDEX(集計!L$52:L$59,MATCH($B5,集計!$A$52:$A$59,0)))</f>
        <v/>
      </c>
      <c r="O5" s="25" t="str">
        <f aca="false">IF($A5="","",$C5*INDEX(集計!M$52:M$59,MATCH($B5,集計!$A$52:$A$59,0)))</f>
        <v/>
      </c>
      <c r="P5" s="25" t="str">
        <f aca="false">IF($A5="","",$C5*INDEX(集計!N$52:N$59,MATCH($B5,集計!$A$52:$A$59,0)))</f>
        <v/>
      </c>
    </row>
    <row r="6" customFormat="false" ht="15" hidden="false" customHeight="false" outlineLevel="0" collapsed="false">
      <c r="A6" s="24" t="str">
        <f aca="false">予測!A9</f>
        <v/>
      </c>
      <c r="B6" s="12" t="str">
        <f aca="false">予測!C9</f>
        <v/>
      </c>
      <c r="C6" s="17" t="str">
        <f aca="false">予測!H9</f>
        <v/>
      </c>
      <c r="D6" s="25" t="str">
        <f aca="false">IF($A6="","",$C6*INDEX(集計!B$52:B$59,MATCH($B6,集計!$A$52:$A$59,0)))</f>
        <v/>
      </c>
      <c r="E6" s="25" t="str">
        <f aca="false">IF($A6="","",$C6*INDEX(集計!C$52:C$59,MATCH($B6,集計!$A$52:$A$59,0)))</f>
        <v/>
      </c>
      <c r="F6" s="25" t="str">
        <f aca="false">IF($A6="","",$C6*INDEX(集計!D$52:D$59,MATCH($B6,集計!$A$52:$A$59,0)))</f>
        <v/>
      </c>
      <c r="G6" s="25" t="str">
        <f aca="false">IF($A6="","",$C6*INDEX(集計!E$52:E$59,MATCH($B6,集計!$A$52:$A$59,0)))</f>
        <v/>
      </c>
      <c r="H6" s="25" t="str">
        <f aca="false">IF($A6="","",$C6*INDEX(集計!F$52:F$59,MATCH($B6,集計!$A$52:$A$59,0)))</f>
        <v/>
      </c>
      <c r="I6" s="25" t="str">
        <f aca="false">IF($A6="","",$C6*INDEX(集計!G$52:G$59,MATCH($B6,集計!$A$52:$A$59,0)))</f>
        <v/>
      </c>
      <c r="J6" s="25" t="str">
        <f aca="false">IF($A6="","",$C6*INDEX(集計!H$52:H$59,MATCH($B6,集計!$A$52:$A$59,0)))</f>
        <v/>
      </c>
      <c r="K6" s="25" t="str">
        <f aca="false">IF($A6="","",$C6*INDEX(集計!I$52:I$59,MATCH($B6,集計!$A$52:$A$59,0)))</f>
        <v/>
      </c>
      <c r="L6" s="25" t="str">
        <f aca="false">IF($A6="","",$C6*INDEX(集計!J$52:J$59,MATCH($B6,集計!$A$52:$A$59,0)))</f>
        <v/>
      </c>
      <c r="M6" s="25" t="str">
        <f aca="false">IF($A6="","",$C6*INDEX(集計!K$52:K$59,MATCH($B6,集計!$A$52:$A$59,0)))</f>
        <v/>
      </c>
      <c r="N6" s="25" t="str">
        <f aca="false">IF($A6="","",$C6*INDEX(集計!L$52:L$59,MATCH($B6,集計!$A$52:$A$59,0)))</f>
        <v/>
      </c>
      <c r="O6" s="25" t="str">
        <f aca="false">IF($A6="","",$C6*INDEX(集計!M$52:M$59,MATCH($B6,集計!$A$52:$A$59,0)))</f>
        <v/>
      </c>
      <c r="P6" s="25" t="str">
        <f aca="false">IF($A6="","",$C6*INDEX(集計!N$52:N$59,MATCH($B6,集計!$A$52:$A$59,0)))</f>
        <v/>
      </c>
    </row>
    <row r="7" customFormat="false" ht="15" hidden="false" customHeight="false" outlineLevel="0" collapsed="false">
      <c r="A7" s="24" t="str">
        <f aca="false">予測!A10</f>
        <v/>
      </c>
      <c r="B7" s="12" t="str">
        <f aca="false">予測!C10</f>
        <v/>
      </c>
      <c r="C7" s="17" t="str">
        <f aca="false">予測!H10</f>
        <v/>
      </c>
      <c r="D7" s="25" t="str">
        <f aca="false">IF($A7="","",$C7*INDEX(集計!B$52:B$59,MATCH($B7,集計!$A$52:$A$59,0)))</f>
        <v/>
      </c>
      <c r="E7" s="25" t="str">
        <f aca="false">IF($A7="","",$C7*INDEX(集計!C$52:C$59,MATCH($B7,集計!$A$52:$A$59,0)))</f>
        <v/>
      </c>
      <c r="F7" s="25" t="str">
        <f aca="false">IF($A7="","",$C7*INDEX(集計!D$52:D$59,MATCH($B7,集計!$A$52:$A$59,0)))</f>
        <v/>
      </c>
      <c r="G7" s="25" t="str">
        <f aca="false">IF($A7="","",$C7*INDEX(集計!E$52:E$59,MATCH($B7,集計!$A$52:$A$59,0)))</f>
        <v/>
      </c>
      <c r="H7" s="25" t="str">
        <f aca="false">IF($A7="","",$C7*INDEX(集計!F$52:F$59,MATCH($B7,集計!$A$52:$A$59,0)))</f>
        <v/>
      </c>
      <c r="I7" s="25" t="str">
        <f aca="false">IF($A7="","",$C7*INDEX(集計!G$52:G$59,MATCH($B7,集計!$A$52:$A$59,0)))</f>
        <v/>
      </c>
      <c r="J7" s="25" t="str">
        <f aca="false">IF($A7="","",$C7*INDEX(集計!H$52:H$59,MATCH($B7,集計!$A$52:$A$59,0)))</f>
        <v/>
      </c>
      <c r="K7" s="25" t="str">
        <f aca="false">IF($A7="","",$C7*INDEX(集計!I$52:I$59,MATCH($B7,集計!$A$52:$A$59,0)))</f>
        <v/>
      </c>
      <c r="L7" s="25" t="str">
        <f aca="false">IF($A7="","",$C7*INDEX(集計!J$52:J$59,MATCH($B7,集計!$A$52:$A$59,0)))</f>
        <v/>
      </c>
      <c r="M7" s="25" t="str">
        <f aca="false">IF($A7="","",$C7*INDEX(集計!K$52:K$59,MATCH($B7,集計!$A$52:$A$59,0)))</f>
        <v/>
      </c>
      <c r="N7" s="25" t="str">
        <f aca="false">IF($A7="","",$C7*INDEX(集計!L$52:L$59,MATCH($B7,集計!$A$52:$A$59,0)))</f>
        <v/>
      </c>
      <c r="O7" s="25" t="str">
        <f aca="false">IF($A7="","",$C7*INDEX(集計!M$52:M$59,MATCH($B7,集計!$A$52:$A$59,0)))</f>
        <v/>
      </c>
      <c r="P7" s="25" t="str">
        <f aca="false">IF($A7="","",$C7*INDEX(集計!N$52:N$59,MATCH($B7,集計!$A$52:$A$59,0)))</f>
        <v/>
      </c>
    </row>
    <row r="8" customFormat="false" ht="15" hidden="false" customHeight="false" outlineLevel="0" collapsed="false">
      <c r="A8" s="24" t="str">
        <f aca="false">予測!A11</f>
        <v/>
      </c>
      <c r="B8" s="12" t="str">
        <f aca="false">予測!C11</f>
        <v/>
      </c>
      <c r="C8" s="17" t="str">
        <f aca="false">予測!H11</f>
        <v/>
      </c>
      <c r="D8" s="25" t="str">
        <f aca="false">IF($A8="","",$C8*INDEX(集計!B$52:B$59,MATCH($B8,集計!$A$52:$A$59,0)))</f>
        <v/>
      </c>
      <c r="E8" s="25" t="str">
        <f aca="false">IF($A8="","",$C8*INDEX(集計!C$52:C$59,MATCH($B8,集計!$A$52:$A$59,0)))</f>
        <v/>
      </c>
      <c r="F8" s="25" t="str">
        <f aca="false">IF($A8="","",$C8*INDEX(集計!D$52:D$59,MATCH($B8,集計!$A$52:$A$59,0)))</f>
        <v/>
      </c>
      <c r="G8" s="25" t="str">
        <f aca="false">IF($A8="","",$C8*INDEX(集計!E$52:E$59,MATCH($B8,集計!$A$52:$A$59,0)))</f>
        <v/>
      </c>
      <c r="H8" s="25" t="str">
        <f aca="false">IF($A8="","",$C8*INDEX(集計!F$52:F$59,MATCH($B8,集計!$A$52:$A$59,0)))</f>
        <v/>
      </c>
      <c r="I8" s="25" t="str">
        <f aca="false">IF($A8="","",$C8*INDEX(集計!G$52:G$59,MATCH($B8,集計!$A$52:$A$59,0)))</f>
        <v/>
      </c>
      <c r="J8" s="25" t="str">
        <f aca="false">IF($A8="","",$C8*INDEX(集計!H$52:H$59,MATCH($B8,集計!$A$52:$A$59,0)))</f>
        <v/>
      </c>
      <c r="K8" s="25" t="str">
        <f aca="false">IF($A8="","",$C8*INDEX(集計!I$52:I$59,MATCH($B8,集計!$A$52:$A$59,0)))</f>
        <v/>
      </c>
      <c r="L8" s="25" t="str">
        <f aca="false">IF($A8="","",$C8*INDEX(集計!J$52:J$59,MATCH($B8,集計!$A$52:$A$59,0)))</f>
        <v/>
      </c>
      <c r="M8" s="25" t="str">
        <f aca="false">IF($A8="","",$C8*INDEX(集計!K$52:K$59,MATCH($B8,集計!$A$52:$A$59,0)))</f>
        <v/>
      </c>
      <c r="N8" s="25" t="str">
        <f aca="false">IF($A8="","",$C8*INDEX(集計!L$52:L$59,MATCH($B8,集計!$A$52:$A$59,0)))</f>
        <v/>
      </c>
      <c r="O8" s="25" t="str">
        <f aca="false">IF($A8="","",$C8*INDEX(集計!M$52:M$59,MATCH($B8,集計!$A$52:$A$59,0)))</f>
        <v/>
      </c>
      <c r="P8" s="25" t="str">
        <f aca="false">IF($A8="","",$C8*INDEX(集計!N$52:N$59,MATCH($B8,集計!$A$52:$A$59,0)))</f>
        <v/>
      </c>
    </row>
    <row r="9" customFormat="false" ht="15" hidden="false" customHeight="false" outlineLevel="0" collapsed="false">
      <c r="A9" s="24" t="str">
        <f aca="false">予測!A12</f>
        <v/>
      </c>
      <c r="B9" s="12" t="str">
        <f aca="false">予測!C12</f>
        <v/>
      </c>
      <c r="C9" s="17" t="str">
        <f aca="false">予測!H12</f>
        <v/>
      </c>
      <c r="D9" s="25" t="str">
        <f aca="false">IF($A9="","",$C9*INDEX(集計!B$52:B$59,MATCH($B9,集計!$A$52:$A$59,0)))</f>
        <v/>
      </c>
      <c r="E9" s="25" t="str">
        <f aca="false">IF($A9="","",$C9*INDEX(集計!C$52:C$59,MATCH($B9,集計!$A$52:$A$59,0)))</f>
        <v/>
      </c>
      <c r="F9" s="25" t="str">
        <f aca="false">IF($A9="","",$C9*INDEX(集計!D$52:D$59,MATCH($B9,集計!$A$52:$A$59,0)))</f>
        <v/>
      </c>
      <c r="G9" s="25" t="str">
        <f aca="false">IF($A9="","",$C9*INDEX(集計!E$52:E$59,MATCH($B9,集計!$A$52:$A$59,0)))</f>
        <v/>
      </c>
      <c r="H9" s="25" t="str">
        <f aca="false">IF($A9="","",$C9*INDEX(集計!F$52:F$59,MATCH($B9,集計!$A$52:$A$59,0)))</f>
        <v/>
      </c>
      <c r="I9" s="25" t="str">
        <f aca="false">IF($A9="","",$C9*INDEX(集計!G$52:G$59,MATCH($B9,集計!$A$52:$A$59,0)))</f>
        <v/>
      </c>
      <c r="J9" s="25" t="str">
        <f aca="false">IF($A9="","",$C9*INDEX(集計!H$52:H$59,MATCH($B9,集計!$A$52:$A$59,0)))</f>
        <v/>
      </c>
      <c r="K9" s="25" t="str">
        <f aca="false">IF($A9="","",$C9*INDEX(集計!I$52:I$59,MATCH($B9,集計!$A$52:$A$59,0)))</f>
        <v/>
      </c>
      <c r="L9" s="25" t="str">
        <f aca="false">IF($A9="","",$C9*INDEX(集計!J$52:J$59,MATCH($B9,集計!$A$52:$A$59,0)))</f>
        <v/>
      </c>
      <c r="M9" s="25" t="str">
        <f aca="false">IF($A9="","",$C9*INDEX(集計!K$52:K$59,MATCH($B9,集計!$A$52:$A$59,0)))</f>
        <v/>
      </c>
      <c r="N9" s="25" t="str">
        <f aca="false">IF($A9="","",$C9*INDEX(集計!L$52:L$59,MATCH($B9,集計!$A$52:$A$59,0)))</f>
        <v/>
      </c>
      <c r="O9" s="25" t="str">
        <f aca="false">IF($A9="","",$C9*INDEX(集計!M$52:M$59,MATCH($B9,集計!$A$52:$A$59,0)))</f>
        <v/>
      </c>
      <c r="P9" s="25" t="str">
        <f aca="false">IF($A9="","",$C9*INDEX(集計!N$52:N$59,MATCH($B9,集計!$A$52:$A$59,0)))</f>
        <v/>
      </c>
    </row>
    <row r="10" customFormat="false" ht="15" hidden="false" customHeight="false" outlineLevel="0" collapsed="false">
      <c r="A10" s="24" t="str">
        <f aca="false">予測!A13</f>
        <v/>
      </c>
      <c r="B10" s="12" t="str">
        <f aca="false">予測!C13</f>
        <v/>
      </c>
      <c r="C10" s="17" t="str">
        <f aca="false">予測!H13</f>
        <v/>
      </c>
      <c r="D10" s="25" t="str">
        <f aca="false">IF($A10="","",$C10*INDEX(集計!B$52:B$59,MATCH($B10,集計!$A$52:$A$59,0)))</f>
        <v/>
      </c>
      <c r="E10" s="25" t="str">
        <f aca="false">IF($A10="","",$C10*INDEX(集計!C$52:C$59,MATCH($B10,集計!$A$52:$A$59,0)))</f>
        <v/>
      </c>
      <c r="F10" s="25" t="str">
        <f aca="false">IF($A10="","",$C10*INDEX(集計!D$52:D$59,MATCH($B10,集計!$A$52:$A$59,0)))</f>
        <v/>
      </c>
      <c r="G10" s="25" t="str">
        <f aca="false">IF($A10="","",$C10*INDEX(集計!E$52:E$59,MATCH($B10,集計!$A$52:$A$59,0)))</f>
        <v/>
      </c>
      <c r="H10" s="25" t="str">
        <f aca="false">IF($A10="","",$C10*INDEX(集計!F$52:F$59,MATCH($B10,集計!$A$52:$A$59,0)))</f>
        <v/>
      </c>
      <c r="I10" s="25" t="str">
        <f aca="false">IF($A10="","",$C10*INDEX(集計!G$52:G$59,MATCH($B10,集計!$A$52:$A$59,0)))</f>
        <v/>
      </c>
      <c r="J10" s="25" t="str">
        <f aca="false">IF($A10="","",$C10*INDEX(集計!H$52:H$59,MATCH($B10,集計!$A$52:$A$59,0)))</f>
        <v/>
      </c>
      <c r="K10" s="25" t="str">
        <f aca="false">IF($A10="","",$C10*INDEX(集計!I$52:I$59,MATCH($B10,集計!$A$52:$A$59,0)))</f>
        <v/>
      </c>
      <c r="L10" s="25" t="str">
        <f aca="false">IF($A10="","",$C10*INDEX(集計!J$52:J$59,MATCH($B10,集計!$A$52:$A$59,0)))</f>
        <v/>
      </c>
      <c r="M10" s="25" t="str">
        <f aca="false">IF($A10="","",$C10*INDEX(集計!K$52:K$59,MATCH($B10,集計!$A$52:$A$59,0)))</f>
        <v/>
      </c>
      <c r="N10" s="25" t="str">
        <f aca="false">IF($A10="","",$C10*INDEX(集計!L$52:L$59,MATCH($B10,集計!$A$52:$A$59,0)))</f>
        <v/>
      </c>
      <c r="O10" s="25" t="str">
        <f aca="false">IF($A10="","",$C10*INDEX(集計!M$52:M$59,MATCH($B10,集計!$A$52:$A$59,0)))</f>
        <v/>
      </c>
      <c r="P10" s="25" t="str">
        <f aca="false">IF($A10="","",$C10*INDEX(集計!N$52:N$59,MATCH($B10,集計!$A$52:$A$59,0)))</f>
        <v/>
      </c>
    </row>
    <row r="11" customFormat="false" ht="15" hidden="false" customHeight="false" outlineLevel="0" collapsed="false">
      <c r="A11" s="24" t="str">
        <f aca="false">予測!A14</f>
        <v/>
      </c>
      <c r="B11" s="12" t="str">
        <f aca="false">予測!C14</f>
        <v/>
      </c>
      <c r="C11" s="17" t="str">
        <f aca="false">予測!H14</f>
        <v/>
      </c>
      <c r="D11" s="25" t="str">
        <f aca="false">IF($A11="","",$C11*INDEX(集計!B$52:B$59,MATCH($B11,集計!$A$52:$A$59,0)))</f>
        <v/>
      </c>
      <c r="E11" s="25" t="str">
        <f aca="false">IF($A11="","",$C11*INDEX(集計!C$52:C$59,MATCH($B11,集計!$A$52:$A$59,0)))</f>
        <v/>
      </c>
      <c r="F11" s="25" t="str">
        <f aca="false">IF($A11="","",$C11*INDEX(集計!D$52:D$59,MATCH($B11,集計!$A$52:$A$59,0)))</f>
        <v/>
      </c>
      <c r="G11" s="25" t="str">
        <f aca="false">IF($A11="","",$C11*INDEX(集計!E$52:E$59,MATCH($B11,集計!$A$52:$A$59,0)))</f>
        <v/>
      </c>
      <c r="H11" s="25" t="str">
        <f aca="false">IF($A11="","",$C11*INDEX(集計!F$52:F$59,MATCH($B11,集計!$A$52:$A$59,0)))</f>
        <v/>
      </c>
      <c r="I11" s="25" t="str">
        <f aca="false">IF($A11="","",$C11*INDEX(集計!G$52:G$59,MATCH($B11,集計!$A$52:$A$59,0)))</f>
        <v/>
      </c>
      <c r="J11" s="25" t="str">
        <f aca="false">IF($A11="","",$C11*INDEX(集計!H$52:H$59,MATCH($B11,集計!$A$52:$A$59,0)))</f>
        <v/>
      </c>
      <c r="K11" s="25" t="str">
        <f aca="false">IF($A11="","",$C11*INDEX(集計!I$52:I$59,MATCH($B11,集計!$A$52:$A$59,0)))</f>
        <v/>
      </c>
      <c r="L11" s="25" t="str">
        <f aca="false">IF($A11="","",$C11*INDEX(集計!J$52:J$59,MATCH($B11,集計!$A$52:$A$59,0)))</f>
        <v/>
      </c>
      <c r="M11" s="25" t="str">
        <f aca="false">IF($A11="","",$C11*INDEX(集計!K$52:K$59,MATCH($B11,集計!$A$52:$A$59,0)))</f>
        <v/>
      </c>
      <c r="N11" s="25" t="str">
        <f aca="false">IF($A11="","",$C11*INDEX(集計!L$52:L$59,MATCH($B11,集計!$A$52:$A$59,0)))</f>
        <v/>
      </c>
      <c r="O11" s="25" t="str">
        <f aca="false">IF($A11="","",$C11*INDEX(集計!M$52:M$59,MATCH($B11,集計!$A$52:$A$59,0)))</f>
        <v/>
      </c>
      <c r="P11" s="25" t="str">
        <f aca="false">IF($A11="","",$C11*INDEX(集計!N$52:N$59,MATCH($B11,集計!$A$52:$A$59,0)))</f>
        <v/>
      </c>
    </row>
    <row r="12" customFormat="false" ht="15" hidden="false" customHeight="false" outlineLevel="0" collapsed="false">
      <c r="A12" s="24" t="str">
        <f aca="false">予測!A15</f>
        <v/>
      </c>
      <c r="B12" s="12" t="str">
        <f aca="false">予測!C15</f>
        <v/>
      </c>
      <c r="C12" s="17" t="str">
        <f aca="false">予測!H15</f>
        <v/>
      </c>
      <c r="D12" s="25" t="str">
        <f aca="false">IF($A12="","",$C12*INDEX(集計!B$52:B$59,MATCH($B12,集計!$A$52:$A$59,0)))</f>
        <v/>
      </c>
      <c r="E12" s="25" t="str">
        <f aca="false">IF($A12="","",$C12*INDEX(集計!C$52:C$59,MATCH($B12,集計!$A$52:$A$59,0)))</f>
        <v/>
      </c>
      <c r="F12" s="25" t="str">
        <f aca="false">IF($A12="","",$C12*INDEX(集計!D$52:D$59,MATCH($B12,集計!$A$52:$A$59,0)))</f>
        <v/>
      </c>
      <c r="G12" s="25" t="str">
        <f aca="false">IF($A12="","",$C12*INDEX(集計!E$52:E$59,MATCH($B12,集計!$A$52:$A$59,0)))</f>
        <v/>
      </c>
      <c r="H12" s="25" t="str">
        <f aca="false">IF($A12="","",$C12*INDEX(集計!F$52:F$59,MATCH($B12,集計!$A$52:$A$59,0)))</f>
        <v/>
      </c>
      <c r="I12" s="25" t="str">
        <f aca="false">IF($A12="","",$C12*INDEX(集計!G$52:G$59,MATCH($B12,集計!$A$52:$A$59,0)))</f>
        <v/>
      </c>
      <c r="J12" s="25" t="str">
        <f aca="false">IF($A12="","",$C12*INDEX(集計!H$52:H$59,MATCH($B12,集計!$A$52:$A$59,0)))</f>
        <v/>
      </c>
      <c r="K12" s="25" t="str">
        <f aca="false">IF($A12="","",$C12*INDEX(集計!I$52:I$59,MATCH($B12,集計!$A$52:$A$59,0)))</f>
        <v/>
      </c>
      <c r="L12" s="25" t="str">
        <f aca="false">IF($A12="","",$C12*INDEX(集計!J$52:J$59,MATCH($B12,集計!$A$52:$A$59,0)))</f>
        <v/>
      </c>
      <c r="M12" s="25" t="str">
        <f aca="false">IF($A12="","",$C12*INDEX(集計!K$52:K$59,MATCH($B12,集計!$A$52:$A$59,0)))</f>
        <v/>
      </c>
      <c r="N12" s="25" t="str">
        <f aca="false">IF($A12="","",$C12*INDEX(集計!L$52:L$59,MATCH($B12,集計!$A$52:$A$59,0)))</f>
        <v/>
      </c>
      <c r="O12" s="25" t="str">
        <f aca="false">IF($A12="","",$C12*INDEX(集計!M$52:M$59,MATCH($B12,集計!$A$52:$A$59,0)))</f>
        <v/>
      </c>
      <c r="P12" s="25" t="str">
        <f aca="false">IF($A12="","",$C12*INDEX(集計!N$52:N$59,MATCH($B12,集計!$A$52:$A$59,0)))</f>
        <v/>
      </c>
    </row>
    <row r="13" customFormat="false" ht="15" hidden="false" customHeight="false" outlineLevel="0" collapsed="false">
      <c r="A13" s="24" t="str">
        <f aca="false">予測!A16</f>
        <v/>
      </c>
      <c r="B13" s="12" t="str">
        <f aca="false">予測!C16</f>
        <v/>
      </c>
      <c r="C13" s="17" t="str">
        <f aca="false">予測!H16</f>
        <v/>
      </c>
      <c r="D13" s="25" t="str">
        <f aca="false">IF($A13="","",$C13*INDEX(集計!B$52:B$59,MATCH($B13,集計!$A$52:$A$59,0)))</f>
        <v/>
      </c>
      <c r="E13" s="25" t="str">
        <f aca="false">IF($A13="","",$C13*INDEX(集計!C$52:C$59,MATCH($B13,集計!$A$52:$A$59,0)))</f>
        <v/>
      </c>
      <c r="F13" s="25" t="str">
        <f aca="false">IF($A13="","",$C13*INDEX(集計!D$52:D$59,MATCH($B13,集計!$A$52:$A$59,0)))</f>
        <v/>
      </c>
      <c r="G13" s="25" t="str">
        <f aca="false">IF($A13="","",$C13*INDEX(集計!E$52:E$59,MATCH($B13,集計!$A$52:$A$59,0)))</f>
        <v/>
      </c>
      <c r="H13" s="25" t="str">
        <f aca="false">IF($A13="","",$C13*INDEX(集計!F$52:F$59,MATCH($B13,集計!$A$52:$A$59,0)))</f>
        <v/>
      </c>
      <c r="I13" s="25" t="str">
        <f aca="false">IF($A13="","",$C13*INDEX(集計!G$52:G$59,MATCH($B13,集計!$A$52:$A$59,0)))</f>
        <v/>
      </c>
      <c r="J13" s="25" t="str">
        <f aca="false">IF($A13="","",$C13*INDEX(集計!H$52:H$59,MATCH($B13,集計!$A$52:$A$59,0)))</f>
        <v/>
      </c>
      <c r="K13" s="25" t="str">
        <f aca="false">IF($A13="","",$C13*INDEX(集計!I$52:I$59,MATCH($B13,集計!$A$52:$A$59,0)))</f>
        <v/>
      </c>
      <c r="L13" s="25" t="str">
        <f aca="false">IF($A13="","",$C13*INDEX(集計!J$52:J$59,MATCH($B13,集計!$A$52:$A$59,0)))</f>
        <v/>
      </c>
      <c r="M13" s="25" t="str">
        <f aca="false">IF($A13="","",$C13*INDEX(集計!K$52:K$59,MATCH($B13,集計!$A$52:$A$59,0)))</f>
        <v/>
      </c>
      <c r="N13" s="25" t="str">
        <f aca="false">IF($A13="","",$C13*INDEX(集計!L$52:L$59,MATCH($B13,集計!$A$52:$A$59,0)))</f>
        <v/>
      </c>
      <c r="O13" s="25" t="str">
        <f aca="false">IF($A13="","",$C13*INDEX(集計!M$52:M$59,MATCH($B13,集計!$A$52:$A$59,0)))</f>
        <v/>
      </c>
      <c r="P13" s="25" t="str">
        <f aca="false">IF($A13="","",$C13*INDEX(集計!N$52:N$59,MATCH($B13,集計!$A$52:$A$59,0)))</f>
        <v/>
      </c>
    </row>
    <row r="14" customFormat="false" ht="15" hidden="false" customHeight="false" outlineLevel="0" collapsed="false">
      <c r="A14" s="24" t="str">
        <f aca="false">予測!A17</f>
        <v/>
      </c>
      <c r="B14" s="12" t="str">
        <f aca="false">予測!C17</f>
        <v/>
      </c>
      <c r="C14" s="17" t="str">
        <f aca="false">予測!H17</f>
        <v/>
      </c>
      <c r="D14" s="25" t="str">
        <f aca="false">IF($A14="","",$C14*INDEX(集計!B$52:B$59,MATCH($B14,集計!$A$52:$A$59,0)))</f>
        <v/>
      </c>
      <c r="E14" s="25" t="str">
        <f aca="false">IF($A14="","",$C14*INDEX(集計!C$52:C$59,MATCH($B14,集計!$A$52:$A$59,0)))</f>
        <v/>
      </c>
      <c r="F14" s="25" t="str">
        <f aca="false">IF($A14="","",$C14*INDEX(集計!D$52:D$59,MATCH($B14,集計!$A$52:$A$59,0)))</f>
        <v/>
      </c>
      <c r="G14" s="25" t="str">
        <f aca="false">IF($A14="","",$C14*INDEX(集計!E$52:E$59,MATCH($B14,集計!$A$52:$A$59,0)))</f>
        <v/>
      </c>
      <c r="H14" s="25" t="str">
        <f aca="false">IF($A14="","",$C14*INDEX(集計!F$52:F$59,MATCH($B14,集計!$A$52:$A$59,0)))</f>
        <v/>
      </c>
      <c r="I14" s="25" t="str">
        <f aca="false">IF($A14="","",$C14*INDEX(集計!G$52:G$59,MATCH($B14,集計!$A$52:$A$59,0)))</f>
        <v/>
      </c>
      <c r="J14" s="25" t="str">
        <f aca="false">IF($A14="","",$C14*INDEX(集計!H$52:H$59,MATCH($B14,集計!$A$52:$A$59,0)))</f>
        <v/>
      </c>
      <c r="K14" s="25" t="str">
        <f aca="false">IF($A14="","",$C14*INDEX(集計!I$52:I$59,MATCH($B14,集計!$A$52:$A$59,0)))</f>
        <v/>
      </c>
      <c r="L14" s="25" t="str">
        <f aca="false">IF($A14="","",$C14*INDEX(集計!J$52:J$59,MATCH($B14,集計!$A$52:$A$59,0)))</f>
        <v/>
      </c>
      <c r="M14" s="25" t="str">
        <f aca="false">IF($A14="","",$C14*INDEX(集計!K$52:K$59,MATCH($B14,集計!$A$52:$A$59,0)))</f>
        <v/>
      </c>
      <c r="N14" s="25" t="str">
        <f aca="false">IF($A14="","",$C14*INDEX(集計!L$52:L$59,MATCH($B14,集計!$A$52:$A$59,0)))</f>
        <v/>
      </c>
      <c r="O14" s="25" t="str">
        <f aca="false">IF($A14="","",$C14*INDEX(集計!M$52:M$59,MATCH($B14,集計!$A$52:$A$59,0)))</f>
        <v/>
      </c>
      <c r="P14" s="25" t="str">
        <f aca="false">IF($A14="","",$C14*INDEX(集計!N$52:N$59,MATCH($B14,集計!$A$52:$A$59,0)))</f>
        <v/>
      </c>
    </row>
    <row r="15" customFormat="false" ht="15" hidden="false" customHeight="false" outlineLevel="0" collapsed="false">
      <c r="A15" s="24" t="str">
        <f aca="false">予測!A18</f>
        <v/>
      </c>
      <c r="B15" s="12" t="str">
        <f aca="false">予測!C18</f>
        <v/>
      </c>
      <c r="C15" s="17" t="str">
        <f aca="false">予測!H18</f>
        <v/>
      </c>
      <c r="D15" s="25" t="str">
        <f aca="false">IF($A15="","",$C15*INDEX(集計!B$52:B$59,MATCH($B15,集計!$A$52:$A$59,0)))</f>
        <v/>
      </c>
      <c r="E15" s="25" t="str">
        <f aca="false">IF($A15="","",$C15*INDEX(集計!C$52:C$59,MATCH($B15,集計!$A$52:$A$59,0)))</f>
        <v/>
      </c>
      <c r="F15" s="25" t="str">
        <f aca="false">IF($A15="","",$C15*INDEX(集計!D$52:D$59,MATCH($B15,集計!$A$52:$A$59,0)))</f>
        <v/>
      </c>
      <c r="G15" s="25" t="str">
        <f aca="false">IF($A15="","",$C15*INDEX(集計!E$52:E$59,MATCH($B15,集計!$A$52:$A$59,0)))</f>
        <v/>
      </c>
      <c r="H15" s="25" t="str">
        <f aca="false">IF($A15="","",$C15*INDEX(集計!F$52:F$59,MATCH($B15,集計!$A$52:$A$59,0)))</f>
        <v/>
      </c>
      <c r="I15" s="25" t="str">
        <f aca="false">IF($A15="","",$C15*INDEX(集計!G$52:G$59,MATCH($B15,集計!$A$52:$A$59,0)))</f>
        <v/>
      </c>
      <c r="J15" s="25" t="str">
        <f aca="false">IF($A15="","",$C15*INDEX(集計!H$52:H$59,MATCH($B15,集計!$A$52:$A$59,0)))</f>
        <v/>
      </c>
      <c r="K15" s="25" t="str">
        <f aca="false">IF($A15="","",$C15*INDEX(集計!I$52:I$59,MATCH($B15,集計!$A$52:$A$59,0)))</f>
        <v/>
      </c>
      <c r="L15" s="25" t="str">
        <f aca="false">IF($A15="","",$C15*INDEX(集計!J$52:J$59,MATCH($B15,集計!$A$52:$A$59,0)))</f>
        <v/>
      </c>
      <c r="M15" s="25" t="str">
        <f aca="false">IF($A15="","",$C15*INDEX(集計!K$52:K$59,MATCH($B15,集計!$A$52:$A$59,0)))</f>
        <v/>
      </c>
      <c r="N15" s="25" t="str">
        <f aca="false">IF($A15="","",$C15*INDEX(集計!L$52:L$59,MATCH($B15,集計!$A$52:$A$59,0)))</f>
        <v/>
      </c>
      <c r="O15" s="25" t="str">
        <f aca="false">IF($A15="","",$C15*INDEX(集計!M$52:M$59,MATCH($B15,集計!$A$52:$A$59,0)))</f>
        <v/>
      </c>
      <c r="P15" s="25" t="str">
        <f aca="false">IF($A15="","",$C15*INDEX(集計!N$52:N$59,MATCH($B15,集計!$A$52:$A$59,0)))</f>
        <v/>
      </c>
    </row>
    <row r="16" customFormat="false" ht="15" hidden="false" customHeight="false" outlineLevel="0" collapsed="false">
      <c r="A16" s="24" t="str">
        <f aca="false">予測!A19</f>
        <v/>
      </c>
      <c r="B16" s="12" t="str">
        <f aca="false">予測!C19</f>
        <v/>
      </c>
      <c r="C16" s="17" t="str">
        <f aca="false">予測!H19</f>
        <v/>
      </c>
      <c r="D16" s="25" t="str">
        <f aca="false">IF($A16="","",$C16*INDEX(集計!B$52:B$59,MATCH($B16,集計!$A$52:$A$59,0)))</f>
        <v/>
      </c>
      <c r="E16" s="25" t="str">
        <f aca="false">IF($A16="","",$C16*INDEX(集計!C$52:C$59,MATCH($B16,集計!$A$52:$A$59,0)))</f>
        <v/>
      </c>
      <c r="F16" s="25" t="str">
        <f aca="false">IF($A16="","",$C16*INDEX(集計!D$52:D$59,MATCH($B16,集計!$A$52:$A$59,0)))</f>
        <v/>
      </c>
      <c r="G16" s="25" t="str">
        <f aca="false">IF($A16="","",$C16*INDEX(集計!E$52:E$59,MATCH($B16,集計!$A$52:$A$59,0)))</f>
        <v/>
      </c>
      <c r="H16" s="25" t="str">
        <f aca="false">IF($A16="","",$C16*INDEX(集計!F$52:F$59,MATCH($B16,集計!$A$52:$A$59,0)))</f>
        <v/>
      </c>
      <c r="I16" s="25" t="str">
        <f aca="false">IF($A16="","",$C16*INDEX(集計!G$52:G$59,MATCH($B16,集計!$A$52:$A$59,0)))</f>
        <v/>
      </c>
      <c r="J16" s="25" t="str">
        <f aca="false">IF($A16="","",$C16*INDEX(集計!H$52:H$59,MATCH($B16,集計!$A$52:$A$59,0)))</f>
        <v/>
      </c>
      <c r="K16" s="25" t="str">
        <f aca="false">IF($A16="","",$C16*INDEX(集計!I$52:I$59,MATCH($B16,集計!$A$52:$A$59,0)))</f>
        <v/>
      </c>
      <c r="L16" s="25" t="str">
        <f aca="false">IF($A16="","",$C16*INDEX(集計!J$52:J$59,MATCH($B16,集計!$A$52:$A$59,0)))</f>
        <v/>
      </c>
      <c r="M16" s="25" t="str">
        <f aca="false">IF($A16="","",$C16*INDEX(集計!K$52:K$59,MATCH($B16,集計!$A$52:$A$59,0)))</f>
        <v/>
      </c>
      <c r="N16" s="25" t="str">
        <f aca="false">IF($A16="","",$C16*INDEX(集計!L$52:L$59,MATCH($B16,集計!$A$52:$A$59,0)))</f>
        <v/>
      </c>
      <c r="O16" s="25" t="str">
        <f aca="false">IF($A16="","",$C16*INDEX(集計!M$52:M$59,MATCH($B16,集計!$A$52:$A$59,0)))</f>
        <v/>
      </c>
      <c r="P16" s="25" t="str">
        <f aca="false">IF($A16="","",$C16*INDEX(集計!N$52:N$59,MATCH($B16,集計!$A$52:$A$59,0)))</f>
        <v/>
      </c>
    </row>
    <row r="17" customFormat="false" ht="15" hidden="false" customHeight="false" outlineLevel="0" collapsed="false">
      <c r="A17" s="24" t="str">
        <f aca="false">予測!A20</f>
        <v/>
      </c>
      <c r="B17" s="12" t="str">
        <f aca="false">予測!C20</f>
        <v/>
      </c>
      <c r="C17" s="17" t="str">
        <f aca="false">予測!H20</f>
        <v/>
      </c>
      <c r="D17" s="25" t="str">
        <f aca="false">IF($A17="","",$C17*INDEX(集計!B$52:B$59,MATCH($B17,集計!$A$52:$A$59,0)))</f>
        <v/>
      </c>
      <c r="E17" s="25" t="str">
        <f aca="false">IF($A17="","",$C17*INDEX(集計!C$52:C$59,MATCH($B17,集計!$A$52:$A$59,0)))</f>
        <v/>
      </c>
      <c r="F17" s="25" t="str">
        <f aca="false">IF($A17="","",$C17*INDEX(集計!D$52:D$59,MATCH($B17,集計!$A$52:$A$59,0)))</f>
        <v/>
      </c>
      <c r="G17" s="25" t="str">
        <f aca="false">IF($A17="","",$C17*INDEX(集計!E$52:E$59,MATCH($B17,集計!$A$52:$A$59,0)))</f>
        <v/>
      </c>
      <c r="H17" s="25" t="str">
        <f aca="false">IF($A17="","",$C17*INDEX(集計!F$52:F$59,MATCH($B17,集計!$A$52:$A$59,0)))</f>
        <v/>
      </c>
      <c r="I17" s="25" t="str">
        <f aca="false">IF($A17="","",$C17*INDEX(集計!G$52:G$59,MATCH($B17,集計!$A$52:$A$59,0)))</f>
        <v/>
      </c>
      <c r="J17" s="25" t="str">
        <f aca="false">IF($A17="","",$C17*INDEX(集計!H$52:H$59,MATCH($B17,集計!$A$52:$A$59,0)))</f>
        <v/>
      </c>
      <c r="K17" s="25" t="str">
        <f aca="false">IF($A17="","",$C17*INDEX(集計!I$52:I$59,MATCH($B17,集計!$A$52:$A$59,0)))</f>
        <v/>
      </c>
      <c r="L17" s="25" t="str">
        <f aca="false">IF($A17="","",$C17*INDEX(集計!J$52:J$59,MATCH($B17,集計!$A$52:$A$59,0)))</f>
        <v/>
      </c>
      <c r="M17" s="25" t="str">
        <f aca="false">IF($A17="","",$C17*INDEX(集計!K$52:K$59,MATCH($B17,集計!$A$52:$A$59,0)))</f>
        <v/>
      </c>
      <c r="N17" s="25" t="str">
        <f aca="false">IF($A17="","",$C17*INDEX(集計!L$52:L$59,MATCH($B17,集計!$A$52:$A$59,0)))</f>
        <v/>
      </c>
      <c r="O17" s="25" t="str">
        <f aca="false">IF($A17="","",$C17*INDEX(集計!M$52:M$59,MATCH($B17,集計!$A$52:$A$59,0)))</f>
        <v/>
      </c>
      <c r="P17" s="25" t="str">
        <f aca="false">IF($A17="","",$C17*INDEX(集計!N$52:N$59,MATCH($B17,集計!$A$52:$A$59,0)))</f>
        <v/>
      </c>
    </row>
    <row r="18" customFormat="false" ht="15" hidden="false" customHeight="false" outlineLevel="0" collapsed="false">
      <c r="A18" s="24" t="str">
        <f aca="false">予測!A21</f>
        <v/>
      </c>
      <c r="B18" s="12" t="str">
        <f aca="false">予測!C21</f>
        <v/>
      </c>
      <c r="C18" s="17" t="str">
        <f aca="false">予測!H21</f>
        <v/>
      </c>
      <c r="D18" s="25" t="str">
        <f aca="false">IF($A18="","",$C18*INDEX(集計!B$52:B$59,MATCH($B18,集計!$A$52:$A$59,0)))</f>
        <v/>
      </c>
      <c r="E18" s="25" t="str">
        <f aca="false">IF($A18="","",$C18*INDEX(集計!C$52:C$59,MATCH($B18,集計!$A$52:$A$59,0)))</f>
        <v/>
      </c>
      <c r="F18" s="25" t="str">
        <f aca="false">IF($A18="","",$C18*INDEX(集計!D$52:D$59,MATCH($B18,集計!$A$52:$A$59,0)))</f>
        <v/>
      </c>
      <c r="G18" s="25" t="str">
        <f aca="false">IF($A18="","",$C18*INDEX(集計!E$52:E$59,MATCH($B18,集計!$A$52:$A$59,0)))</f>
        <v/>
      </c>
      <c r="H18" s="25" t="str">
        <f aca="false">IF($A18="","",$C18*INDEX(集計!F$52:F$59,MATCH($B18,集計!$A$52:$A$59,0)))</f>
        <v/>
      </c>
      <c r="I18" s="25" t="str">
        <f aca="false">IF($A18="","",$C18*INDEX(集計!G$52:G$59,MATCH($B18,集計!$A$52:$A$59,0)))</f>
        <v/>
      </c>
      <c r="J18" s="25" t="str">
        <f aca="false">IF($A18="","",$C18*INDEX(集計!H$52:H$59,MATCH($B18,集計!$A$52:$A$59,0)))</f>
        <v/>
      </c>
      <c r="K18" s="25" t="str">
        <f aca="false">IF($A18="","",$C18*INDEX(集計!I$52:I$59,MATCH($B18,集計!$A$52:$A$59,0)))</f>
        <v/>
      </c>
      <c r="L18" s="25" t="str">
        <f aca="false">IF($A18="","",$C18*INDEX(集計!J$52:J$59,MATCH($B18,集計!$A$52:$A$59,0)))</f>
        <v/>
      </c>
      <c r="M18" s="25" t="str">
        <f aca="false">IF($A18="","",$C18*INDEX(集計!K$52:K$59,MATCH($B18,集計!$A$52:$A$59,0)))</f>
        <v/>
      </c>
      <c r="N18" s="25" t="str">
        <f aca="false">IF($A18="","",$C18*INDEX(集計!L$52:L$59,MATCH($B18,集計!$A$52:$A$59,0)))</f>
        <v/>
      </c>
      <c r="O18" s="25" t="str">
        <f aca="false">IF($A18="","",$C18*INDEX(集計!M$52:M$59,MATCH($B18,集計!$A$52:$A$59,0)))</f>
        <v/>
      </c>
      <c r="P18" s="25" t="str">
        <f aca="false">IF($A18="","",$C18*INDEX(集計!N$52:N$59,MATCH($B18,集計!$A$52:$A$59,0)))</f>
        <v/>
      </c>
    </row>
    <row r="19" customFormat="false" ht="15" hidden="false" customHeight="false" outlineLevel="0" collapsed="false">
      <c r="A19" s="24" t="str">
        <f aca="false">予測!A22</f>
        <v/>
      </c>
      <c r="B19" s="12" t="str">
        <f aca="false">予測!C22</f>
        <v/>
      </c>
      <c r="C19" s="17" t="str">
        <f aca="false">予測!H22</f>
        <v/>
      </c>
      <c r="D19" s="25" t="str">
        <f aca="false">IF($A19="","",$C19*INDEX(集計!B$52:B$59,MATCH($B19,集計!$A$52:$A$59,0)))</f>
        <v/>
      </c>
      <c r="E19" s="25" t="str">
        <f aca="false">IF($A19="","",$C19*INDEX(集計!C$52:C$59,MATCH($B19,集計!$A$52:$A$59,0)))</f>
        <v/>
      </c>
      <c r="F19" s="25" t="str">
        <f aca="false">IF($A19="","",$C19*INDEX(集計!D$52:D$59,MATCH($B19,集計!$A$52:$A$59,0)))</f>
        <v/>
      </c>
      <c r="G19" s="25" t="str">
        <f aca="false">IF($A19="","",$C19*INDEX(集計!E$52:E$59,MATCH($B19,集計!$A$52:$A$59,0)))</f>
        <v/>
      </c>
      <c r="H19" s="25" t="str">
        <f aca="false">IF($A19="","",$C19*INDEX(集計!F$52:F$59,MATCH($B19,集計!$A$52:$A$59,0)))</f>
        <v/>
      </c>
      <c r="I19" s="25" t="str">
        <f aca="false">IF($A19="","",$C19*INDEX(集計!G$52:G$59,MATCH($B19,集計!$A$52:$A$59,0)))</f>
        <v/>
      </c>
      <c r="J19" s="25" t="str">
        <f aca="false">IF($A19="","",$C19*INDEX(集計!H$52:H$59,MATCH($B19,集計!$A$52:$A$59,0)))</f>
        <v/>
      </c>
      <c r="K19" s="25" t="str">
        <f aca="false">IF($A19="","",$C19*INDEX(集計!I$52:I$59,MATCH($B19,集計!$A$52:$A$59,0)))</f>
        <v/>
      </c>
      <c r="L19" s="25" t="str">
        <f aca="false">IF($A19="","",$C19*INDEX(集計!J$52:J$59,MATCH($B19,集計!$A$52:$A$59,0)))</f>
        <v/>
      </c>
      <c r="M19" s="25" t="str">
        <f aca="false">IF($A19="","",$C19*INDEX(集計!K$52:K$59,MATCH($B19,集計!$A$52:$A$59,0)))</f>
        <v/>
      </c>
      <c r="N19" s="25" t="str">
        <f aca="false">IF($A19="","",$C19*INDEX(集計!L$52:L$59,MATCH($B19,集計!$A$52:$A$59,0)))</f>
        <v/>
      </c>
      <c r="O19" s="25" t="str">
        <f aca="false">IF($A19="","",$C19*INDEX(集計!M$52:M$59,MATCH($B19,集計!$A$52:$A$59,0)))</f>
        <v/>
      </c>
      <c r="P19" s="25" t="str">
        <f aca="false">IF($A19="","",$C19*INDEX(集計!N$52:N$59,MATCH($B19,集計!$A$52:$A$59,0)))</f>
        <v/>
      </c>
    </row>
    <row r="20" customFormat="false" ht="15" hidden="false" customHeight="false" outlineLevel="0" collapsed="false">
      <c r="A20" s="24" t="str">
        <f aca="false">予測!A23</f>
        <v/>
      </c>
      <c r="B20" s="12" t="str">
        <f aca="false">予測!C23</f>
        <v/>
      </c>
      <c r="C20" s="17" t="str">
        <f aca="false">予測!H23</f>
        <v/>
      </c>
      <c r="D20" s="25" t="str">
        <f aca="false">IF($A20="","",$C20*INDEX(集計!B$52:B$59,MATCH($B20,集計!$A$52:$A$59,0)))</f>
        <v/>
      </c>
      <c r="E20" s="25" t="str">
        <f aca="false">IF($A20="","",$C20*INDEX(集計!C$52:C$59,MATCH($B20,集計!$A$52:$A$59,0)))</f>
        <v/>
      </c>
      <c r="F20" s="25" t="str">
        <f aca="false">IF($A20="","",$C20*INDEX(集計!D$52:D$59,MATCH($B20,集計!$A$52:$A$59,0)))</f>
        <v/>
      </c>
      <c r="G20" s="25" t="str">
        <f aca="false">IF($A20="","",$C20*INDEX(集計!E$52:E$59,MATCH($B20,集計!$A$52:$A$59,0)))</f>
        <v/>
      </c>
      <c r="H20" s="25" t="str">
        <f aca="false">IF($A20="","",$C20*INDEX(集計!F$52:F$59,MATCH($B20,集計!$A$52:$A$59,0)))</f>
        <v/>
      </c>
      <c r="I20" s="25" t="str">
        <f aca="false">IF($A20="","",$C20*INDEX(集計!G$52:G$59,MATCH($B20,集計!$A$52:$A$59,0)))</f>
        <v/>
      </c>
      <c r="J20" s="25" t="str">
        <f aca="false">IF($A20="","",$C20*INDEX(集計!H$52:H$59,MATCH($B20,集計!$A$52:$A$59,0)))</f>
        <v/>
      </c>
      <c r="K20" s="25" t="str">
        <f aca="false">IF($A20="","",$C20*INDEX(集計!I$52:I$59,MATCH($B20,集計!$A$52:$A$59,0)))</f>
        <v/>
      </c>
      <c r="L20" s="25" t="str">
        <f aca="false">IF($A20="","",$C20*INDEX(集計!J$52:J$59,MATCH($B20,集計!$A$52:$A$59,0)))</f>
        <v/>
      </c>
      <c r="M20" s="25" t="str">
        <f aca="false">IF($A20="","",$C20*INDEX(集計!K$52:K$59,MATCH($B20,集計!$A$52:$A$59,0)))</f>
        <v/>
      </c>
      <c r="N20" s="25" t="str">
        <f aca="false">IF($A20="","",$C20*INDEX(集計!L$52:L$59,MATCH($B20,集計!$A$52:$A$59,0)))</f>
        <v/>
      </c>
      <c r="O20" s="25" t="str">
        <f aca="false">IF($A20="","",$C20*INDEX(集計!M$52:M$59,MATCH($B20,集計!$A$52:$A$59,0)))</f>
        <v/>
      </c>
      <c r="P20" s="25" t="str">
        <f aca="false">IF($A20="","",$C20*INDEX(集計!N$52:N$59,MATCH($B20,集計!$A$52:$A$59,0)))</f>
        <v/>
      </c>
    </row>
    <row r="21" customFormat="false" ht="15" hidden="false" customHeight="false" outlineLevel="0" collapsed="false">
      <c r="A21" s="24" t="str">
        <f aca="false">予測!A24</f>
        <v/>
      </c>
      <c r="B21" s="12" t="str">
        <f aca="false">予測!C24</f>
        <v/>
      </c>
      <c r="C21" s="17" t="str">
        <f aca="false">予測!H24</f>
        <v/>
      </c>
      <c r="D21" s="25" t="str">
        <f aca="false">IF($A21="","",$C21*INDEX(集計!B$52:B$59,MATCH($B21,集計!$A$52:$A$59,0)))</f>
        <v/>
      </c>
      <c r="E21" s="25" t="str">
        <f aca="false">IF($A21="","",$C21*INDEX(集計!C$52:C$59,MATCH($B21,集計!$A$52:$A$59,0)))</f>
        <v/>
      </c>
      <c r="F21" s="25" t="str">
        <f aca="false">IF($A21="","",$C21*INDEX(集計!D$52:D$59,MATCH($B21,集計!$A$52:$A$59,0)))</f>
        <v/>
      </c>
      <c r="G21" s="25" t="str">
        <f aca="false">IF($A21="","",$C21*INDEX(集計!E$52:E$59,MATCH($B21,集計!$A$52:$A$59,0)))</f>
        <v/>
      </c>
      <c r="H21" s="25" t="str">
        <f aca="false">IF($A21="","",$C21*INDEX(集計!F$52:F$59,MATCH($B21,集計!$A$52:$A$59,0)))</f>
        <v/>
      </c>
      <c r="I21" s="25" t="str">
        <f aca="false">IF($A21="","",$C21*INDEX(集計!G$52:G$59,MATCH($B21,集計!$A$52:$A$59,0)))</f>
        <v/>
      </c>
      <c r="J21" s="25" t="str">
        <f aca="false">IF($A21="","",$C21*INDEX(集計!H$52:H$59,MATCH($B21,集計!$A$52:$A$59,0)))</f>
        <v/>
      </c>
      <c r="K21" s="25" t="str">
        <f aca="false">IF($A21="","",$C21*INDEX(集計!I$52:I$59,MATCH($B21,集計!$A$52:$A$59,0)))</f>
        <v/>
      </c>
      <c r="L21" s="25" t="str">
        <f aca="false">IF($A21="","",$C21*INDEX(集計!J$52:J$59,MATCH($B21,集計!$A$52:$A$59,0)))</f>
        <v/>
      </c>
      <c r="M21" s="25" t="str">
        <f aca="false">IF($A21="","",$C21*INDEX(集計!K$52:K$59,MATCH($B21,集計!$A$52:$A$59,0)))</f>
        <v/>
      </c>
      <c r="N21" s="25" t="str">
        <f aca="false">IF($A21="","",$C21*INDEX(集計!L$52:L$59,MATCH($B21,集計!$A$52:$A$59,0)))</f>
        <v/>
      </c>
      <c r="O21" s="25" t="str">
        <f aca="false">IF($A21="","",$C21*INDEX(集計!M$52:M$59,MATCH($B21,集計!$A$52:$A$59,0)))</f>
        <v/>
      </c>
      <c r="P21" s="25" t="str">
        <f aca="false">IF($A21="","",$C21*INDEX(集計!N$52:N$59,MATCH($B21,集計!$A$52:$A$59,0)))</f>
        <v/>
      </c>
    </row>
    <row r="22" customFormat="false" ht="15" hidden="false" customHeight="false" outlineLevel="0" collapsed="false">
      <c r="A22" s="24" t="str">
        <f aca="false">予測!A25</f>
        <v/>
      </c>
      <c r="B22" s="12" t="str">
        <f aca="false">予測!C25</f>
        <v/>
      </c>
      <c r="C22" s="17" t="str">
        <f aca="false">予測!H25</f>
        <v/>
      </c>
      <c r="D22" s="25" t="str">
        <f aca="false">IF($A22="","",$C22*INDEX(集計!B$52:B$59,MATCH($B22,集計!$A$52:$A$59,0)))</f>
        <v/>
      </c>
      <c r="E22" s="25" t="str">
        <f aca="false">IF($A22="","",$C22*INDEX(集計!C$52:C$59,MATCH($B22,集計!$A$52:$A$59,0)))</f>
        <v/>
      </c>
      <c r="F22" s="25" t="str">
        <f aca="false">IF($A22="","",$C22*INDEX(集計!D$52:D$59,MATCH($B22,集計!$A$52:$A$59,0)))</f>
        <v/>
      </c>
      <c r="G22" s="25" t="str">
        <f aca="false">IF($A22="","",$C22*INDEX(集計!E$52:E$59,MATCH($B22,集計!$A$52:$A$59,0)))</f>
        <v/>
      </c>
      <c r="H22" s="25" t="str">
        <f aca="false">IF($A22="","",$C22*INDEX(集計!F$52:F$59,MATCH($B22,集計!$A$52:$A$59,0)))</f>
        <v/>
      </c>
      <c r="I22" s="25" t="str">
        <f aca="false">IF($A22="","",$C22*INDEX(集計!G$52:G$59,MATCH($B22,集計!$A$52:$A$59,0)))</f>
        <v/>
      </c>
      <c r="J22" s="25" t="str">
        <f aca="false">IF($A22="","",$C22*INDEX(集計!H$52:H$59,MATCH($B22,集計!$A$52:$A$59,0)))</f>
        <v/>
      </c>
      <c r="K22" s="25" t="str">
        <f aca="false">IF($A22="","",$C22*INDEX(集計!I$52:I$59,MATCH($B22,集計!$A$52:$A$59,0)))</f>
        <v/>
      </c>
      <c r="L22" s="25" t="str">
        <f aca="false">IF($A22="","",$C22*INDEX(集計!J$52:J$59,MATCH($B22,集計!$A$52:$A$59,0)))</f>
        <v/>
      </c>
      <c r="M22" s="25" t="str">
        <f aca="false">IF($A22="","",$C22*INDEX(集計!K$52:K$59,MATCH($B22,集計!$A$52:$A$59,0)))</f>
        <v/>
      </c>
      <c r="N22" s="25" t="str">
        <f aca="false">IF($A22="","",$C22*INDEX(集計!L$52:L$59,MATCH($B22,集計!$A$52:$A$59,0)))</f>
        <v/>
      </c>
      <c r="O22" s="25" t="str">
        <f aca="false">IF($A22="","",$C22*INDEX(集計!M$52:M$59,MATCH($B22,集計!$A$52:$A$59,0)))</f>
        <v/>
      </c>
      <c r="P22" s="25" t="str">
        <f aca="false">IF($A22="","",$C22*INDEX(集計!N$52:N$59,MATCH($B22,集計!$A$52:$A$59,0)))</f>
        <v/>
      </c>
    </row>
    <row r="23" customFormat="false" ht="15" hidden="false" customHeight="false" outlineLevel="0" collapsed="false">
      <c r="A23" s="24" t="str">
        <f aca="false">予測!A26</f>
        <v/>
      </c>
      <c r="B23" s="12" t="str">
        <f aca="false">予測!C26</f>
        <v/>
      </c>
      <c r="C23" s="17" t="str">
        <f aca="false">予測!H26</f>
        <v/>
      </c>
      <c r="D23" s="25" t="str">
        <f aca="false">IF($A23="","",$C23*INDEX(集計!B$52:B$59,MATCH($B23,集計!$A$52:$A$59,0)))</f>
        <v/>
      </c>
      <c r="E23" s="25" t="str">
        <f aca="false">IF($A23="","",$C23*INDEX(集計!C$52:C$59,MATCH($B23,集計!$A$52:$A$59,0)))</f>
        <v/>
      </c>
      <c r="F23" s="25" t="str">
        <f aca="false">IF($A23="","",$C23*INDEX(集計!D$52:D$59,MATCH($B23,集計!$A$52:$A$59,0)))</f>
        <v/>
      </c>
      <c r="G23" s="25" t="str">
        <f aca="false">IF($A23="","",$C23*INDEX(集計!E$52:E$59,MATCH($B23,集計!$A$52:$A$59,0)))</f>
        <v/>
      </c>
      <c r="H23" s="25" t="str">
        <f aca="false">IF($A23="","",$C23*INDEX(集計!F$52:F$59,MATCH($B23,集計!$A$52:$A$59,0)))</f>
        <v/>
      </c>
      <c r="I23" s="25" t="str">
        <f aca="false">IF($A23="","",$C23*INDEX(集計!G$52:G$59,MATCH($B23,集計!$A$52:$A$59,0)))</f>
        <v/>
      </c>
      <c r="J23" s="25" t="str">
        <f aca="false">IF($A23="","",$C23*INDEX(集計!H$52:H$59,MATCH($B23,集計!$A$52:$A$59,0)))</f>
        <v/>
      </c>
      <c r="K23" s="25" t="str">
        <f aca="false">IF($A23="","",$C23*INDEX(集計!I$52:I$59,MATCH($B23,集計!$A$52:$A$59,0)))</f>
        <v/>
      </c>
      <c r="L23" s="25" t="str">
        <f aca="false">IF($A23="","",$C23*INDEX(集計!J$52:J$59,MATCH($B23,集計!$A$52:$A$59,0)))</f>
        <v/>
      </c>
      <c r="M23" s="25" t="str">
        <f aca="false">IF($A23="","",$C23*INDEX(集計!K$52:K$59,MATCH($B23,集計!$A$52:$A$59,0)))</f>
        <v/>
      </c>
      <c r="N23" s="25" t="str">
        <f aca="false">IF($A23="","",$C23*INDEX(集計!L$52:L$59,MATCH($B23,集計!$A$52:$A$59,0)))</f>
        <v/>
      </c>
      <c r="O23" s="25" t="str">
        <f aca="false">IF($A23="","",$C23*INDEX(集計!M$52:M$59,MATCH($B23,集計!$A$52:$A$59,0)))</f>
        <v/>
      </c>
      <c r="P23" s="25" t="str">
        <f aca="false">IF($A23="","",$C23*INDEX(集計!N$52:N$59,MATCH($B23,集計!$A$52:$A$59,0)))</f>
        <v/>
      </c>
    </row>
    <row r="24" customFormat="false" ht="15" hidden="false" customHeight="false" outlineLevel="0" collapsed="false">
      <c r="A24" s="24" t="str">
        <f aca="false">予測!A27</f>
        <v/>
      </c>
      <c r="B24" s="12" t="str">
        <f aca="false">予測!C27</f>
        <v/>
      </c>
      <c r="C24" s="17" t="str">
        <f aca="false">予測!H27</f>
        <v/>
      </c>
      <c r="D24" s="25" t="str">
        <f aca="false">IF($A24="","",$C24*INDEX(集計!B$52:B$59,MATCH($B24,集計!$A$52:$A$59,0)))</f>
        <v/>
      </c>
      <c r="E24" s="25" t="str">
        <f aca="false">IF($A24="","",$C24*INDEX(集計!C$52:C$59,MATCH($B24,集計!$A$52:$A$59,0)))</f>
        <v/>
      </c>
      <c r="F24" s="25" t="str">
        <f aca="false">IF($A24="","",$C24*INDEX(集計!D$52:D$59,MATCH($B24,集計!$A$52:$A$59,0)))</f>
        <v/>
      </c>
      <c r="G24" s="25" t="str">
        <f aca="false">IF($A24="","",$C24*INDEX(集計!E$52:E$59,MATCH($B24,集計!$A$52:$A$59,0)))</f>
        <v/>
      </c>
      <c r="H24" s="25" t="str">
        <f aca="false">IF($A24="","",$C24*INDEX(集計!F$52:F$59,MATCH($B24,集計!$A$52:$A$59,0)))</f>
        <v/>
      </c>
      <c r="I24" s="25" t="str">
        <f aca="false">IF($A24="","",$C24*INDEX(集計!G$52:G$59,MATCH($B24,集計!$A$52:$A$59,0)))</f>
        <v/>
      </c>
      <c r="J24" s="25" t="str">
        <f aca="false">IF($A24="","",$C24*INDEX(集計!H$52:H$59,MATCH($B24,集計!$A$52:$A$59,0)))</f>
        <v/>
      </c>
      <c r="K24" s="25" t="str">
        <f aca="false">IF($A24="","",$C24*INDEX(集計!I$52:I$59,MATCH($B24,集計!$A$52:$A$59,0)))</f>
        <v/>
      </c>
      <c r="L24" s="25" t="str">
        <f aca="false">IF($A24="","",$C24*INDEX(集計!J$52:J$59,MATCH($B24,集計!$A$52:$A$59,0)))</f>
        <v/>
      </c>
      <c r="M24" s="25" t="str">
        <f aca="false">IF($A24="","",$C24*INDEX(集計!K$52:K$59,MATCH($B24,集計!$A$52:$A$59,0)))</f>
        <v/>
      </c>
      <c r="N24" s="25" t="str">
        <f aca="false">IF($A24="","",$C24*INDEX(集計!L$52:L$59,MATCH($B24,集計!$A$52:$A$59,0)))</f>
        <v/>
      </c>
      <c r="O24" s="25" t="str">
        <f aca="false">IF($A24="","",$C24*INDEX(集計!M$52:M$59,MATCH($B24,集計!$A$52:$A$59,0)))</f>
        <v/>
      </c>
      <c r="P24" s="25" t="str">
        <f aca="false">IF($A24="","",$C24*INDEX(集計!N$52:N$59,MATCH($B24,集計!$A$52:$A$59,0)))</f>
        <v/>
      </c>
    </row>
    <row r="25" customFormat="false" ht="15" hidden="false" customHeight="false" outlineLevel="0" collapsed="false">
      <c r="A25" s="24" t="str">
        <f aca="false">予測!A28</f>
        <v/>
      </c>
      <c r="B25" s="12" t="str">
        <f aca="false">予測!C28</f>
        <v/>
      </c>
      <c r="C25" s="17" t="str">
        <f aca="false">予測!H28</f>
        <v/>
      </c>
      <c r="D25" s="25" t="str">
        <f aca="false">IF($A25="","",$C25*INDEX(集計!B$52:B$59,MATCH($B25,集計!$A$52:$A$59,0)))</f>
        <v/>
      </c>
      <c r="E25" s="25" t="str">
        <f aca="false">IF($A25="","",$C25*INDEX(集計!C$52:C$59,MATCH($B25,集計!$A$52:$A$59,0)))</f>
        <v/>
      </c>
      <c r="F25" s="25" t="str">
        <f aca="false">IF($A25="","",$C25*INDEX(集計!D$52:D$59,MATCH($B25,集計!$A$52:$A$59,0)))</f>
        <v/>
      </c>
      <c r="G25" s="25" t="str">
        <f aca="false">IF($A25="","",$C25*INDEX(集計!E$52:E$59,MATCH($B25,集計!$A$52:$A$59,0)))</f>
        <v/>
      </c>
      <c r="H25" s="25" t="str">
        <f aca="false">IF($A25="","",$C25*INDEX(集計!F$52:F$59,MATCH($B25,集計!$A$52:$A$59,0)))</f>
        <v/>
      </c>
      <c r="I25" s="25" t="str">
        <f aca="false">IF($A25="","",$C25*INDEX(集計!G$52:G$59,MATCH($B25,集計!$A$52:$A$59,0)))</f>
        <v/>
      </c>
      <c r="J25" s="25" t="str">
        <f aca="false">IF($A25="","",$C25*INDEX(集計!H$52:H$59,MATCH($B25,集計!$A$52:$A$59,0)))</f>
        <v/>
      </c>
      <c r="K25" s="25" t="str">
        <f aca="false">IF($A25="","",$C25*INDEX(集計!I$52:I$59,MATCH($B25,集計!$A$52:$A$59,0)))</f>
        <v/>
      </c>
      <c r="L25" s="25" t="str">
        <f aca="false">IF($A25="","",$C25*INDEX(集計!J$52:J$59,MATCH($B25,集計!$A$52:$A$59,0)))</f>
        <v/>
      </c>
      <c r="M25" s="25" t="str">
        <f aca="false">IF($A25="","",$C25*INDEX(集計!K$52:K$59,MATCH($B25,集計!$A$52:$A$59,0)))</f>
        <v/>
      </c>
      <c r="N25" s="25" t="str">
        <f aca="false">IF($A25="","",$C25*INDEX(集計!L$52:L$59,MATCH($B25,集計!$A$52:$A$59,0)))</f>
        <v/>
      </c>
      <c r="O25" s="25" t="str">
        <f aca="false">IF($A25="","",$C25*INDEX(集計!M$52:M$59,MATCH($B25,集計!$A$52:$A$59,0)))</f>
        <v/>
      </c>
      <c r="P25" s="25" t="str">
        <f aca="false">IF($A25="","",$C25*INDEX(集計!N$52:N$59,MATCH($B25,集計!$A$52:$A$59,0)))</f>
        <v/>
      </c>
    </row>
    <row r="26" customFormat="false" ht="15" hidden="false" customHeight="false" outlineLevel="0" collapsed="false">
      <c r="A26" s="24" t="str">
        <f aca="false">予測!A29</f>
        <v/>
      </c>
      <c r="B26" s="12" t="str">
        <f aca="false">予測!C29</f>
        <v/>
      </c>
      <c r="C26" s="17" t="str">
        <f aca="false">予測!H29</f>
        <v/>
      </c>
      <c r="D26" s="25" t="str">
        <f aca="false">IF($A26="","",$C26*INDEX(集計!B$52:B$59,MATCH($B26,集計!$A$52:$A$59,0)))</f>
        <v/>
      </c>
      <c r="E26" s="25" t="str">
        <f aca="false">IF($A26="","",$C26*INDEX(集計!C$52:C$59,MATCH($B26,集計!$A$52:$A$59,0)))</f>
        <v/>
      </c>
      <c r="F26" s="25" t="str">
        <f aca="false">IF($A26="","",$C26*INDEX(集計!D$52:D$59,MATCH($B26,集計!$A$52:$A$59,0)))</f>
        <v/>
      </c>
      <c r="G26" s="25" t="str">
        <f aca="false">IF($A26="","",$C26*INDEX(集計!E$52:E$59,MATCH($B26,集計!$A$52:$A$59,0)))</f>
        <v/>
      </c>
      <c r="H26" s="25" t="str">
        <f aca="false">IF($A26="","",$C26*INDEX(集計!F$52:F$59,MATCH($B26,集計!$A$52:$A$59,0)))</f>
        <v/>
      </c>
      <c r="I26" s="25" t="str">
        <f aca="false">IF($A26="","",$C26*INDEX(集計!G$52:G$59,MATCH($B26,集計!$A$52:$A$59,0)))</f>
        <v/>
      </c>
      <c r="J26" s="25" t="str">
        <f aca="false">IF($A26="","",$C26*INDEX(集計!H$52:H$59,MATCH($B26,集計!$A$52:$A$59,0)))</f>
        <v/>
      </c>
      <c r="K26" s="25" t="str">
        <f aca="false">IF($A26="","",$C26*INDEX(集計!I$52:I$59,MATCH($B26,集計!$A$52:$A$59,0)))</f>
        <v/>
      </c>
      <c r="L26" s="25" t="str">
        <f aca="false">IF($A26="","",$C26*INDEX(集計!J$52:J$59,MATCH($B26,集計!$A$52:$A$59,0)))</f>
        <v/>
      </c>
      <c r="M26" s="25" t="str">
        <f aca="false">IF($A26="","",$C26*INDEX(集計!K$52:K$59,MATCH($B26,集計!$A$52:$A$59,0)))</f>
        <v/>
      </c>
      <c r="N26" s="25" t="str">
        <f aca="false">IF($A26="","",$C26*INDEX(集計!L$52:L$59,MATCH($B26,集計!$A$52:$A$59,0)))</f>
        <v/>
      </c>
      <c r="O26" s="25" t="str">
        <f aca="false">IF($A26="","",$C26*INDEX(集計!M$52:M$59,MATCH($B26,集計!$A$52:$A$59,0)))</f>
        <v/>
      </c>
      <c r="P26" s="25" t="str">
        <f aca="false">IF($A26="","",$C26*INDEX(集計!N$52:N$59,MATCH($B26,集計!$A$52:$A$59,0)))</f>
        <v/>
      </c>
    </row>
    <row r="27" customFormat="false" ht="15" hidden="false" customHeight="false" outlineLevel="0" collapsed="false">
      <c r="A27" s="24" t="str">
        <f aca="false">予測!A30</f>
        <v/>
      </c>
      <c r="B27" s="12" t="str">
        <f aca="false">予測!C30</f>
        <v/>
      </c>
      <c r="C27" s="17" t="str">
        <f aca="false">予測!H30</f>
        <v/>
      </c>
      <c r="D27" s="25" t="str">
        <f aca="false">IF($A27="","",$C27*INDEX(集計!B$52:B$59,MATCH($B27,集計!$A$52:$A$59,0)))</f>
        <v/>
      </c>
      <c r="E27" s="25" t="str">
        <f aca="false">IF($A27="","",$C27*INDEX(集計!C$52:C$59,MATCH($B27,集計!$A$52:$A$59,0)))</f>
        <v/>
      </c>
      <c r="F27" s="25" t="str">
        <f aca="false">IF($A27="","",$C27*INDEX(集計!D$52:D$59,MATCH($B27,集計!$A$52:$A$59,0)))</f>
        <v/>
      </c>
      <c r="G27" s="25" t="str">
        <f aca="false">IF($A27="","",$C27*INDEX(集計!E$52:E$59,MATCH($B27,集計!$A$52:$A$59,0)))</f>
        <v/>
      </c>
      <c r="H27" s="25" t="str">
        <f aca="false">IF($A27="","",$C27*INDEX(集計!F$52:F$59,MATCH($B27,集計!$A$52:$A$59,0)))</f>
        <v/>
      </c>
      <c r="I27" s="25" t="str">
        <f aca="false">IF($A27="","",$C27*INDEX(集計!G$52:G$59,MATCH($B27,集計!$A$52:$A$59,0)))</f>
        <v/>
      </c>
      <c r="J27" s="25" t="str">
        <f aca="false">IF($A27="","",$C27*INDEX(集計!H$52:H$59,MATCH($B27,集計!$A$52:$A$59,0)))</f>
        <v/>
      </c>
      <c r="K27" s="25" t="str">
        <f aca="false">IF($A27="","",$C27*INDEX(集計!I$52:I$59,MATCH($B27,集計!$A$52:$A$59,0)))</f>
        <v/>
      </c>
      <c r="L27" s="25" t="str">
        <f aca="false">IF($A27="","",$C27*INDEX(集計!J$52:J$59,MATCH($B27,集計!$A$52:$A$59,0)))</f>
        <v/>
      </c>
      <c r="M27" s="25" t="str">
        <f aca="false">IF($A27="","",$C27*INDEX(集計!K$52:K$59,MATCH($B27,集計!$A$52:$A$59,0)))</f>
        <v/>
      </c>
      <c r="N27" s="25" t="str">
        <f aca="false">IF($A27="","",$C27*INDEX(集計!L$52:L$59,MATCH($B27,集計!$A$52:$A$59,0)))</f>
        <v/>
      </c>
      <c r="O27" s="25" t="str">
        <f aca="false">IF($A27="","",$C27*INDEX(集計!M$52:M$59,MATCH($B27,集計!$A$52:$A$59,0)))</f>
        <v/>
      </c>
      <c r="P27" s="25" t="str">
        <f aca="false">IF($A27="","",$C27*INDEX(集計!N$52:N$59,MATCH($B27,集計!$A$52:$A$59,0)))</f>
        <v/>
      </c>
    </row>
    <row r="28" customFormat="false" ht="15" hidden="false" customHeight="false" outlineLevel="0" collapsed="false">
      <c r="A28" s="24" t="str">
        <f aca="false">予測!A31</f>
        <v/>
      </c>
      <c r="B28" s="12" t="str">
        <f aca="false">予測!C31</f>
        <v/>
      </c>
      <c r="C28" s="17" t="str">
        <f aca="false">予測!H31</f>
        <v/>
      </c>
      <c r="D28" s="25" t="str">
        <f aca="false">IF($A28="","",$C28*INDEX(集計!B$52:B$59,MATCH($B28,集計!$A$52:$A$59,0)))</f>
        <v/>
      </c>
      <c r="E28" s="25" t="str">
        <f aca="false">IF($A28="","",$C28*INDEX(集計!C$52:C$59,MATCH($B28,集計!$A$52:$A$59,0)))</f>
        <v/>
      </c>
      <c r="F28" s="25" t="str">
        <f aca="false">IF($A28="","",$C28*INDEX(集計!D$52:D$59,MATCH($B28,集計!$A$52:$A$59,0)))</f>
        <v/>
      </c>
      <c r="G28" s="25" t="str">
        <f aca="false">IF($A28="","",$C28*INDEX(集計!E$52:E$59,MATCH($B28,集計!$A$52:$A$59,0)))</f>
        <v/>
      </c>
      <c r="H28" s="25" t="str">
        <f aca="false">IF($A28="","",$C28*INDEX(集計!F$52:F$59,MATCH($B28,集計!$A$52:$A$59,0)))</f>
        <v/>
      </c>
      <c r="I28" s="25" t="str">
        <f aca="false">IF($A28="","",$C28*INDEX(集計!G$52:G$59,MATCH($B28,集計!$A$52:$A$59,0)))</f>
        <v/>
      </c>
      <c r="J28" s="25" t="str">
        <f aca="false">IF($A28="","",$C28*INDEX(集計!H$52:H$59,MATCH($B28,集計!$A$52:$A$59,0)))</f>
        <v/>
      </c>
      <c r="K28" s="25" t="str">
        <f aca="false">IF($A28="","",$C28*INDEX(集計!I$52:I$59,MATCH($B28,集計!$A$52:$A$59,0)))</f>
        <v/>
      </c>
      <c r="L28" s="25" t="str">
        <f aca="false">IF($A28="","",$C28*INDEX(集計!J$52:J$59,MATCH($B28,集計!$A$52:$A$59,0)))</f>
        <v/>
      </c>
      <c r="M28" s="25" t="str">
        <f aca="false">IF($A28="","",$C28*INDEX(集計!K$52:K$59,MATCH($B28,集計!$A$52:$A$59,0)))</f>
        <v/>
      </c>
      <c r="N28" s="25" t="str">
        <f aca="false">IF($A28="","",$C28*INDEX(集計!L$52:L$59,MATCH($B28,集計!$A$52:$A$59,0)))</f>
        <v/>
      </c>
      <c r="O28" s="25" t="str">
        <f aca="false">IF($A28="","",$C28*INDEX(集計!M$52:M$59,MATCH($B28,集計!$A$52:$A$59,0)))</f>
        <v/>
      </c>
      <c r="P28" s="25" t="str">
        <f aca="false">IF($A28="","",$C28*INDEX(集計!N$52:N$59,MATCH($B28,集計!$A$52:$A$59,0)))</f>
        <v/>
      </c>
    </row>
    <row r="29" customFormat="false" ht="15" hidden="false" customHeight="false" outlineLevel="0" collapsed="false">
      <c r="A29" s="24" t="str">
        <f aca="false">予測!A32</f>
        <v/>
      </c>
      <c r="B29" s="12" t="str">
        <f aca="false">予測!C32</f>
        <v/>
      </c>
      <c r="C29" s="17" t="str">
        <f aca="false">予測!H32</f>
        <v/>
      </c>
      <c r="D29" s="25" t="str">
        <f aca="false">IF($A29="","",$C29*INDEX(集計!B$52:B$59,MATCH($B29,集計!$A$52:$A$59,0)))</f>
        <v/>
      </c>
      <c r="E29" s="25" t="str">
        <f aca="false">IF($A29="","",$C29*INDEX(集計!C$52:C$59,MATCH($B29,集計!$A$52:$A$59,0)))</f>
        <v/>
      </c>
      <c r="F29" s="25" t="str">
        <f aca="false">IF($A29="","",$C29*INDEX(集計!D$52:D$59,MATCH($B29,集計!$A$52:$A$59,0)))</f>
        <v/>
      </c>
      <c r="G29" s="25" t="str">
        <f aca="false">IF($A29="","",$C29*INDEX(集計!E$52:E$59,MATCH($B29,集計!$A$52:$A$59,0)))</f>
        <v/>
      </c>
      <c r="H29" s="25" t="str">
        <f aca="false">IF($A29="","",$C29*INDEX(集計!F$52:F$59,MATCH($B29,集計!$A$52:$A$59,0)))</f>
        <v/>
      </c>
      <c r="I29" s="25" t="str">
        <f aca="false">IF($A29="","",$C29*INDEX(集計!G$52:G$59,MATCH($B29,集計!$A$52:$A$59,0)))</f>
        <v/>
      </c>
      <c r="J29" s="25" t="str">
        <f aca="false">IF($A29="","",$C29*INDEX(集計!H$52:H$59,MATCH($B29,集計!$A$52:$A$59,0)))</f>
        <v/>
      </c>
      <c r="K29" s="25" t="str">
        <f aca="false">IF($A29="","",$C29*INDEX(集計!I$52:I$59,MATCH($B29,集計!$A$52:$A$59,0)))</f>
        <v/>
      </c>
      <c r="L29" s="25" t="str">
        <f aca="false">IF($A29="","",$C29*INDEX(集計!J$52:J$59,MATCH($B29,集計!$A$52:$A$59,0)))</f>
        <v/>
      </c>
      <c r="M29" s="25" t="str">
        <f aca="false">IF($A29="","",$C29*INDEX(集計!K$52:K$59,MATCH($B29,集計!$A$52:$A$59,0)))</f>
        <v/>
      </c>
      <c r="N29" s="25" t="str">
        <f aca="false">IF($A29="","",$C29*INDEX(集計!L$52:L$59,MATCH($B29,集計!$A$52:$A$59,0)))</f>
        <v/>
      </c>
      <c r="O29" s="25" t="str">
        <f aca="false">IF($A29="","",$C29*INDEX(集計!M$52:M$59,MATCH($B29,集計!$A$52:$A$59,0)))</f>
        <v/>
      </c>
      <c r="P29" s="25" t="str">
        <f aca="false">IF($A29="","",$C29*INDEX(集計!N$52:N$59,MATCH($B29,集計!$A$52:$A$59,0)))</f>
        <v/>
      </c>
    </row>
    <row r="30" customFormat="false" ht="15" hidden="false" customHeight="false" outlineLevel="0" collapsed="false">
      <c r="A30" s="24" t="str">
        <f aca="false">予測!A33</f>
        <v/>
      </c>
      <c r="B30" s="12" t="str">
        <f aca="false">予測!C33</f>
        <v/>
      </c>
      <c r="C30" s="17" t="str">
        <f aca="false">予測!H33</f>
        <v/>
      </c>
      <c r="D30" s="25" t="str">
        <f aca="false">IF($A30="","",$C30*INDEX(集計!B$52:B$59,MATCH($B30,集計!$A$52:$A$59,0)))</f>
        <v/>
      </c>
      <c r="E30" s="25" t="str">
        <f aca="false">IF($A30="","",$C30*INDEX(集計!C$52:C$59,MATCH($B30,集計!$A$52:$A$59,0)))</f>
        <v/>
      </c>
      <c r="F30" s="25" t="str">
        <f aca="false">IF($A30="","",$C30*INDEX(集計!D$52:D$59,MATCH($B30,集計!$A$52:$A$59,0)))</f>
        <v/>
      </c>
      <c r="G30" s="25" t="str">
        <f aca="false">IF($A30="","",$C30*INDEX(集計!E$52:E$59,MATCH($B30,集計!$A$52:$A$59,0)))</f>
        <v/>
      </c>
      <c r="H30" s="25" t="str">
        <f aca="false">IF($A30="","",$C30*INDEX(集計!F$52:F$59,MATCH($B30,集計!$A$52:$A$59,0)))</f>
        <v/>
      </c>
      <c r="I30" s="25" t="str">
        <f aca="false">IF($A30="","",$C30*INDEX(集計!G$52:G$59,MATCH($B30,集計!$A$52:$A$59,0)))</f>
        <v/>
      </c>
      <c r="J30" s="25" t="str">
        <f aca="false">IF($A30="","",$C30*INDEX(集計!H$52:H$59,MATCH($B30,集計!$A$52:$A$59,0)))</f>
        <v/>
      </c>
      <c r="K30" s="25" t="str">
        <f aca="false">IF($A30="","",$C30*INDEX(集計!I$52:I$59,MATCH($B30,集計!$A$52:$A$59,0)))</f>
        <v/>
      </c>
      <c r="L30" s="25" t="str">
        <f aca="false">IF($A30="","",$C30*INDEX(集計!J$52:J$59,MATCH($B30,集計!$A$52:$A$59,0)))</f>
        <v/>
      </c>
      <c r="M30" s="25" t="str">
        <f aca="false">IF($A30="","",$C30*INDEX(集計!K$52:K$59,MATCH($B30,集計!$A$52:$A$59,0)))</f>
        <v/>
      </c>
      <c r="N30" s="25" t="str">
        <f aca="false">IF($A30="","",$C30*INDEX(集計!L$52:L$59,MATCH($B30,集計!$A$52:$A$59,0)))</f>
        <v/>
      </c>
      <c r="O30" s="25" t="str">
        <f aca="false">IF($A30="","",$C30*INDEX(集計!M$52:M$59,MATCH($B30,集計!$A$52:$A$59,0)))</f>
        <v/>
      </c>
      <c r="P30" s="25" t="str">
        <f aca="false">IF($A30="","",$C30*INDEX(集計!N$52:N$59,MATCH($B30,集計!$A$52:$A$59,0)))</f>
        <v/>
      </c>
    </row>
    <row r="31" customFormat="false" ht="15" hidden="false" customHeight="false" outlineLevel="0" collapsed="false">
      <c r="A31" s="24" t="str">
        <f aca="false">予測!A34</f>
        <v/>
      </c>
      <c r="B31" s="12" t="str">
        <f aca="false">予測!C34</f>
        <v/>
      </c>
      <c r="C31" s="17" t="str">
        <f aca="false">予測!H34</f>
        <v/>
      </c>
      <c r="D31" s="25" t="str">
        <f aca="false">IF($A31="","",$C31*INDEX(集計!B$52:B$59,MATCH($B31,集計!$A$52:$A$59,0)))</f>
        <v/>
      </c>
      <c r="E31" s="25" t="str">
        <f aca="false">IF($A31="","",$C31*INDEX(集計!C$52:C$59,MATCH($B31,集計!$A$52:$A$59,0)))</f>
        <v/>
      </c>
      <c r="F31" s="25" t="str">
        <f aca="false">IF($A31="","",$C31*INDEX(集計!D$52:D$59,MATCH($B31,集計!$A$52:$A$59,0)))</f>
        <v/>
      </c>
      <c r="G31" s="25" t="str">
        <f aca="false">IF($A31="","",$C31*INDEX(集計!E$52:E$59,MATCH($B31,集計!$A$52:$A$59,0)))</f>
        <v/>
      </c>
      <c r="H31" s="25" t="str">
        <f aca="false">IF($A31="","",$C31*INDEX(集計!F$52:F$59,MATCH($B31,集計!$A$52:$A$59,0)))</f>
        <v/>
      </c>
      <c r="I31" s="25" t="str">
        <f aca="false">IF($A31="","",$C31*INDEX(集計!G$52:G$59,MATCH($B31,集計!$A$52:$A$59,0)))</f>
        <v/>
      </c>
      <c r="J31" s="25" t="str">
        <f aca="false">IF($A31="","",$C31*INDEX(集計!H$52:H$59,MATCH($B31,集計!$A$52:$A$59,0)))</f>
        <v/>
      </c>
      <c r="K31" s="25" t="str">
        <f aca="false">IF($A31="","",$C31*INDEX(集計!I$52:I$59,MATCH($B31,集計!$A$52:$A$59,0)))</f>
        <v/>
      </c>
      <c r="L31" s="25" t="str">
        <f aca="false">IF($A31="","",$C31*INDEX(集計!J$52:J$59,MATCH($B31,集計!$A$52:$A$59,0)))</f>
        <v/>
      </c>
      <c r="M31" s="25" t="str">
        <f aca="false">IF($A31="","",$C31*INDEX(集計!K$52:K$59,MATCH($B31,集計!$A$52:$A$59,0)))</f>
        <v/>
      </c>
      <c r="N31" s="25" t="str">
        <f aca="false">IF($A31="","",$C31*INDEX(集計!L$52:L$59,MATCH($B31,集計!$A$52:$A$59,0)))</f>
        <v/>
      </c>
      <c r="O31" s="25" t="str">
        <f aca="false">IF($A31="","",$C31*INDEX(集計!M$52:M$59,MATCH($B31,集計!$A$52:$A$59,0)))</f>
        <v/>
      </c>
      <c r="P31" s="25" t="str">
        <f aca="false">IF($A31="","",$C31*INDEX(集計!N$52:N$59,MATCH($B31,集計!$A$52:$A$59,0)))</f>
        <v/>
      </c>
    </row>
    <row r="32" customFormat="false" ht="15" hidden="false" customHeight="false" outlineLevel="0" collapsed="false">
      <c r="A32" s="24" t="str">
        <f aca="false">予測!A35</f>
        <v/>
      </c>
      <c r="B32" s="12" t="str">
        <f aca="false">予測!C35</f>
        <v/>
      </c>
      <c r="C32" s="17" t="str">
        <f aca="false">予測!H35</f>
        <v/>
      </c>
      <c r="D32" s="25" t="str">
        <f aca="false">IF($A32="","",$C32*INDEX(集計!B$52:B$59,MATCH($B32,集計!$A$52:$A$59,0)))</f>
        <v/>
      </c>
      <c r="E32" s="25" t="str">
        <f aca="false">IF($A32="","",$C32*INDEX(集計!C$52:C$59,MATCH($B32,集計!$A$52:$A$59,0)))</f>
        <v/>
      </c>
      <c r="F32" s="25" t="str">
        <f aca="false">IF($A32="","",$C32*INDEX(集計!D$52:D$59,MATCH($B32,集計!$A$52:$A$59,0)))</f>
        <v/>
      </c>
      <c r="G32" s="25" t="str">
        <f aca="false">IF($A32="","",$C32*INDEX(集計!E$52:E$59,MATCH($B32,集計!$A$52:$A$59,0)))</f>
        <v/>
      </c>
      <c r="H32" s="25" t="str">
        <f aca="false">IF($A32="","",$C32*INDEX(集計!F$52:F$59,MATCH($B32,集計!$A$52:$A$59,0)))</f>
        <v/>
      </c>
      <c r="I32" s="25" t="str">
        <f aca="false">IF($A32="","",$C32*INDEX(集計!G$52:G$59,MATCH($B32,集計!$A$52:$A$59,0)))</f>
        <v/>
      </c>
      <c r="J32" s="25" t="str">
        <f aca="false">IF($A32="","",$C32*INDEX(集計!H$52:H$59,MATCH($B32,集計!$A$52:$A$59,0)))</f>
        <v/>
      </c>
      <c r="K32" s="25" t="str">
        <f aca="false">IF($A32="","",$C32*INDEX(集計!I$52:I$59,MATCH($B32,集計!$A$52:$A$59,0)))</f>
        <v/>
      </c>
      <c r="L32" s="25" t="str">
        <f aca="false">IF($A32="","",$C32*INDEX(集計!J$52:J$59,MATCH($B32,集計!$A$52:$A$59,0)))</f>
        <v/>
      </c>
      <c r="M32" s="25" t="str">
        <f aca="false">IF($A32="","",$C32*INDEX(集計!K$52:K$59,MATCH($B32,集計!$A$52:$A$59,0)))</f>
        <v/>
      </c>
      <c r="N32" s="25" t="str">
        <f aca="false">IF($A32="","",$C32*INDEX(集計!L$52:L$59,MATCH($B32,集計!$A$52:$A$59,0)))</f>
        <v/>
      </c>
      <c r="O32" s="25" t="str">
        <f aca="false">IF($A32="","",$C32*INDEX(集計!M$52:M$59,MATCH($B32,集計!$A$52:$A$59,0)))</f>
        <v/>
      </c>
      <c r="P32" s="25" t="str">
        <f aca="false">IF($A32="","",$C32*INDEX(集計!N$52:N$59,MATCH($B32,集計!$A$52:$A$59,0)))</f>
        <v/>
      </c>
    </row>
    <row r="33" customFormat="false" ht="15" hidden="false" customHeight="false" outlineLevel="0" collapsed="false">
      <c r="A33" s="24" t="str">
        <f aca="false">予測!A36</f>
        <v/>
      </c>
      <c r="B33" s="12" t="str">
        <f aca="false">予測!C36</f>
        <v/>
      </c>
      <c r="C33" s="17" t="str">
        <f aca="false">予測!H36</f>
        <v/>
      </c>
      <c r="D33" s="25" t="str">
        <f aca="false">IF($A33="","",$C33*INDEX(集計!B$52:B$59,MATCH($B33,集計!$A$52:$A$59,0)))</f>
        <v/>
      </c>
      <c r="E33" s="25" t="str">
        <f aca="false">IF($A33="","",$C33*INDEX(集計!C$52:C$59,MATCH($B33,集計!$A$52:$A$59,0)))</f>
        <v/>
      </c>
      <c r="F33" s="25" t="str">
        <f aca="false">IF($A33="","",$C33*INDEX(集計!D$52:D$59,MATCH($B33,集計!$A$52:$A$59,0)))</f>
        <v/>
      </c>
      <c r="G33" s="25" t="str">
        <f aca="false">IF($A33="","",$C33*INDEX(集計!E$52:E$59,MATCH($B33,集計!$A$52:$A$59,0)))</f>
        <v/>
      </c>
      <c r="H33" s="25" t="str">
        <f aca="false">IF($A33="","",$C33*INDEX(集計!F$52:F$59,MATCH($B33,集計!$A$52:$A$59,0)))</f>
        <v/>
      </c>
      <c r="I33" s="25" t="str">
        <f aca="false">IF($A33="","",$C33*INDEX(集計!G$52:G$59,MATCH($B33,集計!$A$52:$A$59,0)))</f>
        <v/>
      </c>
      <c r="J33" s="25" t="str">
        <f aca="false">IF($A33="","",$C33*INDEX(集計!H$52:H$59,MATCH($B33,集計!$A$52:$A$59,0)))</f>
        <v/>
      </c>
      <c r="K33" s="25" t="str">
        <f aca="false">IF($A33="","",$C33*INDEX(集計!I$52:I$59,MATCH($B33,集計!$A$52:$A$59,0)))</f>
        <v/>
      </c>
      <c r="L33" s="25" t="str">
        <f aca="false">IF($A33="","",$C33*INDEX(集計!J$52:J$59,MATCH($B33,集計!$A$52:$A$59,0)))</f>
        <v/>
      </c>
      <c r="M33" s="25" t="str">
        <f aca="false">IF($A33="","",$C33*INDEX(集計!K$52:K$59,MATCH($B33,集計!$A$52:$A$59,0)))</f>
        <v/>
      </c>
      <c r="N33" s="25" t="str">
        <f aca="false">IF($A33="","",$C33*INDEX(集計!L$52:L$59,MATCH($B33,集計!$A$52:$A$59,0)))</f>
        <v/>
      </c>
      <c r="O33" s="25" t="str">
        <f aca="false">IF($A33="","",$C33*INDEX(集計!M$52:M$59,MATCH($B33,集計!$A$52:$A$59,0)))</f>
        <v/>
      </c>
      <c r="P33" s="25" t="str">
        <f aca="false">IF($A33="","",$C33*INDEX(集計!N$52:N$59,MATCH($B33,集計!$A$52:$A$59,0)))</f>
        <v/>
      </c>
    </row>
    <row r="34" customFormat="false" ht="15" hidden="false" customHeight="false" outlineLevel="0" collapsed="false">
      <c r="A34" s="24" t="str">
        <f aca="false">予測!A37</f>
        <v/>
      </c>
      <c r="B34" s="12" t="str">
        <f aca="false">予測!C37</f>
        <v/>
      </c>
      <c r="C34" s="17" t="str">
        <f aca="false">予測!H37</f>
        <v/>
      </c>
      <c r="D34" s="25" t="str">
        <f aca="false">IF($A34="","",$C34*INDEX(集計!B$52:B$59,MATCH($B34,集計!$A$52:$A$59,0)))</f>
        <v/>
      </c>
      <c r="E34" s="25" t="str">
        <f aca="false">IF($A34="","",$C34*INDEX(集計!C$52:C$59,MATCH($B34,集計!$A$52:$A$59,0)))</f>
        <v/>
      </c>
      <c r="F34" s="25" t="str">
        <f aca="false">IF($A34="","",$C34*INDEX(集計!D$52:D$59,MATCH($B34,集計!$A$52:$A$59,0)))</f>
        <v/>
      </c>
      <c r="G34" s="25" t="str">
        <f aca="false">IF($A34="","",$C34*INDEX(集計!E$52:E$59,MATCH($B34,集計!$A$52:$A$59,0)))</f>
        <v/>
      </c>
      <c r="H34" s="25" t="str">
        <f aca="false">IF($A34="","",$C34*INDEX(集計!F$52:F$59,MATCH($B34,集計!$A$52:$A$59,0)))</f>
        <v/>
      </c>
      <c r="I34" s="25" t="str">
        <f aca="false">IF($A34="","",$C34*INDEX(集計!G$52:G$59,MATCH($B34,集計!$A$52:$A$59,0)))</f>
        <v/>
      </c>
      <c r="J34" s="25" t="str">
        <f aca="false">IF($A34="","",$C34*INDEX(集計!H$52:H$59,MATCH($B34,集計!$A$52:$A$59,0)))</f>
        <v/>
      </c>
      <c r="K34" s="25" t="str">
        <f aca="false">IF($A34="","",$C34*INDEX(集計!I$52:I$59,MATCH($B34,集計!$A$52:$A$59,0)))</f>
        <v/>
      </c>
      <c r="L34" s="25" t="str">
        <f aca="false">IF($A34="","",$C34*INDEX(集計!J$52:J$59,MATCH($B34,集計!$A$52:$A$59,0)))</f>
        <v/>
      </c>
      <c r="M34" s="25" t="str">
        <f aca="false">IF($A34="","",$C34*INDEX(集計!K$52:K$59,MATCH($B34,集計!$A$52:$A$59,0)))</f>
        <v/>
      </c>
      <c r="N34" s="25" t="str">
        <f aca="false">IF($A34="","",$C34*INDEX(集計!L$52:L$59,MATCH($B34,集計!$A$52:$A$59,0)))</f>
        <v/>
      </c>
      <c r="O34" s="25" t="str">
        <f aca="false">IF($A34="","",$C34*INDEX(集計!M$52:M$59,MATCH($B34,集計!$A$52:$A$59,0)))</f>
        <v/>
      </c>
      <c r="P34" s="25" t="str">
        <f aca="false">IF($A34="","",$C34*INDEX(集計!N$52:N$59,MATCH($B34,集計!$A$52:$A$59,0)))</f>
        <v/>
      </c>
    </row>
    <row r="35" customFormat="false" ht="15" hidden="false" customHeight="false" outlineLevel="0" collapsed="false">
      <c r="A35" s="24" t="str">
        <f aca="false">予測!A38</f>
        <v/>
      </c>
      <c r="B35" s="12" t="str">
        <f aca="false">予測!C38</f>
        <v/>
      </c>
      <c r="C35" s="17" t="str">
        <f aca="false">予測!H38</f>
        <v/>
      </c>
      <c r="D35" s="25" t="str">
        <f aca="false">IF($A35="","",$C35*INDEX(集計!B$52:B$59,MATCH($B35,集計!$A$52:$A$59,0)))</f>
        <v/>
      </c>
      <c r="E35" s="25" t="str">
        <f aca="false">IF($A35="","",$C35*INDEX(集計!C$52:C$59,MATCH($B35,集計!$A$52:$A$59,0)))</f>
        <v/>
      </c>
      <c r="F35" s="25" t="str">
        <f aca="false">IF($A35="","",$C35*INDEX(集計!D$52:D$59,MATCH($B35,集計!$A$52:$A$59,0)))</f>
        <v/>
      </c>
      <c r="G35" s="25" t="str">
        <f aca="false">IF($A35="","",$C35*INDEX(集計!E$52:E$59,MATCH($B35,集計!$A$52:$A$59,0)))</f>
        <v/>
      </c>
      <c r="H35" s="25" t="str">
        <f aca="false">IF($A35="","",$C35*INDEX(集計!F$52:F$59,MATCH($B35,集計!$A$52:$A$59,0)))</f>
        <v/>
      </c>
      <c r="I35" s="25" t="str">
        <f aca="false">IF($A35="","",$C35*INDEX(集計!G$52:G$59,MATCH($B35,集計!$A$52:$A$59,0)))</f>
        <v/>
      </c>
      <c r="J35" s="25" t="str">
        <f aca="false">IF($A35="","",$C35*INDEX(集計!H$52:H$59,MATCH($B35,集計!$A$52:$A$59,0)))</f>
        <v/>
      </c>
      <c r="K35" s="25" t="str">
        <f aca="false">IF($A35="","",$C35*INDEX(集計!I$52:I$59,MATCH($B35,集計!$A$52:$A$59,0)))</f>
        <v/>
      </c>
      <c r="L35" s="25" t="str">
        <f aca="false">IF($A35="","",$C35*INDEX(集計!J$52:J$59,MATCH($B35,集計!$A$52:$A$59,0)))</f>
        <v/>
      </c>
      <c r="M35" s="25" t="str">
        <f aca="false">IF($A35="","",$C35*INDEX(集計!K$52:K$59,MATCH($B35,集計!$A$52:$A$59,0)))</f>
        <v/>
      </c>
      <c r="N35" s="25" t="str">
        <f aca="false">IF($A35="","",$C35*INDEX(集計!L$52:L$59,MATCH($B35,集計!$A$52:$A$59,0)))</f>
        <v/>
      </c>
      <c r="O35" s="25" t="str">
        <f aca="false">IF($A35="","",$C35*INDEX(集計!M$52:M$59,MATCH($B35,集計!$A$52:$A$59,0)))</f>
        <v/>
      </c>
      <c r="P35" s="25" t="str">
        <f aca="false">IF($A35="","",$C35*INDEX(集計!N$52:N$59,MATCH($B35,集計!$A$52:$A$59,0)))</f>
        <v/>
      </c>
    </row>
  </sheetData>
  <conditionalFormatting sqref="D5:P35">
    <cfRule type="expression" priority="2" aboveAverage="0" equalAverage="0" bottom="0" percent="0" rank="0" text="" dxfId="2">
      <formula>AND(ISNUMBER(D5),D5&gt;=1)</formula>
    </cfRule>
    <cfRule type="colorScale" priority="3">
      <colorScale>
        <cfvo type="min" val="0"/>
        <cfvo type="max" val="0"/>
        <color rgb="FFFFFFFF"/>
        <color rgb="FFF4B183"/>
      </colorScale>
    </cfRule>
  </conditionalFormatting>
  <conditionalFormatting sqref="A5:B35">
    <cfRule type="expression" priority="4" aboveAverage="0" equalAverage="0" bottom="0" percent="0" rank="0" text="" dxfId="0">
      <formula>$B5="土"</formula>
    </cfRule>
    <cfRule type="expression" priority="5" aboveAverage="0" equalAverage="0" bottom="0" percent="0" rank="0" text="" dxfId="1">
      <formula>OR($B5="日",$B5="祝")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5" t="s">
        <v>40</v>
      </c>
    </row>
    <row r="3" customFormat="false" ht="15" hidden="false" customHeight="false" outlineLevel="0" collapsed="false">
      <c r="A3" s="20" t="s">
        <v>41</v>
      </c>
      <c r="B3" s="26" t="str">
        <f aca="false">IF(ISNUMBER(先月データ!A2),DATE(YEAR(先月データ!A2),MONTH(先月データ!A2),1),"")</f>
        <v/>
      </c>
      <c r="C3" s="6" t="s">
        <v>42</v>
      </c>
    </row>
    <row r="4" customFormat="false" ht="15" hidden="false" customHeight="false" outlineLevel="0" collapsed="false">
      <c r="A4" s="20" t="s">
        <v>43</v>
      </c>
      <c r="B4" s="26" t="str">
        <f aca="false">IF(ISNUMBER(先々月データ!A2),DATE(YEAR(先々月データ!A2),MONTH(先々月データ!A2),1),"")</f>
        <v/>
      </c>
      <c r="C4" s="6" t="s">
        <v>44</v>
      </c>
    </row>
    <row r="5" customFormat="false" ht="15" hidden="false" customHeight="false" outlineLevel="0" collapsed="false">
      <c r="A5" s="20" t="s">
        <v>45</v>
      </c>
      <c r="B5" s="27" t="str">
        <f aca="false">IF(B3="","",EDATE(B3,1))</f>
        <v/>
      </c>
      <c r="C5" s="6" t="s">
        <v>46</v>
      </c>
    </row>
    <row r="6" customFormat="false" ht="15" hidden="false" customHeight="false" outlineLevel="0" collapsed="false">
      <c r="A6" s="20" t="s">
        <v>47</v>
      </c>
      <c r="B6" s="28" t="str">
        <f aca="false">IF(B5="","",DAY(EOMONTH(B5,0)))</f>
        <v/>
      </c>
      <c r="C6" s="6"/>
    </row>
    <row r="7" customFormat="false" ht="15" hidden="false" customHeight="false" outlineLevel="0" collapsed="false">
      <c r="A7" s="29" t="s">
        <v>48</v>
      </c>
    </row>
    <row r="8" customFormat="false" ht="15" hidden="false" customHeight="false" outlineLevel="0" collapsed="false">
      <c r="A8" s="20" t="s">
        <v>49</v>
      </c>
      <c r="B8" s="30" t="n">
        <v>0.6</v>
      </c>
      <c r="C8" s="6" t="s">
        <v>50</v>
      </c>
    </row>
    <row r="9" customFormat="false" ht="15" hidden="false" customHeight="false" outlineLevel="0" collapsed="false">
      <c r="A9" s="20" t="s">
        <v>51</v>
      </c>
      <c r="B9" s="30" t="n">
        <v>0.4</v>
      </c>
      <c r="C9" s="6"/>
    </row>
    <row r="11" customFormat="false" ht="15" hidden="false" customHeight="false" outlineLevel="0" collapsed="false">
      <c r="A11" s="20" t="s">
        <v>31</v>
      </c>
      <c r="B11" s="30" t="n">
        <v>1</v>
      </c>
      <c r="C11" s="6" t="s">
        <v>52</v>
      </c>
    </row>
    <row r="12" customFormat="false" ht="15" hidden="false" customHeight="false" outlineLevel="0" collapsed="false">
      <c r="A12" s="20" t="s">
        <v>53</v>
      </c>
      <c r="B12" s="31"/>
      <c r="C12" s="6" t="s">
        <v>54</v>
      </c>
    </row>
    <row r="13" customFormat="false" ht="15" hidden="false" customHeight="false" outlineLevel="0" collapsed="false">
      <c r="A13" s="20" t="s">
        <v>55</v>
      </c>
      <c r="B13" s="32" t="n">
        <f aca="false">IFERROR(IF(B12="",1,(B12/B6)/(($B$8*IF(B3="",0,SUM(集計!F3:F33)/DAY(EOMONTH(B3,0)))+$B$9*IF(B4="",0,SUM(集計!K3:K33)/DAY(EOMONTH(B4,0))))/($B$8*(B3&lt;&gt;"")+$B$9*(B4&lt;&gt;"")))),1)</f>
        <v>1</v>
      </c>
      <c r="C13" s="6" t="s">
        <v>56</v>
      </c>
    </row>
    <row r="14" customFormat="false" ht="15" hidden="false" customHeight="false" outlineLevel="0" collapsed="false">
      <c r="A14" s="29" t="s">
        <v>57</v>
      </c>
    </row>
    <row r="15" customFormat="false" ht="15" hidden="false" customHeight="false" outlineLevel="0" collapsed="false">
      <c r="A15" s="20" t="s">
        <v>58</v>
      </c>
      <c r="B15" s="33" t="str">
        <f aca="false">IFERROR(SUM(集計!D3:D33)/SUM(集計!F3:F33),"")</f>
        <v/>
      </c>
      <c r="C15" s="6" t="s">
        <v>59</v>
      </c>
    </row>
    <row r="16" customFormat="false" ht="15" hidden="false" customHeight="false" outlineLevel="0" collapsed="false">
      <c r="A16" s="20" t="s">
        <v>60</v>
      </c>
      <c r="B16" s="33" t="str">
        <f aca="false">IFERROR(SUM(集計!I3:I33)/SUM(集計!K3:K33),"")</f>
        <v/>
      </c>
      <c r="C16" s="6"/>
    </row>
    <row r="17" customFormat="false" ht="15" hidden="false" customHeight="false" outlineLevel="0" collapsed="false">
      <c r="A17" s="20" t="s">
        <v>61</v>
      </c>
      <c r="B17" s="34" t="str">
        <f aca="false">IFERROR(SUM(集計!D3:D33)/DAY(EOMONTH(B3,0)),"")</f>
        <v/>
      </c>
      <c r="C17" s="6"/>
    </row>
    <row r="18" customFormat="false" ht="15" hidden="false" customHeight="false" outlineLevel="0" collapsed="false">
      <c r="A18" s="20" t="s">
        <v>62</v>
      </c>
      <c r="B18" s="34" t="str">
        <f aca="false">IFERROR(SUM(集計!I3:I33)/DAY(EOMONTH(B4,0)),"")</f>
        <v/>
      </c>
      <c r="C18" s="6"/>
    </row>
    <row r="19" customFormat="false" ht="15" hidden="false" customHeight="false" outlineLevel="0" collapsed="false">
      <c r="A19" s="20" t="s">
        <v>63</v>
      </c>
      <c r="B19" s="35" t="str">
        <f aca="false">IF(B3="","先月データ未貼付",IF(B4="","先々月データ未貼付（先月のみで予測中）",IF(EDATE(B4,1)&lt;&gt;B3,"⚠ 先々月が先月の前月になっていません","OK")))</f>
        <v>先月データ未貼付</v>
      </c>
      <c r="C19" s="6"/>
    </row>
    <row r="21" customFormat="false" ht="15" hidden="false" customHeight="false" outlineLevel="0" collapsed="false">
      <c r="A21" s="6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Z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6" min="26" style="0" width="14"/>
  </cols>
  <sheetData>
    <row r="1" customFormat="false" ht="15" hidden="false" customHeight="false" outlineLevel="0" collapsed="false">
      <c r="A1" s="36" t="s">
        <v>65</v>
      </c>
      <c r="Z1" s="37" t="s">
        <v>66</v>
      </c>
    </row>
    <row r="2" customFormat="false" ht="15" hidden="false" customHeight="false" outlineLevel="0" collapsed="false">
      <c r="Z2" s="38" t="str">
        <f aca="false">IF(ISNUMBER(A2),IF(COUNTIF(祝日!$A:$A,A2)&gt;0,"祝",CHOOSE(WEEKDAY(A2,2),"月","火","水","木","金","土","日")),"")</f>
        <v/>
      </c>
    </row>
    <row r="3" customFormat="false" ht="15" hidden="false" customHeight="false" outlineLevel="0" collapsed="false">
      <c r="Z3" s="38" t="str">
        <f aca="false">IF(ISNUMBER(A3),IF(COUNTIF(祝日!$A:$A,A3)&gt;0,"祝",CHOOSE(WEEKDAY(A3,2),"月","火","水","木","金","土","日")),"")</f>
        <v/>
      </c>
    </row>
    <row r="4" customFormat="false" ht="15" hidden="false" customHeight="false" outlineLevel="0" collapsed="false">
      <c r="Z4" s="38" t="str">
        <f aca="false">IF(ISNUMBER(A4),IF(COUNTIF(祝日!$A:$A,A4)&gt;0,"祝",CHOOSE(WEEKDAY(A4,2),"月","火","水","木","金","土","日")),"")</f>
        <v/>
      </c>
    </row>
    <row r="5" customFormat="false" ht="15" hidden="false" customHeight="false" outlineLevel="0" collapsed="false">
      <c r="Z5" s="38" t="str">
        <f aca="false">IF(ISNUMBER(A5),IF(COUNTIF(祝日!$A:$A,A5)&gt;0,"祝",CHOOSE(WEEKDAY(A5,2),"月","火","水","木","金","土","日")),"")</f>
        <v/>
      </c>
    </row>
    <row r="6" customFormat="false" ht="15" hidden="false" customHeight="false" outlineLevel="0" collapsed="false">
      <c r="Z6" s="38" t="str">
        <f aca="false">IF(ISNUMBER(A6),IF(COUNTIF(祝日!$A:$A,A6)&gt;0,"祝",CHOOSE(WEEKDAY(A6,2),"月","火","水","木","金","土","日")),"")</f>
        <v/>
      </c>
    </row>
    <row r="7" customFormat="false" ht="15" hidden="false" customHeight="false" outlineLevel="0" collapsed="false">
      <c r="Z7" s="38" t="str">
        <f aca="false">IF(ISNUMBER(A7),IF(COUNTIF(祝日!$A:$A,A7)&gt;0,"祝",CHOOSE(WEEKDAY(A7,2),"月","火","水","木","金","土","日")),"")</f>
        <v/>
      </c>
    </row>
    <row r="8" customFormat="false" ht="15" hidden="false" customHeight="false" outlineLevel="0" collapsed="false">
      <c r="Z8" s="38" t="str">
        <f aca="false">IF(ISNUMBER(A8),IF(COUNTIF(祝日!$A:$A,A8)&gt;0,"祝",CHOOSE(WEEKDAY(A8,2),"月","火","水","木","金","土","日")),"")</f>
        <v/>
      </c>
    </row>
    <row r="9" customFormat="false" ht="15" hidden="false" customHeight="false" outlineLevel="0" collapsed="false">
      <c r="Z9" s="38" t="str">
        <f aca="false">IF(ISNUMBER(A9),IF(COUNTIF(祝日!$A:$A,A9)&gt;0,"祝",CHOOSE(WEEKDAY(A9,2),"月","火","水","木","金","土","日")),"")</f>
        <v/>
      </c>
    </row>
    <row r="10" customFormat="false" ht="15" hidden="false" customHeight="false" outlineLevel="0" collapsed="false">
      <c r="Z10" s="38" t="str">
        <f aca="false">IF(ISNUMBER(A10),IF(COUNTIF(祝日!$A:$A,A10)&gt;0,"祝",CHOOSE(WEEKDAY(A10,2),"月","火","水","木","金","土","日")),"")</f>
        <v/>
      </c>
    </row>
    <row r="11" customFormat="false" ht="15" hidden="false" customHeight="false" outlineLevel="0" collapsed="false">
      <c r="Z11" s="38" t="str">
        <f aca="false">IF(ISNUMBER(A11),IF(COUNTIF(祝日!$A:$A,A11)&gt;0,"祝",CHOOSE(WEEKDAY(A11,2),"月","火","水","木","金","土","日")),"")</f>
        <v/>
      </c>
    </row>
    <row r="12" customFormat="false" ht="15" hidden="false" customHeight="false" outlineLevel="0" collapsed="false">
      <c r="Z12" s="38" t="str">
        <f aca="false">IF(ISNUMBER(A12),IF(COUNTIF(祝日!$A:$A,A12)&gt;0,"祝",CHOOSE(WEEKDAY(A12,2),"月","火","水","木","金","土","日")),"")</f>
        <v/>
      </c>
    </row>
    <row r="13" customFormat="false" ht="15" hidden="false" customHeight="false" outlineLevel="0" collapsed="false">
      <c r="Z13" s="38" t="str">
        <f aca="false">IF(ISNUMBER(A13),IF(COUNTIF(祝日!$A:$A,A13)&gt;0,"祝",CHOOSE(WEEKDAY(A13,2),"月","火","水","木","金","土","日")),"")</f>
        <v/>
      </c>
    </row>
    <row r="14" customFormat="false" ht="15" hidden="false" customHeight="false" outlineLevel="0" collapsed="false">
      <c r="Z14" s="38" t="str">
        <f aca="false">IF(ISNUMBER(A14),IF(COUNTIF(祝日!$A:$A,A14)&gt;0,"祝",CHOOSE(WEEKDAY(A14,2),"月","火","水","木","金","土","日")),"")</f>
        <v/>
      </c>
    </row>
    <row r="15" customFormat="false" ht="15" hidden="false" customHeight="false" outlineLevel="0" collapsed="false">
      <c r="Z15" s="38" t="str">
        <f aca="false">IF(ISNUMBER(A15),IF(COUNTIF(祝日!$A:$A,A15)&gt;0,"祝",CHOOSE(WEEKDAY(A15,2),"月","火","水","木","金","土","日")),"")</f>
        <v/>
      </c>
    </row>
    <row r="16" customFormat="false" ht="15" hidden="false" customHeight="false" outlineLevel="0" collapsed="false">
      <c r="Z16" s="38" t="str">
        <f aca="false">IF(ISNUMBER(A16),IF(COUNTIF(祝日!$A:$A,A16)&gt;0,"祝",CHOOSE(WEEKDAY(A16,2),"月","火","水","木","金","土","日")),"")</f>
        <v/>
      </c>
    </row>
    <row r="17" customFormat="false" ht="15" hidden="false" customHeight="false" outlineLevel="0" collapsed="false">
      <c r="Z17" s="38" t="str">
        <f aca="false">IF(ISNUMBER(A17),IF(COUNTIF(祝日!$A:$A,A17)&gt;0,"祝",CHOOSE(WEEKDAY(A17,2),"月","火","水","木","金","土","日")),"")</f>
        <v/>
      </c>
    </row>
    <row r="18" customFormat="false" ht="15" hidden="false" customHeight="false" outlineLevel="0" collapsed="false">
      <c r="Z18" s="38" t="str">
        <f aca="false">IF(ISNUMBER(A18),IF(COUNTIF(祝日!$A:$A,A18)&gt;0,"祝",CHOOSE(WEEKDAY(A18,2),"月","火","水","木","金","土","日")),"")</f>
        <v/>
      </c>
    </row>
    <row r="19" customFormat="false" ht="15" hidden="false" customHeight="false" outlineLevel="0" collapsed="false">
      <c r="Z19" s="38" t="str">
        <f aca="false">IF(ISNUMBER(A19),IF(COUNTIF(祝日!$A:$A,A19)&gt;0,"祝",CHOOSE(WEEKDAY(A19,2),"月","火","水","木","金","土","日")),"")</f>
        <v/>
      </c>
    </row>
    <row r="20" customFormat="false" ht="15" hidden="false" customHeight="false" outlineLevel="0" collapsed="false">
      <c r="Z20" s="38" t="str">
        <f aca="false">IF(ISNUMBER(A20),IF(COUNTIF(祝日!$A:$A,A20)&gt;0,"祝",CHOOSE(WEEKDAY(A20,2),"月","火","水","木","金","土","日")),"")</f>
        <v/>
      </c>
    </row>
    <row r="21" customFormat="false" ht="15" hidden="false" customHeight="false" outlineLevel="0" collapsed="false">
      <c r="Z21" s="38" t="str">
        <f aca="false">IF(ISNUMBER(A21),IF(COUNTIF(祝日!$A:$A,A21)&gt;0,"祝",CHOOSE(WEEKDAY(A21,2),"月","火","水","木","金","土","日")),"")</f>
        <v/>
      </c>
    </row>
    <row r="22" customFormat="false" ht="15" hidden="false" customHeight="false" outlineLevel="0" collapsed="false">
      <c r="Z22" s="38" t="str">
        <f aca="false">IF(ISNUMBER(A22),IF(COUNTIF(祝日!$A:$A,A22)&gt;0,"祝",CHOOSE(WEEKDAY(A22,2),"月","火","水","木","金","土","日")),"")</f>
        <v/>
      </c>
    </row>
    <row r="23" customFormat="false" ht="15" hidden="false" customHeight="false" outlineLevel="0" collapsed="false">
      <c r="Z23" s="38" t="str">
        <f aca="false">IF(ISNUMBER(A23),IF(COUNTIF(祝日!$A:$A,A23)&gt;0,"祝",CHOOSE(WEEKDAY(A23,2),"月","火","水","木","金","土","日")),"")</f>
        <v/>
      </c>
    </row>
    <row r="24" customFormat="false" ht="15" hidden="false" customHeight="false" outlineLevel="0" collapsed="false">
      <c r="Z24" s="38" t="str">
        <f aca="false">IF(ISNUMBER(A24),IF(COUNTIF(祝日!$A:$A,A24)&gt;0,"祝",CHOOSE(WEEKDAY(A24,2),"月","火","水","木","金","土","日")),"")</f>
        <v/>
      </c>
    </row>
    <row r="25" customFormat="false" ht="15" hidden="false" customHeight="false" outlineLevel="0" collapsed="false">
      <c r="Z25" s="38" t="str">
        <f aca="false">IF(ISNUMBER(A25),IF(COUNTIF(祝日!$A:$A,A25)&gt;0,"祝",CHOOSE(WEEKDAY(A25,2),"月","火","水","木","金","土","日")),"")</f>
        <v/>
      </c>
    </row>
    <row r="26" customFormat="false" ht="15" hidden="false" customHeight="false" outlineLevel="0" collapsed="false">
      <c r="Z26" s="38" t="str">
        <f aca="false">IF(ISNUMBER(A26),IF(COUNTIF(祝日!$A:$A,A26)&gt;0,"祝",CHOOSE(WEEKDAY(A26,2),"月","火","水","木","金","土","日")),"")</f>
        <v/>
      </c>
    </row>
    <row r="27" customFormat="false" ht="15" hidden="false" customHeight="false" outlineLevel="0" collapsed="false">
      <c r="Z27" s="38" t="str">
        <f aca="false">IF(ISNUMBER(A27),IF(COUNTIF(祝日!$A:$A,A27)&gt;0,"祝",CHOOSE(WEEKDAY(A27,2),"月","火","水","木","金","土","日")),"")</f>
        <v/>
      </c>
    </row>
    <row r="28" customFormat="false" ht="15" hidden="false" customHeight="false" outlineLevel="0" collapsed="false">
      <c r="Z28" s="38" t="str">
        <f aca="false">IF(ISNUMBER(A28),IF(COUNTIF(祝日!$A:$A,A28)&gt;0,"祝",CHOOSE(WEEKDAY(A28,2),"月","火","水","木","金","土","日")),"")</f>
        <v/>
      </c>
    </row>
    <row r="29" customFormat="false" ht="15" hidden="false" customHeight="false" outlineLevel="0" collapsed="false">
      <c r="Z29" s="38" t="str">
        <f aca="false">IF(ISNUMBER(A29),IF(COUNTIF(祝日!$A:$A,A29)&gt;0,"祝",CHOOSE(WEEKDAY(A29,2),"月","火","水","木","金","土","日")),"")</f>
        <v/>
      </c>
    </row>
    <row r="30" customFormat="false" ht="15" hidden="false" customHeight="false" outlineLevel="0" collapsed="false">
      <c r="Z30" s="38" t="str">
        <f aca="false">IF(ISNUMBER(A30),IF(COUNTIF(祝日!$A:$A,A30)&gt;0,"祝",CHOOSE(WEEKDAY(A30,2),"月","火","水","木","金","土","日")),"")</f>
        <v/>
      </c>
    </row>
    <row r="31" customFormat="false" ht="15" hidden="false" customHeight="false" outlineLevel="0" collapsed="false">
      <c r="Z31" s="38" t="str">
        <f aca="false">IF(ISNUMBER(A31),IF(COUNTIF(祝日!$A:$A,A31)&gt;0,"祝",CHOOSE(WEEKDAY(A31,2),"月","火","水","木","金","土","日")),"")</f>
        <v/>
      </c>
    </row>
    <row r="32" customFormat="false" ht="15" hidden="false" customHeight="false" outlineLevel="0" collapsed="false">
      <c r="Z32" s="38" t="str">
        <f aca="false">IF(ISNUMBER(A32),IF(COUNTIF(祝日!$A:$A,A32)&gt;0,"祝",CHOOSE(WEEKDAY(A32,2),"月","火","水","木","金","土","日")),"")</f>
        <v/>
      </c>
    </row>
    <row r="33" customFormat="false" ht="15" hidden="false" customHeight="false" outlineLevel="0" collapsed="false">
      <c r="Z33" s="38" t="str">
        <f aca="false">IF(ISNUMBER(A33),IF(COUNTIF(祝日!$A:$A,A33)&gt;0,"祝",CHOOSE(WEEKDAY(A33,2),"月","火","水","木","金","土","日")),"")</f>
        <v/>
      </c>
    </row>
    <row r="34" customFormat="false" ht="15" hidden="false" customHeight="false" outlineLevel="0" collapsed="false">
      <c r="Z34" s="38" t="str">
        <f aca="false">IF(ISNUMBER(A34),IF(COUNTIF(祝日!$A:$A,A34)&gt;0,"祝",CHOOSE(WEEKDAY(A34,2),"月","火","水","木","金","土","日")),"")</f>
        <v/>
      </c>
    </row>
    <row r="35" customFormat="false" ht="15" hidden="false" customHeight="false" outlineLevel="0" collapsed="false">
      <c r="Z35" s="38" t="str">
        <f aca="false">IF(ISNUMBER(A35),IF(COUNTIF(祝日!$A:$A,A35)&gt;0,"祝",CHOOSE(WEEKDAY(A35,2),"月","火","水","木","金","土","日")),"")</f>
        <v/>
      </c>
    </row>
    <row r="36" customFormat="false" ht="15" hidden="false" customHeight="false" outlineLevel="0" collapsed="false">
      <c r="Z36" s="38" t="str">
        <f aca="false">IF(ISNUMBER(A36),IF(COUNTIF(祝日!$A:$A,A36)&gt;0,"祝",CHOOSE(WEEKDAY(A36,2),"月","火","水","木","金","土","日")),"")</f>
        <v/>
      </c>
    </row>
    <row r="37" customFormat="false" ht="15" hidden="false" customHeight="false" outlineLevel="0" collapsed="false">
      <c r="Z37" s="38" t="str">
        <f aca="false">IF(ISNUMBER(A37),IF(COUNTIF(祝日!$A:$A,A37)&gt;0,"祝",CHOOSE(WEEKDAY(A37,2),"月","火","水","木","金","土","日")),"")</f>
        <v/>
      </c>
    </row>
    <row r="38" customFormat="false" ht="15" hidden="false" customHeight="false" outlineLevel="0" collapsed="false">
      <c r="Z38" s="38" t="str">
        <f aca="false">IF(ISNUMBER(A38),IF(COUNTIF(祝日!$A:$A,A38)&gt;0,"祝",CHOOSE(WEEKDAY(A38,2),"月","火","水","木","金","土","日")),"")</f>
        <v/>
      </c>
    </row>
    <row r="39" customFormat="false" ht="15" hidden="false" customHeight="false" outlineLevel="0" collapsed="false">
      <c r="Z39" s="38" t="str">
        <f aca="false">IF(ISNUMBER(A39),IF(COUNTIF(祝日!$A:$A,A39)&gt;0,"祝",CHOOSE(WEEKDAY(A39,2),"月","火","水","木","金","土","日")),"")</f>
        <v/>
      </c>
    </row>
    <row r="40" customFormat="false" ht="15" hidden="false" customHeight="false" outlineLevel="0" collapsed="false">
      <c r="Z40" s="38" t="str">
        <f aca="false">IF(ISNUMBER(A40),IF(COUNTIF(祝日!$A:$A,A40)&gt;0,"祝",CHOOSE(WEEKDAY(A40,2),"月","火","水","木","金","土","日")),"")</f>
        <v/>
      </c>
    </row>
    <row r="41" customFormat="false" ht="15" hidden="false" customHeight="false" outlineLevel="0" collapsed="false">
      <c r="Z41" s="38" t="str">
        <f aca="false">IF(ISNUMBER(A41),IF(COUNTIF(祝日!$A:$A,A41)&gt;0,"祝",CHOOSE(WEEKDAY(A41,2),"月","火","水","木","金","土","日")),"")</f>
        <v/>
      </c>
    </row>
    <row r="42" customFormat="false" ht="15" hidden="false" customHeight="false" outlineLevel="0" collapsed="false">
      <c r="Z42" s="38" t="str">
        <f aca="false">IF(ISNUMBER(A42),IF(COUNTIF(祝日!$A:$A,A42)&gt;0,"祝",CHOOSE(WEEKDAY(A42,2),"月","火","水","木","金","土","日")),"")</f>
        <v/>
      </c>
    </row>
    <row r="43" customFormat="false" ht="15" hidden="false" customHeight="false" outlineLevel="0" collapsed="false">
      <c r="Z43" s="38" t="str">
        <f aca="false">IF(ISNUMBER(A43),IF(COUNTIF(祝日!$A:$A,A43)&gt;0,"祝",CHOOSE(WEEKDAY(A43,2),"月","火","水","木","金","土","日")),"")</f>
        <v/>
      </c>
    </row>
    <row r="44" customFormat="false" ht="15" hidden="false" customHeight="false" outlineLevel="0" collapsed="false">
      <c r="Z44" s="38" t="str">
        <f aca="false">IF(ISNUMBER(A44),IF(COUNTIF(祝日!$A:$A,A44)&gt;0,"祝",CHOOSE(WEEKDAY(A44,2),"月","火","水","木","金","土","日")),"")</f>
        <v/>
      </c>
    </row>
    <row r="45" customFormat="false" ht="15" hidden="false" customHeight="false" outlineLevel="0" collapsed="false">
      <c r="Z45" s="38" t="str">
        <f aca="false">IF(ISNUMBER(A45),IF(COUNTIF(祝日!$A:$A,A45)&gt;0,"祝",CHOOSE(WEEKDAY(A45,2),"月","火","水","木","金","土","日")),"")</f>
        <v/>
      </c>
    </row>
    <row r="46" customFormat="false" ht="15" hidden="false" customHeight="false" outlineLevel="0" collapsed="false">
      <c r="Z46" s="38" t="str">
        <f aca="false">IF(ISNUMBER(A46),IF(COUNTIF(祝日!$A:$A,A46)&gt;0,"祝",CHOOSE(WEEKDAY(A46,2),"月","火","水","木","金","土","日")),"")</f>
        <v/>
      </c>
    </row>
    <row r="47" customFormat="false" ht="15" hidden="false" customHeight="false" outlineLevel="0" collapsed="false">
      <c r="Z47" s="38" t="str">
        <f aca="false">IF(ISNUMBER(A47),IF(COUNTIF(祝日!$A:$A,A47)&gt;0,"祝",CHOOSE(WEEKDAY(A47,2),"月","火","水","木","金","土","日")),"")</f>
        <v/>
      </c>
    </row>
    <row r="48" customFormat="false" ht="15" hidden="false" customHeight="false" outlineLevel="0" collapsed="false">
      <c r="Z48" s="38" t="str">
        <f aca="false">IF(ISNUMBER(A48),IF(COUNTIF(祝日!$A:$A,A48)&gt;0,"祝",CHOOSE(WEEKDAY(A48,2),"月","火","水","木","金","土","日")),"")</f>
        <v/>
      </c>
    </row>
    <row r="49" customFormat="false" ht="15" hidden="false" customHeight="false" outlineLevel="0" collapsed="false">
      <c r="Z49" s="38" t="str">
        <f aca="false">IF(ISNUMBER(A49),IF(COUNTIF(祝日!$A:$A,A49)&gt;0,"祝",CHOOSE(WEEKDAY(A49,2),"月","火","水","木","金","土","日")),"")</f>
        <v/>
      </c>
    </row>
    <row r="50" customFormat="false" ht="15" hidden="false" customHeight="false" outlineLevel="0" collapsed="false">
      <c r="Z50" s="38" t="str">
        <f aca="false">IF(ISNUMBER(A50),IF(COUNTIF(祝日!$A:$A,A50)&gt;0,"祝",CHOOSE(WEEKDAY(A50,2),"月","火","水","木","金","土","日")),"")</f>
        <v/>
      </c>
    </row>
    <row r="51" customFormat="false" ht="15" hidden="false" customHeight="false" outlineLevel="0" collapsed="false">
      <c r="Z51" s="38" t="str">
        <f aca="false">IF(ISNUMBER(A51),IF(COUNTIF(祝日!$A:$A,A51)&gt;0,"祝",CHOOSE(WEEKDAY(A51,2),"月","火","水","木","金","土","日")),"")</f>
        <v/>
      </c>
    </row>
    <row r="52" customFormat="false" ht="15" hidden="false" customHeight="false" outlineLevel="0" collapsed="false">
      <c r="Z52" s="38" t="str">
        <f aca="false">IF(ISNUMBER(A52),IF(COUNTIF(祝日!$A:$A,A52)&gt;0,"祝",CHOOSE(WEEKDAY(A52,2),"月","火","水","木","金","土","日")),"")</f>
        <v/>
      </c>
    </row>
    <row r="53" customFormat="false" ht="15" hidden="false" customHeight="false" outlineLevel="0" collapsed="false">
      <c r="Z53" s="38" t="str">
        <f aca="false">IF(ISNUMBER(A53),IF(COUNTIF(祝日!$A:$A,A53)&gt;0,"祝",CHOOSE(WEEKDAY(A53,2),"月","火","水","木","金","土","日")),"")</f>
        <v/>
      </c>
    </row>
    <row r="54" customFormat="false" ht="15" hidden="false" customHeight="false" outlineLevel="0" collapsed="false">
      <c r="Z54" s="38" t="str">
        <f aca="false">IF(ISNUMBER(A54),IF(COUNTIF(祝日!$A:$A,A54)&gt;0,"祝",CHOOSE(WEEKDAY(A54,2),"月","火","水","木","金","土","日")),"")</f>
        <v/>
      </c>
    </row>
    <row r="55" customFormat="false" ht="15" hidden="false" customHeight="false" outlineLevel="0" collapsed="false">
      <c r="Z55" s="38" t="str">
        <f aca="false">IF(ISNUMBER(A55),IF(COUNTIF(祝日!$A:$A,A55)&gt;0,"祝",CHOOSE(WEEKDAY(A55,2),"月","火","水","木","金","土","日")),"")</f>
        <v/>
      </c>
    </row>
    <row r="56" customFormat="false" ht="15" hidden="false" customHeight="false" outlineLevel="0" collapsed="false">
      <c r="Z56" s="38" t="str">
        <f aca="false">IF(ISNUMBER(A56),IF(COUNTIF(祝日!$A:$A,A56)&gt;0,"祝",CHOOSE(WEEKDAY(A56,2),"月","火","水","木","金","土","日")),"")</f>
        <v/>
      </c>
    </row>
    <row r="57" customFormat="false" ht="15" hidden="false" customHeight="false" outlineLevel="0" collapsed="false">
      <c r="Z57" s="38" t="str">
        <f aca="false">IF(ISNUMBER(A57),IF(COUNTIF(祝日!$A:$A,A57)&gt;0,"祝",CHOOSE(WEEKDAY(A57,2),"月","火","水","木","金","土","日")),"")</f>
        <v/>
      </c>
    </row>
    <row r="58" customFormat="false" ht="15" hidden="false" customHeight="false" outlineLevel="0" collapsed="false">
      <c r="Z58" s="38" t="str">
        <f aca="false">IF(ISNUMBER(A58),IF(COUNTIF(祝日!$A:$A,A58)&gt;0,"祝",CHOOSE(WEEKDAY(A58,2),"月","火","水","木","金","土","日")),"")</f>
        <v/>
      </c>
    </row>
    <row r="59" customFormat="false" ht="15" hidden="false" customHeight="false" outlineLevel="0" collapsed="false">
      <c r="Z59" s="38" t="str">
        <f aca="false">IF(ISNUMBER(A59),IF(COUNTIF(祝日!$A:$A,A59)&gt;0,"祝",CHOOSE(WEEKDAY(A59,2),"月","火","水","木","金","土","日")),"")</f>
        <v/>
      </c>
    </row>
    <row r="60" customFormat="false" ht="15" hidden="false" customHeight="false" outlineLevel="0" collapsed="false">
      <c r="Z60" s="38" t="str">
        <f aca="false">IF(ISNUMBER(A60),IF(COUNTIF(祝日!$A:$A,A60)&gt;0,"祝",CHOOSE(WEEKDAY(A60,2),"月","火","水","木","金","土","日")),"")</f>
        <v/>
      </c>
    </row>
    <row r="61" customFormat="false" ht="15" hidden="false" customHeight="false" outlineLevel="0" collapsed="false">
      <c r="Z61" s="38" t="str">
        <f aca="false">IF(ISNUMBER(A61),IF(COUNTIF(祝日!$A:$A,A61)&gt;0,"祝",CHOOSE(WEEKDAY(A61,2),"月","火","水","木","金","土","日")),"")</f>
        <v/>
      </c>
    </row>
    <row r="62" customFormat="false" ht="15" hidden="false" customHeight="false" outlineLevel="0" collapsed="false">
      <c r="Z62" s="38" t="str">
        <f aca="false">IF(ISNUMBER(A62),IF(COUNTIF(祝日!$A:$A,A62)&gt;0,"祝",CHOOSE(WEEKDAY(A62,2),"月","火","水","木","金","土","日")),"")</f>
        <v/>
      </c>
    </row>
    <row r="63" customFormat="false" ht="15" hidden="false" customHeight="false" outlineLevel="0" collapsed="false">
      <c r="Z63" s="38" t="str">
        <f aca="false">IF(ISNUMBER(A63),IF(COUNTIF(祝日!$A:$A,A63)&gt;0,"祝",CHOOSE(WEEKDAY(A63,2),"月","火","水","木","金","土","日")),"")</f>
        <v/>
      </c>
    </row>
    <row r="64" customFormat="false" ht="15" hidden="false" customHeight="false" outlineLevel="0" collapsed="false">
      <c r="Z64" s="38" t="str">
        <f aca="false">IF(ISNUMBER(A64),IF(COUNTIF(祝日!$A:$A,A64)&gt;0,"祝",CHOOSE(WEEKDAY(A64,2),"月","火","水","木","金","土","日")),"")</f>
        <v/>
      </c>
    </row>
    <row r="65" customFormat="false" ht="15" hidden="false" customHeight="false" outlineLevel="0" collapsed="false">
      <c r="Z65" s="38" t="str">
        <f aca="false">IF(ISNUMBER(A65),IF(COUNTIF(祝日!$A:$A,A65)&gt;0,"祝",CHOOSE(WEEKDAY(A65,2),"月","火","水","木","金","土","日")),"")</f>
        <v/>
      </c>
    </row>
    <row r="66" customFormat="false" ht="15" hidden="false" customHeight="false" outlineLevel="0" collapsed="false">
      <c r="Z66" s="38" t="str">
        <f aca="false">IF(ISNUMBER(A66),IF(COUNTIF(祝日!$A:$A,A66)&gt;0,"祝",CHOOSE(WEEKDAY(A66,2),"月","火","水","木","金","土","日")),"")</f>
        <v/>
      </c>
    </row>
    <row r="67" customFormat="false" ht="15" hidden="false" customHeight="false" outlineLevel="0" collapsed="false">
      <c r="Z67" s="38" t="str">
        <f aca="false">IF(ISNUMBER(A67),IF(COUNTIF(祝日!$A:$A,A67)&gt;0,"祝",CHOOSE(WEEKDAY(A67,2),"月","火","水","木","金","土","日")),"")</f>
        <v/>
      </c>
    </row>
    <row r="68" customFormat="false" ht="15" hidden="false" customHeight="false" outlineLevel="0" collapsed="false">
      <c r="Z68" s="38" t="str">
        <f aca="false">IF(ISNUMBER(A68),IF(COUNTIF(祝日!$A:$A,A68)&gt;0,"祝",CHOOSE(WEEKDAY(A68,2),"月","火","水","木","金","土","日")),"")</f>
        <v/>
      </c>
    </row>
    <row r="69" customFormat="false" ht="15" hidden="false" customHeight="false" outlineLevel="0" collapsed="false">
      <c r="Z69" s="38" t="str">
        <f aca="false">IF(ISNUMBER(A69),IF(COUNTIF(祝日!$A:$A,A69)&gt;0,"祝",CHOOSE(WEEKDAY(A69,2),"月","火","水","木","金","土","日")),"")</f>
        <v/>
      </c>
    </row>
    <row r="70" customFormat="false" ht="15" hidden="false" customHeight="false" outlineLevel="0" collapsed="false">
      <c r="Z70" s="38" t="str">
        <f aca="false">IF(ISNUMBER(A70),IF(COUNTIF(祝日!$A:$A,A70)&gt;0,"祝",CHOOSE(WEEKDAY(A70,2),"月","火","水","木","金","土","日")),"")</f>
        <v/>
      </c>
    </row>
    <row r="71" customFormat="false" ht="15" hidden="false" customHeight="false" outlineLevel="0" collapsed="false">
      <c r="Z71" s="38" t="str">
        <f aca="false">IF(ISNUMBER(A71),IF(COUNTIF(祝日!$A:$A,A71)&gt;0,"祝",CHOOSE(WEEKDAY(A71,2),"月","火","水","木","金","土","日")),"")</f>
        <v/>
      </c>
    </row>
    <row r="72" customFormat="false" ht="15" hidden="false" customHeight="false" outlineLevel="0" collapsed="false">
      <c r="Z72" s="38" t="str">
        <f aca="false">IF(ISNUMBER(A72),IF(COUNTIF(祝日!$A:$A,A72)&gt;0,"祝",CHOOSE(WEEKDAY(A72,2),"月","火","水","木","金","土","日")),"")</f>
        <v/>
      </c>
    </row>
    <row r="73" customFormat="false" ht="15" hidden="false" customHeight="false" outlineLevel="0" collapsed="false">
      <c r="Z73" s="38" t="str">
        <f aca="false">IF(ISNUMBER(A73),IF(COUNTIF(祝日!$A:$A,A73)&gt;0,"祝",CHOOSE(WEEKDAY(A73,2),"月","火","水","木","金","土","日")),"")</f>
        <v/>
      </c>
    </row>
    <row r="74" customFormat="false" ht="15" hidden="false" customHeight="false" outlineLevel="0" collapsed="false">
      <c r="Z74" s="38" t="str">
        <f aca="false">IF(ISNUMBER(A74),IF(COUNTIF(祝日!$A:$A,A74)&gt;0,"祝",CHOOSE(WEEKDAY(A74,2),"月","火","水","木","金","土","日")),"")</f>
        <v/>
      </c>
    </row>
    <row r="75" customFormat="false" ht="15" hidden="false" customHeight="false" outlineLevel="0" collapsed="false">
      <c r="Z75" s="38" t="str">
        <f aca="false">IF(ISNUMBER(A75),IF(COUNTIF(祝日!$A:$A,A75)&gt;0,"祝",CHOOSE(WEEKDAY(A75,2),"月","火","水","木","金","土","日")),"")</f>
        <v/>
      </c>
    </row>
    <row r="76" customFormat="false" ht="15" hidden="false" customHeight="false" outlineLevel="0" collapsed="false">
      <c r="Z76" s="38" t="str">
        <f aca="false">IF(ISNUMBER(A76),IF(COUNTIF(祝日!$A:$A,A76)&gt;0,"祝",CHOOSE(WEEKDAY(A76,2),"月","火","水","木","金","土","日")),"")</f>
        <v/>
      </c>
    </row>
    <row r="77" customFormat="false" ht="15" hidden="false" customHeight="false" outlineLevel="0" collapsed="false">
      <c r="Z77" s="38" t="str">
        <f aca="false">IF(ISNUMBER(A77),IF(COUNTIF(祝日!$A:$A,A77)&gt;0,"祝",CHOOSE(WEEKDAY(A77,2),"月","火","水","木","金","土","日")),"")</f>
        <v/>
      </c>
    </row>
    <row r="78" customFormat="false" ht="15" hidden="false" customHeight="false" outlineLevel="0" collapsed="false">
      <c r="Z78" s="38" t="str">
        <f aca="false">IF(ISNUMBER(A78),IF(COUNTIF(祝日!$A:$A,A78)&gt;0,"祝",CHOOSE(WEEKDAY(A78,2),"月","火","水","木","金","土","日")),"")</f>
        <v/>
      </c>
    </row>
    <row r="79" customFormat="false" ht="15" hidden="false" customHeight="false" outlineLevel="0" collapsed="false">
      <c r="Z79" s="38" t="str">
        <f aca="false">IF(ISNUMBER(A79),IF(COUNTIF(祝日!$A:$A,A79)&gt;0,"祝",CHOOSE(WEEKDAY(A79,2),"月","火","水","木","金","土","日")),"")</f>
        <v/>
      </c>
    </row>
    <row r="80" customFormat="false" ht="15" hidden="false" customHeight="false" outlineLevel="0" collapsed="false">
      <c r="Z80" s="38" t="str">
        <f aca="false">IF(ISNUMBER(A80),IF(COUNTIF(祝日!$A:$A,A80)&gt;0,"祝",CHOOSE(WEEKDAY(A80,2),"月","火","水","木","金","土","日")),"")</f>
        <v/>
      </c>
    </row>
    <row r="81" customFormat="false" ht="15" hidden="false" customHeight="false" outlineLevel="0" collapsed="false">
      <c r="Z81" s="38" t="str">
        <f aca="false">IF(ISNUMBER(A81),IF(COUNTIF(祝日!$A:$A,A81)&gt;0,"祝",CHOOSE(WEEKDAY(A81,2),"月","火","水","木","金","土","日")),"")</f>
        <v/>
      </c>
    </row>
    <row r="82" customFormat="false" ht="15" hidden="false" customHeight="false" outlineLevel="0" collapsed="false">
      <c r="Z82" s="38" t="str">
        <f aca="false">IF(ISNUMBER(A82),IF(COUNTIF(祝日!$A:$A,A82)&gt;0,"祝",CHOOSE(WEEKDAY(A82,2),"月","火","水","木","金","土","日")),"")</f>
        <v/>
      </c>
    </row>
    <row r="83" customFormat="false" ht="15" hidden="false" customHeight="false" outlineLevel="0" collapsed="false">
      <c r="Z83" s="38" t="str">
        <f aca="false">IF(ISNUMBER(A83),IF(COUNTIF(祝日!$A:$A,A83)&gt;0,"祝",CHOOSE(WEEKDAY(A83,2),"月","火","水","木","金","土","日")),"")</f>
        <v/>
      </c>
    </row>
    <row r="84" customFormat="false" ht="15" hidden="false" customHeight="false" outlineLevel="0" collapsed="false">
      <c r="Z84" s="38" t="str">
        <f aca="false">IF(ISNUMBER(A84),IF(COUNTIF(祝日!$A:$A,A84)&gt;0,"祝",CHOOSE(WEEKDAY(A84,2),"月","火","水","木","金","土","日")),"")</f>
        <v/>
      </c>
    </row>
    <row r="85" customFormat="false" ht="15" hidden="false" customHeight="false" outlineLevel="0" collapsed="false">
      <c r="Z85" s="38" t="str">
        <f aca="false">IF(ISNUMBER(A85),IF(COUNTIF(祝日!$A:$A,A85)&gt;0,"祝",CHOOSE(WEEKDAY(A85,2),"月","火","水","木","金","土","日")),"")</f>
        <v/>
      </c>
    </row>
    <row r="86" customFormat="false" ht="15" hidden="false" customHeight="false" outlineLevel="0" collapsed="false">
      <c r="Z86" s="38" t="str">
        <f aca="false">IF(ISNUMBER(A86),IF(COUNTIF(祝日!$A:$A,A86)&gt;0,"祝",CHOOSE(WEEKDAY(A86,2),"月","火","水","木","金","土","日")),"")</f>
        <v/>
      </c>
    </row>
    <row r="87" customFormat="false" ht="15" hidden="false" customHeight="false" outlineLevel="0" collapsed="false">
      <c r="Z87" s="38" t="str">
        <f aca="false">IF(ISNUMBER(A87),IF(COUNTIF(祝日!$A:$A,A87)&gt;0,"祝",CHOOSE(WEEKDAY(A87,2),"月","火","水","木","金","土","日")),"")</f>
        <v/>
      </c>
    </row>
    <row r="88" customFormat="false" ht="15" hidden="false" customHeight="false" outlineLevel="0" collapsed="false">
      <c r="Z88" s="38" t="str">
        <f aca="false">IF(ISNUMBER(A88),IF(COUNTIF(祝日!$A:$A,A88)&gt;0,"祝",CHOOSE(WEEKDAY(A88,2),"月","火","水","木","金","土","日")),"")</f>
        <v/>
      </c>
    </row>
    <row r="89" customFormat="false" ht="15" hidden="false" customHeight="false" outlineLevel="0" collapsed="false">
      <c r="Z89" s="38" t="str">
        <f aca="false">IF(ISNUMBER(A89),IF(COUNTIF(祝日!$A:$A,A89)&gt;0,"祝",CHOOSE(WEEKDAY(A89,2),"月","火","水","木","金","土","日")),"")</f>
        <v/>
      </c>
    </row>
    <row r="90" customFormat="false" ht="15" hidden="false" customHeight="false" outlineLevel="0" collapsed="false">
      <c r="Z90" s="38" t="str">
        <f aca="false">IF(ISNUMBER(A90),IF(COUNTIF(祝日!$A:$A,A90)&gt;0,"祝",CHOOSE(WEEKDAY(A90,2),"月","火","水","木","金","土","日")),"")</f>
        <v/>
      </c>
    </row>
    <row r="91" customFormat="false" ht="15" hidden="false" customHeight="false" outlineLevel="0" collapsed="false">
      <c r="Z91" s="38" t="str">
        <f aca="false">IF(ISNUMBER(A91),IF(COUNTIF(祝日!$A:$A,A91)&gt;0,"祝",CHOOSE(WEEKDAY(A91,2),"月","火","水","木","金","土","日")),"")</f>
        <v/>
      </c>
    </row>
    <row r="92" customFormat="false" ht="15" hidden="false" customHeight="false" outlineLevel="0" collapsed="false">
      <c r="Z92" s="38" t="str">
        <f aca="false">IF(ISNUMBER(A92),IF(COUNTIF(祝日!$A:$A,A92)&gt;0,"祝",CHOOSE(WEEKDAY(A92,2),"月","火","水","木","金","土","日")),"")</f>
        <v/>
      </c>
    </row>
    <row r="93" customFormat="false" ht="15" hidden="false" customHeight="false" outlineLevel="0" collapsed="false">
      <c r="Z93" s="38" t="str">
        <f aca="false">IF(ISNUMBER(A93),IF(COUNTIF(祝日!$A:$A,A93)&gt;0,"祝",CHOOSE(WEEKDAY(A93,2),"月","火","水","木","金","土","日")),"")</f>
        <v/>
      </c>
    </row>
    <row r="94" customFormat="false" ht="15" hidden="false" customHeight="false" outlineLevel="0" collapsed="false">
      <c r="Z94" s="38" t="str">
        <f aca="false">IF(ISNUMBER(A94),IF(COUNTIF(祝日!$A:$A,A94)&gt;0,"祝",CHOOSE(WEEKDAY(A94,2),"月","火","水","木","金","土","日")),"")</f>
        <v/>
      </c>
    </row>
    <row r="95" customFormat="false" ht="15" hidden="false" customHeight="false" outlineLevel="0" collapsed="false">
      <c r="Z95" s="38" t="str">
        <f aca="false">IF(ISNUMBER(A95),IF(COUNTIF(祝日!$A:$A,A95)&gt;0,"祝",CHOOSE(WEEKDAY(A95,2),"月","火","水","木","金","土","日")),"")</f>
        <v/>
      </c>
    </row>
    <row r="96" customFormat="false" ht="15" hidden="false" customHeight="false" outlineLevel="0" collapsed="false">
      <c r="Z96" s="38" t="str">
        <f aca="false">IF(ISNUMBER(A96),IF(COUNTIF(祝日!$A:$A,A96)&gt;0,"祝",CHOOSE(WEEKDAY(A96,2),"月","火","水","木","金","土","日")),"")</f>
        <v/>
      </c>
    </row>
    <row r="97" customFormat="false" ht="15" hidden="false" customHeight="false" outlineLevel="0" collapsed="false">
      <c r="Z97" s="38" t="str">
        <f aca="false">IF(ISNUMBER(A97),IF(COUNTIF(祝日!$A:$A,A97)&gt;0,"祝",CHOOSE(WEEKDAY(A97,2),"月","火","水","木","金","土","日")),"")</f>
        <v/>
      </c>
    </row>
    <row r="98" customFormat="false" ht="15" hidden="false" customHeight="false" outlineLevel="0" collapsed="false">
      <c r="Z98" s="38" t="str">
        <f aca="false">IF(ISNUMBER(A98),IF(COUNTIF(祝日!$A:$A,A98)&gt;0,"祝",CHOOSE(WEEKDAY(A98,2),"月","火","水","木","金","土","日")),"")</f>
        <v/>
      </c>
    </row>
    <row r="99" customFormat="false" ht="15" hidden="false" customHeight="false" outlineLevel="0" collapsed="false">
      <c r="Z99" s="38" t="str">
        <f aca="false">IF(ISNUMBER(A99),IF(COUNTIF(祝日!$A:$A,A99)&gt;0,"祝",CHOOSE(WEEKDAY(A99,2),"月","火","水","木","金","土","日")),"")</f>
        <v/>
      </c>
    </row>
    <row r="100" customFormat="false" ht="15" hidden="false" customHeight="false" outlineLevel="0" collapsed="false">
      <c r="Z100" s="38" t="str">
        <f aca="false">IF(ISNUMBER(A100),IF(COUNTIF(祝日!$A:$A,A100)&gt;0,"祝",CHOOSE(WEEKDAY(A100,2),"月","火","水","木","金","土","日")),"")</f>
        <v/>
      </c>
    </row>
    <row r="101" customFormat="false" ht="15" hidden="false" customHeight="false" outlineLevel="0" collapsed="false">
      <c r="Z101" s="38" t="str">
        <f aca="false">IF(ISNUMBER(A101),IF(COUNTIF(祝日!$A:$A,A101)&gt;0,"祝",CHOOSE(WEEKDAY(A101,2),"月","火","水","木","金","土","日")),"")</f>
        <v/>
      </c>
    </row>
    <row r="102" customFormat="false" ht="15" hidden="false" customHeight="false" outlineLevel="0" collapsed="false">
      <c r="Z102" s="38" t="str">
        <f aca="false">IF(ISNUMBER(A102),IF(COUNTIF(祝日!$A:$A,A102)&gt;0,"祝",CHOOSE(WEEKDAY(A102,2),"月","火","水","木","金","土","日")),"")</f>
        <v/>
      </c>
    </row>
    <row r="103" customFormat="false" ht="15" hidden="false" customHeight="false" outlineLevel="0" collapsed="false">
      <c r="Z103" s="38" t="str">
        <f aca="false">IF(ISNUMBER(A103),IF(COUNTIF(祝日!$A:$A,A103)&gt;0,"祝",CHOOSE(WEEKDAY(A103,2),"月","火","水","木","金","土","日")),"")</f>
        <v/>
      </c>
    </row>
    <row r="104" customFormat="false" ht="15" hidden="false" customHeight="false" outlineLevel="0" collapsed="false">
      <c r="Z104" s="38" t="str">
        <f aca="false">IF(ISNUMBER(A104),IF(COUNTIF(祝日!$A:$A,A104)&gt;0,"祝",CHOOSE(WEEKDAY(A104,2),"月","火","水","木","金","土","日")),"")</f>
        <v/>
      </c>
    </row>
    <row r="105" customFormat="false" ht="15" hidden="false" customHeight="false" outlineLevel="0" collapsed="false">
      <c r="Z105" s="38" t="str">
        <f aca="false">IF(ISNUMBER(A105),IF(COUNTIF(祝日!$A:$A,A105)&gt;0,"祝",CHOOSE(WEEKDAY(A105,2),"月","火","水","木","金","土","日")),"")</f>
        <v/>
      </c>
    </row>
    <row r="106" customFormat="false" ht="15" hidden="false" customHeight="false" outlineLevel="0" collapsed="false">
      <c r="Z106" s="38" t="str">
        <f aca="false">IF(ISNUMBER(A106),IF(COUNTIF(祝日!$A:$A,A106)&gt;0,"祝",CHOOSE(WEEKDAY(A106,2),"月","火","水","木","金","土","日")),"")</f>
        <v/>
      </c>
    </row>
    <row r="107" customFormat="false" ht="15" hidden="false" customHeight="false" outlineLevel="0" collapsed="false">
      <c r="Z107" s="38" t="str">
        <f aca="false">IF(ISNUMBER(A107),IF(COUNTIF(祝日!$A:$A,A107)&gt;0,"祝",CHOOSE(WEEKDAY(A107,2),"月","火","水","木","金","土","日")),"")</f>
        <v/>
      </c>
    </row>
    <row r="108" customFormat="false" ht="15" hidden="false" customHeight="false" outlineLevel="0" collapsed="false">
      <c r="Z108" s="38" t="str">
        <f aca="false">IF(ISNUMBER(A108),IF(COUNTIF(祝日!$A:$A,A108)&gt;0,"祝",CHOOSE(WEEKDAY(A108,2),"月","火","水","木","金","土","日")),"")</f>
        <v/>
      </c>
    </row>
    <row r="109" customFormat="false" ht="15" hidden="false" customHeight="false" outlineLevel="0" collapsed="false">
      <c r="Z109" s="38" t="str">
        <f aca="false">IF(ISNUMBER(A109),IF(COUNTIF(祝日!$A:$A,A109)&gt;0,"祝",CHOOSE(WEEKDAY(A109,2),"月","火","水","木","金","土","日")),"")</f>
        <v/>
      </c>
    </row>
    <row r="110" customFormat="false" ht="15" hidden="false" customHeight="false" outlineLevel="0" collapsed="false">
      <c r="Z110" s="38" t="str">
        <f aca="false">IF(ISNUMBER(A110),IF(COUNTIF(祝日!$A:$A,A110)&gt;0,"祝",CHOOSE(WEEKDAY(A110,2),"月","火","水","木","金","土","日")),"")</f>
        <v/>
      </c>
    </row>
    <row r="111" customFormat="false" ht="15" hidden="false" customHeight="false" outlineLevel="0" collapsed="false">
      <c r="Z111" s="38" t="str">
        <f aca="false">IF(ISNUMBER(A111),IF(COUNTIF(祝日!$A:$A,A111)&gt;0,"祝",CHOOSE(WEEKDAY(A111,2),"月","火","水","木","金","土","日")),"")</f>
        <v/>
      </c>
    </row>
    <row r="112" customFormat="false" ht="15" hidden="false" customHeight="false" outlineLevel="0" collapsed="false">
      <c r="Z112" s="38" t="str">
        <f aca="false">IF(ISNUMBER(A112),IF(COUNTIF(祝日!$A:$A,A112)&gt;0,"祝",CHOOSE(WEEKDAY(A112,2),"月","火","水","木","金","土","日")),"")</f>
        <v/>
      </c>
    </row>
    <row r="113" customFormat="false" ht="15" hidden="false" customHeight="false" outlineLevel="0" collapsed="false">
      <c r="Z113" s="38" t="str">
        <f aca="false">IF(ISNUMBER(A113),IF(COUNTIF(祝日!$A:$A,A113)&gt;0,"祝",CHOOSE(WEEKDAY(A113,2),"月","火","水","木","金","土","日")),"")</f>
        <v/>
      </c>
    </row>
    <row r="114" customFormat="false" ht="15" hidden="false" customHeight="false" outlineLevel="0" collapsed="false">
      <c r="Z114" s="38" t="str">
        <f aca="false">IF(ISNUMBER(A114),IF(COUNTIF(祝日!$A:$A,A114)&gt;0,"祝",CHOOSE(WEEKDAY(A114,2),"月","火","水","木","金","土","日")),"")</f>
        <v/>
      </c>
    </row>
    <row r="115" customFormat="false" ht="15" hidden="false" customHeight="false" outlineLevel="0" collapsed="false">
      <c r="Z115" s="38" t="str">
        <f aca="false">IF(ISNUMBER(A115),IF(COUNTIF(祝日!$A:$A,A115)&gt;0,"祝",CHOOSE(WEEKDAY(A115,2),"月","火","水","木","金","土","日")),"")</f>
        <v/>
      </c>
    </row>
    <row r="116" customFormat="false" ht="15" hidden="false" customHeight="false" outlineLevel="0" collapsed="false">
      <c r="Z116" s="38" t="str">
        <f aca="false">IF(ISNUMBER(A116),IF(COUNTIF(祝日!$A:$A,A116)&gt;0,"祝",CHOOSE(WEEKDAY(A116,2),"月","火","水","木","金","土","日")),"")</f>
        <v/>
      </c>
    </row>
    <row r="117" customFormat="false" ht="15" hidden="false" customHeight="false" outlineLevel="0" collapsed="false">
      <c r="Z117" s="38" t="str">
        <f aca="false">IF(ISNUMBER(A117),IF(COUNTIF(祝日!$A:$A,A117)&gt;0,"祝",CHOOSE(WEEKDAY(A117,2),"月","火","水","木","金","土","日")),"")</f>
        <v/>
      </c>
    </row>
    <row r="118" customFormat="false" ht="15" hidden="false" customHeight="false" outlineLevel="0" collapsed="false">
      <c r="Z118" s="38" t="str">
        <f aca="false">IF(ISNUMBER(A118),IF(COUNTIF(祝日!$A:$A,A118)&gt;0,"祝",CHOOSE(WEEKDAY(A118,2),"月","火","水","木","金","土","日")),"")</f>
        <v/>
      </c>
    </row>
    <row r="119" customFormat="false" ht="15" hidden="false" customHeight="false" outlineLevel="0" collapsed="false">
      <c r="Z119" s="38" t="str">
        <f aca="false">IF(ISNUMBER(A119),IF(COUNTIF(祝日!$A:$A,A119)&gt;0,"祝",CHOOSE(WEEKDAY(A119,2),"月","火","水","木","金","土","日")),"")</f>
        <v/>
      </c>
    </row>
    <row r="120" customFormat="false" ht="15" hidden="false" customHeight="false" outlineLevel="0" collapsed="false">
      <c r="Z120" s="38" t="str">
        <f aca="false">IF(ISNUMBER(A120),IF(COUNTIF(祝日!$A:$A,A120)&gt;0,"祝",CHOOSE(WEEKDAY(A120,2),"月","火","水","木","金","土","日")),"")</f>
        <v/>
      </c>
    </row>
    <row r="121" customFormat="false" ht="15" hidden="false" customHeight="false" outlineLevel="0" collapsed="false">
      <c r="Z121" s="38" t="str">
        <f aca="false">IF(ISNUMBER(A121),IF(COUNTIF(祝日!$A:$A,A121)&gt;0,"祝",CHOOSE(WEEKDAY(A121,2),"月","火","水","木","金","土","日")),"")</f>
        <v/>
      </c>
    </row>
    <row r="122" customFormat="false" ht="15" hidden="false" customHeight="false" outlineLevel="0" collapsed="false">
      <c r="Z122" s="38" t="str">
        <f aca="false">IF(ISNUMBER(A122),IF(COUNTIF(祝日!$A:$A,A122)&gt;0,"祝",CHOOSE(WEEKDAY(A122,2),"月","火","水","木","金","土","日")),"")</f>
        <v/>
      </c>
    </row>
    <row r="123" customFormat="false" ht="15" hidden="false" customHeight="false" outlineLevel="0" collapsed="false">
      <c r="Z123" s="38" t="str">
        <f aca="false">IF(ISNUMBER(A123),IF(COUNTIF(祝日!$A:$A,A123)&gt;0,"祝",CHOOSE(WEEKDAY(A123,2),"月","火","水","木","金","土","日")),"")</f>
        <v/>
      </c>
    </row>
    <row r="124" customFormat="false" ht="15" hidden="false" customHeight="false" outlineLevel="0" collapsed="false">
      <c r="Z124" s="38" t="str">
        <f aca="false">IF(ISNUMBER(A124),IF(COUNTIF(祝日!$A:$A,A124)&gt;0,"祝",CHOOSE(WEEKDAY(A124,2),"月","火","水","木","金","土","日")),"")</f>
        <v/>
      </c>
    </row>
    <row r="125" customFormat="false" ht="15" hidden="false" customHeight="false" outlineLevel="0" collapsed="false">
      <c r="Z125" s="38" t="str">
        <f aca="false">IF(ISNUMBER(A125),IF(COUNTIF(祝日!$A:$A,A125)&gt;0,"祝",CHOOSE(WEEKDAY(A125,2),"月","火","水","木","金","土","日")),"")</f>
        <v/>
      </c>
    </row>
    <row r="126" customFormat="false" ht="15" hidden="false" customHeight="false" outlineLevel="0" collapsed="false">
      <c r="Z126" s="38" t="str">
        <f aca="false">IF(ISNUMBER(A126),IF(COUNTIF(祝日!$A:$A,A126)&gt;0,"祝",CHOOSE(WEEKDAY(A126,2),"月","火","水","木","金","土","日")),"")</f>
        <v/>
      </c>
    </row>
    <row r="127" customFormat="false" ht="15" hidden="false" customHeight="false" outlineLevel="0" collapsed="false">
      <c r="Z127" s="38" t="str">
        <f aca="false">IF(ISNUMBER(A127),IF(COUNTIF(祝日!$A:$A,A127)&gt;0,"祝",CHOOSE(WEEKDAY(A127,2),"月","火","水","木","金","土","日")),"")</f>
        <v/>
      </c>
    </row>
    <row r="128" customFormat="false" ht="15" hidden="false" customHeight="false" outlineLevel="0" collapsed="false">
      <c r="Z128" s="38" t="str">
        <f aca="false">IF(ISNUMBER(A128),IF(COUNTIF(祝日!$A:$A,A128)&gt;0,"祝",CHOOSE(WEEKDAY(A128,2),"月","火","水","木","金","土","日")),"")</f>
        <v/>
      </c>
    </row>
    <row r="129" customFormat="false" ht="15" hidden="false" customHeight="false" outlineLevel="0" collapsed="false">
      <c r="Z129" s="38" t="str">
        <f aca="false">IF(ISNUMBER(A129),IF(COUNTIF(祝日!$A:$A,A129)&gt;0,"祝",CHOOSE(WEEKDAY(A129,2),"月","火","水","木","金","土","日")),"")</f>
        <v/>
      </c>
    </row>
    <row r="130" customFormat="false" ht="15" hidden="false" customHeight="false" outlineLevel="0" collapsed="false">
      <c r="Z130" s="38" t="str">
        <f aca="false">IF(ISNUMBER(A130),IF(COUNTIF(祝日!$A:$A,A130)&gt;0,"祝",CHOOSE(WEEKDAY(A130,2),"月","火","水","木","金","土","日")),"")</f>
        <v/>
      </c>
    </row>
    <row r="131" customFormat="false" ht="15" hidden="false" customHeight="false" outlineLevel="0" collapsed="false">
      <c r="Z131" s="38" t="str">
        <f aca="false">IF(ISNUMBER(A131),IF(COUNTIF(祝日!$A:$A,A131)&gt;0,"祝",CHOOSE(WEEKDAY(A131,2),"月","火","水","木","金","土","日")),"")</f>
        <v/>
      </c>
    </row>
    <row r="132" customFormat="false" ht="15" hidden="false" customHeight="false" outlineLevel="0" collapsed="false">
      <c r="Z132" s="38" t="str">
        <f aca="false">IF(ISNUMBER(A132),IF(COUNTIF(祝日!$A:$A,A132)&gt;0,"祝",CHOOSE(WEEKDAY(A132,2),"月","火","水","木","金","土","日")),"")</f>
        <v/>
      </c>
    </row>
    <row r="133" customFormat="false" ht="15" hidden="false" customHeight="false" outlineLevel="0" collapsed="false">
      <c r="Z133" s="38" t="str">
        <f aca="false">IF(ISNUMBER(A133),IF(COUNTIF(祝日!$A:$A,A133)&gt;0,"祝",CHOOSE(WEEKDAY(A133,2),"月","火","水","木","金","土","日")),"")</f>
        <v/>
      </c>
    </row>
    <row r="134" customFormat="false" ht="15" hidden="false" customHeight="false" outlineLevel="0" collapsed="false">
      <c r="Z134" s="38" t="str">
        <f aca="false">IF(ISNUMBER(A134),IF(COUNTIF(祝日!$A:$A,A134)&gt;0,"祝",CHOOSE(WEEKDAY(A134,2),"月","火","水","木","金","土","日")),"")</f>
        <v/>
      </c>
    </row>
    <row r="135" customFormat="false" ht="15" hidden="false" customHeight="false" outlineLevel="0" collapsed="false">
      <c r="Z135" s="38" t="str">
        <f aca="false">IF(ISNUMBER(A135),IF(COUNTIF(祝日!$A:$A,A135)&gt;0,"祝",CHOOSE(WEEKDAY(A135,2),"月","火","水","木","金","土","日")),"")</f>
        <v/>
      </c>
    </row>
    <row r="136" customFormat="false" ht="15" hidden="false" customHeight="false" outlineLevel="0" collapsed="false">
      <c r="Z136" s="38" t="str">
        <f aca="false">IF(ISNUMBER(A136),IF(COUNTIF(祝日!$A:$A,A136)&gt;0,"祝",CHOOSE(WEEKDAY(A136,2),"月","火","水","木","金","土","日")),"")</f>
        <v/>
      </c>
    </row>
    <row r="137" customFormat="false" ht="15" hidden="false" customHeight="false" outlineLevel="0" collapsed="false">
      <c r="Z137" s="38" t="str">
        <f aca="false">IF(ISNUMBER(A137),IF(COUNTIF(祝日!$A:$A,A137)&gt;0,"祝",CHOOSE(WEEKDAY(A137,2),"月","火","水","木","金","土","日")),"")</f>
        <v/>
      </c>
    </row>
    <row r="138" customFormat="false" ht="15" hidden="false" customHeight="false" outlineLevel="0" collapsed="false">
      <c r="Z138" s="38" t="str">
        <f aca="false">IF(ISNUMBER(A138),IF(COUNTIF(祝日!$A:$A,A138)&gt;0,"祝",CHOOSE(WEEKDAY(A138,2),"月","火","水","木","金","土","日")),"")</f>
        <v/>
      </c>
    </row>
    <row r="139" customFormat="false" ht="15" hidden="false" customHeight="false" outlineLevel="0" collapsed="false">
      <c r="Z139" s="38" t="str">
        <f aca="false">IF(ISNUMBER(A139),IF(COUNTIF(祝日!$A:$A,A139)&gt;0,"祝",CHOOSE(WEEKDAY(A139,2),"月","火","水","木","金","土","日")),"")</f>
        <v/>
      </c>
    </row>
    <row r="140" customFormat="false" ht="15" hidden="false" customHeight="false" outlineLevel="0" collapsed="false">
      <c r="Z140" s="38" t="str">
        <f aca="false">IF(ISNUMBER(A140),IF(COUNTIF(祝日!$A:$A,A140)&gt;0,"祝",CHOOSE(WEEKDAY(A140,2),"月","火","水","木","金","土","日")),"")</f>
        <v/>
      </c>
    </row>
    <row r="141" customFormat="false" ht="15" hidden="false" customHeight="false" outlineLevel="0" collapsed="false">
      <c r="Z141" s="38" t="str">
        <f aca="false">IF(ISNUMBER(A141),IF(COUNTIF(祝日!$A:$A,A141)&gt;0,"祝",CHOOSE(WEEKDAY(A141,2),"月","火","水","木","金","土","日")),"")</f>
        <v/>
      </c>
    </row>
    <row r="142" customFormat="false" ht="15" hidden="false" customHeight="false" outlineLevel="0" collapsed="false">
      <c r="Z142" s="38" t="str">
        <f aca="false">IF(ISNUMBER(A142),IF(COUNTIF(祝日!$A:$A,A142)&gt;0,"祝",CHOOSE(WEEKDAY(A142,2),"月","火","水","木","金","土","日")),"")</f>
        <v/>
      </c>
    </row>
    <row r="143" customFormat="false" ht="15" hidden="false" customHeight="false" outlineLevel="0" collapsed="false">
      <c r="Z143" s="38" t="str">
        <f aca="false">IF(ISNUMBER(A143),IF(COUNTIF(祝日!$A:$A,A143)&gt;0,"祝",CHOOSE(WEEKDAY(A143,2),"月","火","水","木","金","土","日")),"")</f>
        <v/>
      </c>
    </row>
    <row r="144" customFormat="false" ht="15" hidden="false" customHeight="false" outlineLevel="0" collapsed="false">
      <c r="Z144" s="38" t="str">
        <f aca="false">IF(ISNUMBER(A144),IF(COUNTIF(祝日!$A:$A,A144)&gt;0,"祝",CHOOSE(WEEKDAY(A144,2),"月","火","水","木","金","土","日")),"")</f>
        <v/>
      </c>
    </row>
    <row r="145" customFormat="false" ht="15" hidden="false" customHeight="false" outlineLevel="0" collapsed="false">
      <c r="Z145" s="38" t="str">
        <f aca="false">IF(ISNUMBER(A145),IF(COUNTIF(祝日!$A:$A,A145)&gt;0,"祝",CHOOSE(WEEKDAY(A145,2),"月","火","水","木","金","土","日")),"")</f>
        <v/>
      </c>
    </row>
    <row r="146" customFormat="false" ht="15" hidden="false" customHeight="false" outlineLevel="0" collapsed="false">
      <c r="Z146" s="38" t="str">
        <f aca="false">IF(ISNUMBER(A146),IF(COUNTIF(祝日!$A:$A,A146)&gt;0,"祝",CHOOSE(WEEKDAY(A146,2),"月","火","水","木","金","土","日")),"")</f>
        <v/>
      </c>
    </row>
    <row r="147" customFormat="false" ht="15" hidden="false" customHeight="false" outlineLevel="0" collapsed="false">
      <c r="Z147" s="38" t="str">
        <f aca="false">IF(ISNUMBER(A147),IF(COUNTIF(祝日!$A:$A,A147)&gt;0,"祝",CHOOSE(WEEKDAY(A147,2),"月","火","水","木","金","土","日")),"")</f>
        <v/>
      </c>
    </row>
    <row r="148" customFormat="false" ht="15" hidden="false" customHeight="false" outlineLevel="0" collapsed="false">
      <c r="Z148" s="38" t="str">
        <f aca="false">IF(ISNUMBER(A148),IF(COUNTIF(祝日!$A:$A,A148)&gt;0,"祝",CHOOSE(WEEKDAY(A148,2),"月","火","水","木","金","土","日")),"")</f>
        <v/>
      </c>
    </row>
    <row r="149" customFormat="false" ht="15" hidden="false" customHeight="false" outlineLevel="0" collapsed="false">
      <c r="Z149" s="38" t="str">
        <f aca="false">IF(ISNUMBER(A149),IF(COUNTIF(祝日!$A:$A,A149)&gt;0,"祝",CHOOSE(WEEKDAY(A149,2),"月","火","水","木","金","土","日")),"")</f>
        <v/>
      </c>
    </row>
    <row r="150" customFormat="false" ht="15" hidden="false" customHeight="false" outlineLevel="0" collapsed="false">
      <c r="Z150" s="38" t="str">
        <f aca="false">IF(ISNUMBER(A150),IF(COUNTIF(祝日!$A:$A,A150)&gt;0,"祝",CHOOSE(WEEKDAY(A150,2),"月","火","水","木","金","土","日")),"")</f>
        <v/>
      </c>
    </row>
    <row r="151" customFormat="false" ht="15" hidden="false" customHeight="false" outlineLevel="0" collapsed="false">
      <c r="Z151" s="38" t="str">
        <f aca="false">IF(ISNUMBER(A151),IF(COUNTIF(祝日!$A:$A,A151)&gt;0,"祝",CHOOSE(WEEKDAY(A151,2),"月","火","水","木","金","土","日")),"")</f>
        <v/>
      </c>
    </row>
    <row r="152" customFormat="false" ht="15" hidden="false" customHeight="false" outlineLevel="0" collapsed="false">
      <c r="Z152" s="38" t="str">
        <f aca="false">IF(ISNUMBER(A152),IF(COUNTIF(祝日!$A:$A,A152)&gt;0,"祝",CHOOSE(WEEKDAY(A152,2),"月","火","水","木","金","土","日")),"")</f>
        <v/>
      </c>
    </row>
    <row r="153" customFormat="false" ht="15" hidden="false" customHeight="false" outlineLevel="0" collapsed="false">
      <c r="Z153" s="38" t="str">
        <f aca="false">IF(ISNUMBER(A153),IF(COUNTIF(祝日!$A:$A,A153)&gt;0,"祝",CHOOSE(WEEKDAY(A153,2),"月","火","水","木","金","土","日")),"")</f>
        <v/>
      </c>
    </row>
    <row r="154" customFormat="false" ht="15" hidden="false" customHeight="false" outlineLevel="0" collapsed="false">
      <c r="Z154" s="38" t="str">
        <f aca="false">IF(ISNUMBER(A154),IF(COUNTIF(祝日!$A:$A,A154)&gt;0,"祝",CHOOSE(WEEKDAY(A154,2),"月","火","水","木","金","土","日")),"")</f>
        <v/>
      </c>
    </row>
    <row r="155" customFormat="false" ht="15" hidden="false" customHeight="false" outlineLevel="0" collapsed="false">
      <c r="Z155" s="38" t="str">
        <f aca="false">IF(ISNUMBER(A155),IF(COUNTIF(祝日!$A:$A,A155)&gt;0,"祝",CHOOSE(WEEKDAY(A155,2),"月","火","水","木","金","土","日")),"")</f>
        <v/>
      </c>
    </row>
    <row r="156" customFormat="false" ht="15" hidden="false" customHeight="false" outlineLevel="0" collapsed="false">
      <c r="Z156" s="38" t="str">
        <f aca="false">IF(ISNUMBER(A156),IF(COUNTIF(祝日!$A:$A,A156)&gt;0,"祝",CHOOSE(WEEKDAY(A156,2),"月","火","水","木","金","土","日")),"")</f>
        <v/>
      </c>
    </row>
    <row r="157" customFormat="false" ht="15" hidden="false" customHeight="false" outlineLevel="0" collapsed="false">
      <c r="Z157" s="38" t="str">
        <f aca="false">IF(ISNUMBER(A157),IF(COUNTIF(祝日!$A:$A,A157)&gt;0,"祝",CHOOSE(WEEKDAY(A157,2),"月","火","水","木","金","土","日")),"")</f>
        <v/>
      </c>
    </row>
    <row r="158" customFormat="false" ht="15" hidden="false" customHeight="false" outlineLevel="0" collapsed="false">
      <c r="Z158" s="38" t="str">
        <f aca="false">IF(ISNUMBER(A158),IF(COUNTIF(祝日!$A:$A,A158)&gt;0,"祝",CHOOSE(WEEKDAY(A158,2),"月","火","水","木","金","土","日")),"")</f>
        <v/>
      </c>
    </row>
    <row r="159" customFormat="false" ht="15" hidden="false" customHeight="false" outlineLevel="0" collapsed="false">
      <c r="Z159" s="38" t="str">
        <f aca="false">IF(ISNUMBER(A159),IF(COUNTIF(祝日!$A:$A,A159)&gt;0,"祝",CHOOSE(WEEKDAY(A159,2),"月","火","水","木","金","土","日")),"")</f>
        <v/>
      </c>
    </row>
    <row r="160" customFormat="false" ht="15" hidden="false" customHeight="false" outlineLevel="0" collapsed="false">
      <c r="Z160" s="38" t="str">
        <f aca="false">IF(ISNUMBER(A160),IF(COUNTIF(祝日!$A:$A,A160)&gt;0,"祝",CHOOSE(WEEKDAY(A160,2),"月","火","水","木","金","土","日")),"")</f>
        <v/>
      </c>
    </row>
    <row r="161" customFormat="false" ht="15" hidden="false" customHeight="false" outlineLevel="0" collapsed="false">
      <c r="Z161" s="38" t="str">
        <f aca="false">IF(ISNUMBER(A161),IF(COUNTIF(祝日!$A:$A,A161)&gt;0,"祝",CHOOSE(WEEKDAY(A161,2),"月","火","水","木","金","土","日")),"")</f>
        <v/>
      </c>
    </row>
    <row r="162" customFormat="false" ht="15" hidden="false" customHeight="false" outlineLevel="0" collapsed="false">
      <c r="Z162" s="38" t="str">
        <f aca="false">IF(ISNUMBER(A162),IF(COUNTIF(祝日!$A:$A,A162)&gt;0,"祝",CHOOSE(WEEKDAY(A162,2),"月","火","水","木","金","土","日")),"")</f>
        <v/>
      </c>
    </row>
    <row r="163" customFormat="false" ht="15" hidden="false" customHeight="false" outlineLevel="0" collapsed="false">
      <c r="Z163" s="38" t="str">
        <f aca="false">IF(ISNUMBER(A163),IF(COUNTIF(祝日!$A:$A,A163)&gt;0,"祝",CHOOSE(WEEKDAY(A163,2),"月","火","水","木","金","土","日")),"")</f>
        <v/>
      </c>
    </row>
    <row r="164" customFormat="false" ht="15" hidden="false" customHeight="false" outlineLevel="0" collapsed="false">
      <c r="Z164" s="38" t="str">
        <f aca="false">IF(ISNUMBER(A164),IF(COUNTIF(祝日!$A:$A,A164)&gt;0,"祝",CHOOSE(WEEKDAY(A164,2),"月","火","水","木","金","土","日")),"")</f>
        <v/>
      </c>
    </row>
    <row r="165" customFormat="false" ht="15" hidden="false" customHeight="false" outlineLevel="0" collapsed="false">
      <c r="Z165" s="38" t="str">
        <f aca="false">IF(ISNUMBER(A165),IF(COUNTIF(祝日!$A:$A,A165)&gt;0,"祝",CHOOSE(WEEKDAY(A165,2),"月","火","水","木","金","土","日")),"")</f>
        <v/>
      </c>
    </row>
    <row r="166" customFormat="false" ht="15" hidden="false" customHeight="false" outlineLevel="0" collapsed="false">
      <c r="Z166" s="38" t="str">
        <f aca="false">IF(ISNUMBER(A166),IF(COUNTIF(祝日!$A:$A,A166)&gt;0,"祝",CHOOSE(WEEKDAY(A166,2),"月","火","水","木","金","土","日")),"")</f>
        <v/>
      </c>
    </row>
    <row r="167" customFormat="false" ht="15" hidden="false" customHeight="false" outlineLevel="0" collapsed="false">
      <c r="Z167" s="38" t="str">
        <f aca="false">IF(ISNUMBER(A167),IF(COUNTIF(祝日!$A:$A,A167)&gt;0,"祝",CHOOSE(WEEKDAY(A167,2),"月","火","水","木","金","土","日")),"")</f>
        <v/>
      </c>
    </row>
    <row r="168" customFormat="false" ht="15" hidden="false" customHeight="false" outlineLevel="0" collapsed="false">
      <c r="Z168" s="38" t="str">
        <f aca="false">IF(ISNUMBER(A168),IF(COUNTIF(祝日!$A:$A,A168)&gt;0,"祝",CHOOSE(WEEKDAY(A168,2),"月","火","水","木","金","土","日")),"")</f>
        <v/>
      </c>
    </row>
    <row r="169" customFormat="false" ht="15" hidden="false" customHeight="false" outlineLevel="0" collapsed="false">
      <c r="Z169" s="38" t="str">
        <f aca="false">IF(ISNUMBER(A169),IF(COUNTIF(祝日!$A:$A,A169)&gt;0,"祝",CHOOSE(WEEKDAY(A169,2),"月","火","水","木","金","土","日")),"")</f>
        <v/>
      </c>
    </row>
    <row r="170" customFormat="false" ht="15" hidden="false" customHeight="false" outlineLevel="0" collapsed="false">
      <c r="Z170" s="38" t="str">
        <f aca="false">IF(ISNUMBER(A170),IF(COUNTIF(祝日!$A:$A,A170)&gt;0,"祝",CHOOSE(WEEKDAY(A170,2),"月","火","水","木","金","土","日")),"")</f>
        <v/>
      </c>
    </row>
    <row r="171" customFormat="false" ht="15" hidden="false" customHeight="false" outlineLevel="0" collapsed="false">
      <c r="Z171" s="38" t="str">
        <f aca="false">IF(ISNUMBER(A171),IF(COUNTIF(祝日!$A:$A,A171)&gt;0,"祝",CHOOSE(WEEKDAY(A171,2),"月","火","水","木","金","土","日")),"")</f>
        <v/>
      </c>
    </row>
    <row r="172" customFormat="false" ht="15" hidden="false" customHeight="false" outlineLevel="0" collapsed="false">
      <c r="Z172" s="38" t="str">
        <f aca="false">IF(ISNUMBER(A172),IF(COUNTIF(祝日!$A:$A,A172)&gt;0,"祝",CHOOSE(WEEKDAY(A172,2),"月","火","水","木","金","土","日")),"")</f>
        <v/>
      </c>
    </row>
    <row r="173" customFormat="false" ht="15" hidden="false" customHeight="false" outlineLevel="0" collapsed="false">
      <c r="Z173" s="38" t="str">
        <f aca="false">IF(ISNUMBER(A173),IF(COUNTIF(祝日!$A:$A,A173)&gt;0,"祝",CHOOSE(WEEKDAY(A173,2),"月","火","水","木","金","土","日")),"")</f>
        <v/>
      </c>
    </row>
    <row r="174" customFormat="false" ht="15" hidden="false" customHeight="false" outlineLevel="0" collapsed="false">
      <c r="Z174" s="38" t="str">
        <f aca="false">IF(ISNUMBER(A174),IF(COUNTIF(祝日!$A:$A,A174)&gt;0,"祝",CHOOSE(WEEKDAY(A174,2),"月","火","水","木","金","土","日")),"")</f>
        <v/>
      </c>
    </row>
    <row r="175" customFormat="false" ht="15" hidden="false" customHeight="false" outlineLevel="0" collapsed="false">
      <c r="Z175" s="38" t="str">
        <f aca="false">IF(ISNUMBER(A175),IF(COUNTIF(祝日!$A:$A,A175)&gt;0,"祝",CHOOSE(WEEKDAY(A175,2),"月","火","水","木","金","土","日")),"")</f>
        <v/>
      </c>
    </row>
    <row r="176" customFormat="false" ht="15" hidden="false" customHeight="false" outlineLevel="0" collapsed="false">
      <c r="Z176" s="38" t="str">
        <f aca="false">IF(ISNUMBER(A176),IF(COUNTIF(祝日!$A:$A,A176)&gt;0,"祝",CHOOSE(WEEKDAY(A176,2),"月","火","水","木","金","土","日")),"")</f>
        <v/>
      </c>
    </row>
    <row r="177" customFormat="false" ht="15" hidden="false" customHeight="false" outlineLevel="0" collapsed="false">
      <c r="Z177" s="38" t="str">
        <f aca="false">IF(ISNUMBER(A177),IF(COUNTIF(祝日!$A:$A,A177)&gt;0,"祝",CHOOSE(WEEKDAY(A177,2),"月","火","水","木","金","土","日")),"")</f>
        <v/>
      </c>
    </row>
    <row r="178" customFormat="false" ht="15" hidden="false" customHeight="false" outlineLevel="0" collapsed="false">
      <c r="Z178" s="38" t="str">
        <f aca="false">IF(ISNUMBER(A178),IF(COUNTIF(祝日!$A:$A,A178)&gt;0,"祝",CHOOSE(WEEKDAY(A178,2),"月","火","水","木","金","土","日")),"")</f>
        <v/>
      </c>
    </row>
    <row r="179" customFormat="false" ht="15" hidden="false" customHeight="false" outlineLevel="0" collapsed="false">
      <c r="Z179" s="38" t="str">
        <f aca="false">IF(ISNUMBER(A179),IF(COUNTIF(祝日!$A:$A,A179)&gt;0,"祝",CHOOSE(WEEKDAY(A179,2),"月","火","水","木","金","土","日")),"")</f>
        <v/>
      </c>
    </row>
    <row r="180" customFormat="false" ht="15" hidden="false" customHeight="false" outlineLevel="0" collapsed="false">
      <c r="Z180" s="38" t="str">
        <f aca="false">IF(ISNUMBER(A180),IF(COUNTIF(祝日!$A:$A,A180)&gt;0,"祝",CHOOSE(WEEKDAY(A180,2),"月","火","水","木","金","土","日")),"")</f>
        <v/>
      </c>
    </row>
    <row r="181" customFormat="false" ht="15" hidden="false" customHeight="false" outlineLevel="0" collapsed="false">
      <c r="Z181" s="38" t="str">
        <f aca="false">IF(ISNUMBER(A181),IF(COUNTIF(祝日!$A:$A,A181)&gt;0,"祝",CHOOSE(WEEKDAY(A181,2),"月","火","水","木","金","土","日")),"")</f>
        <v/>
      </c>
    </row>
    <row r="182" customFormat="false" ht="15" hidden="false" customHeight="false" outlineLevel="0" collapsed="false">
      <c r="Z182" s="38" t="str">
        <f aca="false">IF(ISNUMBER(A182),IF(COUNTIF(祝日!$A:$A,A182)&gt;0,"祝",CHOOSE(WEEKDAY(A182,2),"月","火","水","木","金","土","日")),"")</f>
        <v/>
      </c>
    </row>
    <row r="183" customFormat="false" ht="15" hidden="false" customHeight="false" outlineLevel="0" collapsed="false">
      <c r="Z183" s="38" t="str">
        <f aca="false">IF(ISNUMBER(A183),IF(COUNTIF(祝日!$A:$A,A183)&gt;0,"祝",CHOOSE(WEEKDAY(A183,2),"月","火","水","木","金","土","日")),"")</f>
        <v/>
      </c>
    </row>
    <row r="184" customFormat="false" ht="15" hidden="false" customHeight="false" outlineLevel="0" collapsed="false">
      <c r="Z184" s="38" t="str">
        <f aca="false">IF(ISNUMBER(A184),IF(COUNTIF(祝日!$A:$A,A184)&gt;0,"祝",CHOOSE(WEEKDAY(A184,2),"月","火","水","木","金","土","日")),"")</f>
        <v/>
      </c>
    </row>
    <row r="185" customFormat="false" ht="15" hidden="false" customHeight="false" outlineLevel="0" collapsed="false">
      <c r="Z185" s="38" t="str">
        <f aca="false">IF(ISNUMBER(A185),IF(COUNTIF(祝日!$A:$A,A185)&gt;0,"祝",CHOOSE(WEEKDAY(A185,2),"月","火","水","木","金","土","日")),"")</f>
        <v/>
      </c>
    </row>
    <row r="186" customFormat="false" ht="15" hidden="false" customHeight="false" outlineLevel="0" collapsed="false">
      <c r="Z186" s="38" t="str">
        <f aca="false">IF(ISNUMBER(A186),IF(COUNTIF(祝日!$A:$A,A186)&gt;0,"祝",CHOOSE(WEEKDAY(A186,2),"月","火","水","木","金","土","日")),"")</f>
        <v/>
      </c>
    </row>
    <row r="187" customFormat="false" ht="15" hidden="false" customHeight="false" outlineLevel="0" collapsed="false">
      <c r="Z187" s="38" t="str">
        <f aca="false">IF(ISNUMBER(A187),IF(COUNTIF(祝日!$A:$A,A187)&gt;0,"祝",CHOOSE(WEEKDAY(A187,2),"月","火","水","木","金","土","日")),"")</f>
        <v/>
      </c>
    </row>
    <row r="188" customFormat="false" ht="15" hidden="false" customHeight="false" outlineLevel="0" collapsed="false">
      <c r="Z188" s="38" t="str">
        <f aca="false">IF(ISNUMBER(A188),IF(COUNTIF(祝日!$A:$A,A188)&gt;0,"祝",CHOOSE(WEEKDAY(A188,2),"月","火","水","木","金","土","日")),"")</f>
        <v/>
      </c>
    </row>
    <row r="189" customFormat="false" ht="15" hidden="false" customHeight="false" outlineLevel="0" collapsed="false">
      <c r="Z189" s="38" t="str">
        <f aca="false">IF(ISNUMBER(A189),IF(COUNTIF(祝日!$A:$A,A189)&gt;0,"祝",CHOOSE(WEEKDAY(A189,2),"月","火","水","木","金","土","日")),"")</f>
        <v/>
      </c>
    </row>
    <row r="190" customFormat="false" ht="15" hidden="false" customHeight="false" outlineLevel="0" collapsed="false">
      <c r="Z190" s="38" t="str">
        <f aca="false">IF(ISNUMBER(A190),IF(COUNTIF(祝日!$A:$A,A190)&gt;0,"祝",CHOOSE(WEEKDAY(A190,2),"月","火","水","木","金","土","日")),"")</f>
        <v/>
      </c>
    </row>
    <row r="191" customFormat="false" ht="15" hidden="false" customHeight="false" outlineLevel="0" collapsed="false">
      <c r="Z191" s="38" t="str">
        <f aca="false">IF(ISNUMBER(A191),IF(COUNTIF(祝日!$A:$A,A191)&gt;0,"祝",CHOOSE(WEEKDAY(A191,2),"月","火","水","木","金","土","日")),"")</f>
        <v/>
      </c>
    </row>
    <row r="192" customFormat="false" ht="15" hidden="false" customHeight="false" outlineLevel="0" collapsed="false">
      <c r="Z192" s="38" t="str">
        <f aca="false">IF(ISNUMBER(A192),IF(COUNTIF(祝日!$A:$A,A192)&gt;0,"祝",CHOOSE(WEEKDAY(A192,2),"月","火","水","木","金","土","日")),"")</f>
        <v/>
      </c>
    </row>
    <row r="193" customFormat="false" ht="15" hidden="false" customHeight="false" outlineLevel="0" collapsed="false">
      <c r="Z193" s="38" t="str">
        <f aca="false">IF(ISNUMBER(A193),IF(COUNTIF(祝日!$A:$A,A193)&gt;0,"祝",CHOOSE(WEEKDAY(A193,2),"月","火","水","木","金","土","日")),"")</f>
        <v/>
      </c>
    </row>
    <row r="194" customFormat="false" ht="15" hidden="false" customHeight="false" outlineLevel="0" collapsed="false">
      <c r="Z194" s="38" t="str">
        <f aca="false">IF(ISNUMBER(A194),IF(COUNTIF(祝日!$A:$A,A194)&gt;0,"祝",CHOOSE(WEEKDAY(A194,2),"月","火","水","木","金","土","日")),"")</f>
        <v/>
      </c>
    </row>
    <row r="195" customFormat="false" ht="15" hidden="false" customHeight="false" outlineLevel="0" collapsed="false">
      <c r="Z195" s="38" t="str">
        <f aca="false">IF(ISNUMBER(A195),IF(COUNTIF(祝日!$A:$A,A195)&gt;0,"祝",CHOOSE(WEEKDAY(A195,2),"月","火","水","木","金","土","日")),"")</f>
        <v/>
      </c>
    </row>
    <row r="196" customFormat="false" ht="15" hidden="false" customHeight="false" outlineLevel="0" collapsed="false">
      <c r="Z196" s="38" t="str">
        <f aca="false">IF(ISNUMBER(A196),IF(COUNTIF(祝日!$A:$A,A196)&gt;0,"祝",CHOOSE(WEEKDAY(A196,2),"月","火","水","木","金","土","日")),"")</f>
        <v/>
      </c>
    </row>
    <row r="197" customFormat="false" ht="15" hidden="false" customHeight="false" outlineLevel="0" collapsed="false">
      <c r="Z197" s="38" t="str">
        <f aca="false">IF(ISNUMBER(A197),IF(COUNTIF(祝日!$A:$A,A197)&gt;0,"祝",CHOOSE(WEEKDAY(A197,2),"月","火","水","木","金","土","日")),"")</f>
        <v/>
      </c>
    </row>
    <row r="198" customFormat="false" ht="15" hidden="false" customHeight="false" outlineLevel="0" collapsed="false">
      <c r="Z198" s="38" t="str">
        <f aca="false">IF(ISNUMBER(A198),IF(COUNTIF(祝日!$A:$A,A198)&gt;0,"祝",CHOOSE(WEEKDAY(A198,2),"月","火","水","木","金","土","日")),"")</f>
        <v/>
      </c>
    </row>
    <row r="199" customFormat="false" ht="15" hidden="false" customHeight="false" outlineLevel="0" collapsed="false">
      <c r="Z199" s="38" t="str">
        <f aca="false">IF(ISNUMBER(A199),IF(COUNTIF(祝日!$A:$A,A199)&gt;0,"祝",CHOOSE(WEEKDAY(A199,2),"月","火","水","木","金","土","日")),"")</f>
        <v/>
      </c>
    </row>
    <row r="200" customFormat="false" ht="15" hidden="false" customHeight="false" outlineLevel="0" collapsed="false">
      <c r="Z200" s="38" t="str">
        <f aca="false">IF(ISNUMBER(A200),IF(COUNTIF(祝日!$A:$A,A200)&gt;0,"祝",CHOOSE(WEEKDAY(A200,2),"月","火","水","木","金","土","日")),"")</f>
        <v/>
      </c>
    </row>
    <row r="201" customFormat="false" ht="15" hidden="false" customHeight="false" outlineLevel="0" collapsed="false">
      <c r="Z201" s="38" t="str">
        <f aca="false">IF(ISNUMBER(A201),IF(COUNTIF(祝日!$A:$A,A201)&gt;0,"祝",CHOOSE(WEEKDAY(A201,2),"月","火","水","木","金","土","日")),"")</f>
        <v/>
      </c>
    </row>
    <row r="202" customFormat="false" ht="15" hidden="false" customHeight="false" outlineLevel="0" collapsed="false">
      <c r="Z202" s="38" t="str">
        <f aca="false">IF(ISNUMBER(A202),IF(COUNTIF(祝日!$A:$A,A202)&gt;0,"祝",CHOOSE(WEEKDAY(A202,2),"月","火","水","木","金","土","日")),"")</f>
        <v/>
      </c>
    </row>
    <row r="203" customFormat="false" ht="15" hidden="false" customHeight="false" outlineLevel="0" collapsed="false">
      <c r="Z203" s="38" t="str">
        <f aca="false">IF(ISNUMBER(A203),IF(COUNTIF(祝日!$A:$A,A203)&gt;0,"祝",CHOOSE(WEEKDAY(A203,2),"月","火","水","木","金","土","日")),"")</f>
        <v/>
      </c>
    </row>
    <row r="204" customFormat="false" ht="15" hidden="false" customHeight="false" outlineLevel="0" collapsed="false">
      <c r="Z204" s="38" t="str">
        <f aca="false">IF(ISNUMBER(A204),IF(COUNTIF(祝日!$A:$A,A204)&gt;0,"祝",CHOOSE(WEEKDAY(A204,2),"月","火","水","木","金","土","日")),"")</f>
        <v/>
      </c>
    </row>
    <row r="205" customFormat="false" ht="15" hidden="false" customHeight="false" outlineLevel="0" collapsed="false">
      <c r="Z205" s="38" t="str">
        <f aca="false">IF(ISNUMBER(A205),IF(COUNTIF(祝日!$A:$A,A205)&gt;0,"祝",CHOOSE(WEEKDAY(A205,2),"月","火","水","木","金","土","日")),"")</f>
        <v/>
      </c>
    </row>
    <row r="206" customFormat="false" ht="15" hidden="false" customHeight="false" outlineLevel="0" collapsed="false">
      <c r="Z206" s="38" t="str">
        <f aca="false">IF(ISNUMBER(A206),IF(COUNTIF(祝日!$A:$A,A206)&gt;0,"祝",CHOOSE(WEEKDAY(A206,2),"月","火","水","木","金","土","日")),"")</f>
        <v/>
      </c>
    </row>
    <row r="207" customFormat="false" ht="15" hidden="false" customHeight="false" outlineLevel="0" collapsed="false">
      <c r="Z207" s="38" t="str">
        <f aca="false">IF(ISNUMBER(A207),IF(COUNTIF(祝日!$A:$A,A207)&gt;0,"祝",CHOOSE(WEEKDAY(A207,2),"月","火","水","木","金","土","日")),"")</f>
        <v/>
      </c>
    </row>
    <row r="208" customFormat="false" ht="15" hidden="false" customHeight="false" outlineLevel="0" collapsed="false">
      <c r="Z208" s="38" t="str">
        <f aca="false">IF(ISNUMBER(A208),IF(COUNTIF(祝日!$A:$A,A208)&gt;0,"祝",CHOOSE(WEEKDAY(A208,2),"月","火","水","木","金","土","日")),"")</f>
        <v/>
      </c>
    </row>
    <row r="209" customFormat="false" ht="15" hidden="false" customHeight="false" outlineLevel="0" collapsed="false">
      <c r="Z209" s="38" t="str">
        <f aca="false">IF(ISNUMBER(A209),IF(COUNTIF(祝日!$A:$A,A209)&gt;0,"祝",CHOOSE(WEEKDAY(A209,2),"月","火","水","木","金","土","日")),"")</f>
        <v/>
      </c>
    </row>
    <row r="210" customFormat="false" ht="15" hidden="false" customHeight="false" outlineLevel="0" collapsed="false">
      <c r="Z210" s="38" t="str">
        <f aca="false">IF(ISNUMBER(A210),IF(COUNTIF(祝日!$A:$A,A210)&gt;0,"祝",CHOOSE(WEEKDAY(A210,2),"月","火","水","木","金","土","日")),"")</f>
        <v/>
      </c>
    </row>
    <row r="211" customFormat="false" ht="15" hidden="false" customHeight="false" outlineLevel="0" collapsed="false">
      <c r="Z211" s="38" t="str">
        <f aca="false">IF(ISNUMBER(A211),IF(COUNTIF(祝日!$A:$A,A211)&gt;0,"祝",CHOOSE(WEEKDAY(A211,2),"月","火","水","木","金","土","日")),"")</f>
        <v/>
      </c>
    </row>
    <row r="212" customFormat="false" ht="15" hidden="false" customHeight="false" outlineLevel="0" collapsed="false">
      <c r="Z212" s="38" t="str">
        <f aca="false">IF(ISNUMBER(A212),IF(COUNTIF(祝日!$A:$A,A212)&gt;0,"祝",CHOOSE(WEEKDAY(A212,2),"月","火","水","木","金","土","日")),"")</f>
        <v/>
      </c>
    </row>
    <row r="213" customFormat="false" ht="15" hidden="false" customHeight="false" outlineLevel="0" collapsed="false">
      <c r="Z213" s="38" t="str">
        <f aca="false">IF(ISNUMBER(A213),IF(COUNTIF(祝日!$A:$A,A213)&gt;0,"祝",CHOOSE(WEEKDAY(A213,2),"月","火","水","木","金","土","日")),"")</f>
        <v/>
      </c>
    </row>
    <row r="214" customFormat="false" ht="15" hidden="false" customHeight="false" outlineLevel="0" collapsed="false">
      <c r="Z214" s="38" t="str">
        <f aca="false">IF(ISNUMBER(A214),IF(COUNTIF(祝日!$A:$A,A214)&gt;0,"祝",CHOOSE(WEEKDAY(A214,2),"月","火","水","木","金","土","日")),"")</f>
        <v/>
      </c>
    </row>
    <row r="215" customFormat="false" ht="15" hidden="false" customHeight="false" outlineLevel="0" collapsed="false">
      <c r="Z215" s="38" t="str">
        <f aca="false">IF(ISNUMBER(A215),IF(COUNTIF(祝日!$A:$A,A215)&gt;0,"祝",CHOOSE(WEEKDAY(A215,2),"月","火","水","木","金","土","日")),"")</f>
        <v/>
      </c>
    </row>
    <row r="216" customFormat="false" ht="15" hidden="false" customHeight="false" outlineLevel="0" collapsed="false">
      <c r="Z216" s="38" t="str">
        <f aca="false">IF(ISNUMBER(A216),IF(COUNTIF(祝日!$A:$A,A216)&gt;0,"祝",CHOOSE(WEEKDAY(A216,2),"月","火","水","木","金","土","日")),"")</f>
        <v/>
      </c>
    </row>
    <row r="217" customFormat="false" ht="15" hidden="false" customHeight="false" outlineLevel="0" collapsed="false">
      <c r="Z217" s="38" t="str">
        <f aca="false">IF(ISNUMBER(A217),IF(COUNTIF(祝日!$A:$A,A217)&gt;0,"祝",CHOOSE(WEEKDAY(A217,2),"月","火","水","木","金","土","日")),"")</f>
        <v/>
      </c>
    </row>
    <row r="218" customFormat="false" ht="15" hidden="false" customHeight="false" outlineLevel="0" collapsed="false">
      <c r="Z218" s="38" t="str">
        <f aca="false">IF(ISNUMBER(A218),IF(COUNTIF(祝日!$A:$A,A218)&gt;0,"祝",CHOOSE(WEEKDAY(A218,2),"月","火","水","木","金","土","日")),"")</f>
        <v/>
      </c>
    </row>
    <row r="219" customFormat="false" ht="15" hidden="false" customHeight="false" outlineLevel="0" collapsed="false">
      <c r="Z219" s="38" t="str">
        <f aca="false">IF(ISNUMBER(A219),IF(COUNTIF(祝日!$A:$A,A219)&gt;0,"祝",CHOOSE(WEEKDAY(A219,2),"月","火","水","木","金","土","日")),"")</f>
        <v/>
      </c>
    </row>
    <row r="220" customFormat="false" ht="15" hidden="false" customHeight="false" outlineLevel="0" collapsed="false">
      <c r="Z220" s="38" t="str">
        <f aca="false">IF(ISNUMBER(A220),IF(COUNTIF(祝日!$A:$A,A220)&gt;0,"祝",CHOOSE(WEEKDAY(A220,2),"月","火","水","木","金","土","日")),"")</f>
        <v/>
      </c>
    </row>
    <row r="221" customFormat="false" ht="15" hidden="false" customHeight="false" outlineLevel="0" collapsed="false">
      <c r="Z221" s="38" t="str">
        <f aca="false">IF(ISNUMBER(A221),IF(COUNTIF(祝日!$A:$A,A221)&gt;0,"祝",CHOOSE(WEEKDAY(A221,2),"月","火","水","木","金","土","日")),"")</f>
        <v/>
      </c>
    </row>
    <row r="222" customFormat="false" ht="15" hidden="false" customHeight="false" outlineLevel="0" collapsed="false">
      <c r="Z222" s="38" t="str">
        <f aca="false">IF(ISNUMBER(A222),IF(COUNTIF(祝日!$A:$A,A222)&gt;0,"祝",CHOOSE(WEEKDAY(A222,2),"月","火","水","木","金","土","日")),"")</f>
        <v/>
      </c>
    </row>
    <row r="223" customFormat="false" ht="15" hidden="false" customHeight="false" outlineLevel="0" collapsed="false">
      <c r="Z223" s="38" t="str">
        <f aca="false">IF(ISNUMBER(A223),IF(COUNTIF(祝日!$A:$A,A223)&gt;0,"祝",CHOOSE(WEEKDAY(A223,2),"月","火","水","木","金","土","日")),"")</f>
        <v/>
      </c>
    </row>
    <row r="224" customFormat="false" ht="15" hidden="false" customHeight="false" outlineLevel="0" collapsed="false">
      <c r="Z224" s="38" t="str">
        <f aca="false">IF(ISNUMBER(A224),IF(COUNTIF(祝日!$A:$A,A224)&gt;0,"祝",CHOOSE(WEEKDAY(A224,2),"月","火","水","木","金","土","日")),"")</f>
        <v/>
      </c>
    </row>
    <row r="225" customFormat="false" ht="15" hidden="false" customHeight="false" outlineLevel="0" collapsed="false">
      <c r="Z225" s="38" t="str">
        <f aca="false">IF(ISNUMBER(A225),IF(COUNTIF(祝日!$A:$A,A225)&gt;0,"祝",CHOOSE(WEEKDAY(A225,2),"月","火","水","木","金","土","日")),"")</f>
        <v/>
      </c>
    </row>
    <row r="226" customFormat="false" ht="15" hidden="false" customHeight="false" outlineLevel="0" collapsed="false">
      <c r="Z226" s="38" t="str">
        <f aca="false">IF(ISNUMBER(A226),IF(COUNTIF(祝日!$A:$A,A226)&gt;0,"祝",CHOOSE(WEEKDAY(A226,2),"月","火","水","木","金","土","日")),"")</f>
        <v/>
      </c>
    </row>
    <row r="227" customFormat="false" ht="15" hidden="false" customHeight="false" outlineLevel="0" collapsed="false">
      <c r="Z227" s="38" t="str">
        <f aca="false">IF(ISNUMBER(A227),IF(COUNTIF(祝日!$A:$A,A227)&gt;0,"祝",CHOOSE(WEEKDAY(A227,2),"月","火","水","木","金","土","日")),"")</f>
        <v/>
      </c>
    </row>
    <row r="228" customFormat="false" ht="15" hidden="false" customHeight="false" outlineLevel="0" collapsed="false">
      <c r="Z228" s="38" t="str">
        <f aca="false">IF(ISNUMBER(A228),IF(COUNTIF(祝日!$A:$A,A228)&gt;0,"祝",CHOOSE(WEEKDAY(A228,2),"月","火","水","木","金","土","日")),"")</f>
        <v/>
      </c>
    </row>
    <row r="229" customFormat="false" ht="15" hidden="false" customHeight="false" outlineLevel="0" collapsed="false">
      <c r="Z229" s="38" t="str">
        <f aca="false">IF(ISNUMBER(A229),IF(COUNTIF(祝日!$A:$A,A229)&gt;0,"祝",CHOOSE(WEEKDAY(A229,2),"月","火","水","木","金","土","日")),"")</f>
        <v/>
      </c>
    </row>
    <row r="230" customFormat="false" ht="15" hidden="false" customHeight="false" outlineLevel="0" collapsed="false">
      <c r="Z230" s="38" t="str">
        <f aca="false">IF(ISNUMBER(A230),IF(COUNTIF(祝日!$A:$A,A230)&gt;0,"祝",CHOOSE(WEEKDAY(A230,2),"月","火","水","木","金","土","日")),"")</f>
        <v/>
      </c>
    </row>
    <row r="231" customFormat="false" ht="15" hidden="false" customHeight="false" outlineLevel="0" collapsed="false">
      <c r="Z231" s="38" t="str">
        <f aca="false">IF(ISNUMBER(A231),IF(COUNTIF(祝日!$A:$A,A231)&gt;0,"祝",CHOOSE(WEEKDAY(A231,2),"月","火","水","木","金","土","日")),"")</f>
        <v/>
      </c>
    </row>
    <row r="232" customFormat="false" ht="15" hidden="false" customHeight="false" outlineLevel="0" collapsed="false">
      <c r="Z232" s="38" t="str">
        <f aca="false">IF(ISNUMBER(A232),IF(COUNTIF(祝日!$A:$A,A232)&gt;0,"祝",CHOOSE(WEEKDAY(A232,2),"月","火","水","木","金","土","日")),"")</f>
        <v/>
      </c>
    </row>
    <row r="233" customFormat="false" ht="15" hidden="false" customHeight="false" outlineLevel="0" collapsed="false">
      <c r="Z233" s="38" t="str">
        <f aca="false">IF(ISNUMBER(A233),IF(COUNTIF(祝日!$A:$A,A233)&gt;0,"祝",CHOOSE(WEEKDAY(A233,2),"月","火","水","木","金","土","日")),"")</f>
        <v/>
      </c>
    </row>
    <row r="234" customFormat="false" ht="15" hidden="false" customHeight="false" outlineLevel="0" collapsed="false">
      <c r="Z234" s="38" t="str">
        <f aca="false">IF(ISNUMBER(A234),IF(COUNTIF(祝日!$A:$A,A234)&gt;0,"祝",CHOOSE(WEEKDAY(A234,2),"月","火","水","木","金","土","日")),"")</f>
        <v/>
      </c>
    </row>
    <row r="235" customFormat="false" ht="15" hidden="false" customHeight="false" outlineLevel="0" collapsed="false">
      <c r="Z235" s="38" t="str">
        <f aca="false">IF(ISNUMBER(A235),IF(COUNTIF(祝日!$A:$A,A235)&gt;0,"祝",CHOOSE(WEEKDAY(A235,2),"月","火","水","木","金","土","日")),"")</f>
        <v/>
      </c>
    </row>
    <row r="236" customFormat="false" ht="15" hidden="false" customHeight="false" outlineLevel="0" collapsed="false">
      <c r="Z236" s="38" t="str">
        <f aca="false">IF(ISNUMBER(A236),IF(COUNTIF(祝日!$A:$A,A236)&gt;0,"祝",CHOOSE(WEEKDAY(A236,2),"月","火","水","木","金","土","日")),"")</f>
        <v/>
      </c>
    </row>
    <row r="237" customFormat="false" ht="15" hidden="false" customHeight="false" outlineLevel="0" collapsed="false">
      <c r="Z237" s="38" t="str">
        <f aca="false">IF(ISNUMBER(A237),IF(COUNTIF(祝日!$A:$A,A237)&gt;0,"祝",CHOOSE(WEEKDAY(A237,2),"月","火","水","木","金","土","日")),"")</f>
        <v/>
      </c>
    </row>
    <row r="238" customFormat="false" ht="15" hidden="false" customHeight="false" outlineLevel="0" collapsed="false">
      <c r="Z238" s="38" t="str">
        <f aca="false">IF(ISNUMBER(A238),IF(COUNTIF(祝日!$A:$A,A238)&gt;0,"祝",CHOOSE(WEEKDAY(A238,2),"月","火","水","木","金","土","日")),"")</f>
        <v/>
      </c>
    </row>
    <row r="239" customFormat="false" ht="15" hidden="false" customHeight="false" outlineLevel="0" collapsed="false">
      <c r="Z239" s="38" t="str">
        <f aca="false">IF(ISNUMBER(A239),IF(COUNTIF(祝日!$A:$A,A239)&gt;0,"祝",CHOOSE(WEEKDAY(A239,2),"月","火","水","木","金","土","日")),"")</f>
        <v/>
      </c>
    </row>
    <row r="240" customFormat="false" ht="15" hidden="false" customHeight="false" outlineLevel="0" collapsed="false">
      <c r="Z240" s="38" t="str">
        <f aca="false">IF(ISNUMBER(A240),IF(COUNTIF(祝日!$A:$A,A240)&gt;0,"祝",CHOOSE(WEEKDAY(A240,2),"月","火","水","木","金","土","日")),"")</f>
        <v/>
      </c>
    </row>
    <row r="241" customFormat="false" ht="15" hidden="false" customHeight="false" outlineLevel="0" collapsed="false">
      <c r="Z241" s="38" t="str">
        <f aca="false">IF(ISNUMBER(A241),IF(COUNTIF(祝日!$A:$A,A241)&gt;0,"祝",CHOOSE(WEEKDAY(A241,2),"月","火","水","木","金","土","日")),"")</f>
        <v/>
      </c>
    </row>
    <row r="242" customFormat="false" ht="15" hidden="false" customHeight="false" outlineLevel="0" collapsed="false">
      <c r="Z242" s="38" t="str">
        <f aca="false">IF(ISNUMBER(A242),IF(COUNTIF(祝日!$A:$A,A242)&gt;0,"祝",CHOOSE(WEEKDAY(A242,2),"月","火","水","木","金","土","日")),"")</f>
        <v/>
      </c>
    </row>
    <row r="243" customFormat="false" ht="15" hidden="false" customHeight="false" outlineLevel="0" collapsed="false">
      <c r="Z243" s="38" t="str">
        <f aca="false">IF(ISNUMBER(A243),IF(COUNTIF(祝日!$A:$A,A243)&gt;0,"祝",CHOOSE(WEEKDAY(A243,2),"月","火","水","木","金","土","日")),"")</f>
        <v/>
      </c>
    </row>
    <row r="244" customFormat="false" ht="15" hidden="false" customHeight="false" outlineLevel="0" collapsed="false">
      <c r="Z244" s="38" t="str">
        <f aca="false">IF(ISNUMBER(A244),IF(COUNTIF(祝日!$A:$A,A244)&gt;0,"祝",CHOOSE(WEEKDAY(A244,2),"月","火","水","木","金","土","日")),"")</f>
        <v/>
      </c>
    </row>
    <row r="245" customFormat="false" ht="15" hidden="false" customHeight="false" outlineLevel="0" collapsed="false">
      <c r="Z245" s="38" t="str">
        <f aca="false">IF(ISNUMBER(A245),IF(COUNTIF(祝日!$A:$A,A245)&gt;0,"祝",CHOOSE(WEEKDAY(A245,2),"月","火","水","木","金","土","日")),"")</f>
        <v/>
      </c>
    </row>
    <row r="246" customFormat="false" ht="15" hidden="false" customHeight="false" outlineLevel="0" collapsed="false">
      <c r="Z246" s="38" t="str">
        <f aca="false">IF(ISNUMBER(A246),IF(COUNTIF(祝日!$A:$A,A246)&gt;0,"祝",CHOOSE(WEEKDAY(A246,2),"月","火","水","木","金","土","日")),"")</f>
        <v/>
      </c>
    </row>
    <row r="247" customFormat="false" ht="15" hidden="false" customHeight="false" outlineLevel="0" collapsed="false">
      <c r="Z247" s="38" t="str">
        <f aca="false">IF(ISNUMBER(A247),IF(COUNTIF(祝日!$A:$A,A247)&gt;0,"祝",CHOOSE(WEEKDAY(A247,2),"月","火","水","木","金","土","日")),"")</f>
        <v/>
      </c>
    </row>
    <row r="248" customFormat="false" ht="15" hidden="false" customHeight="false" outlineLevel="0" collapsed="false">
      <c r="Z248" s="38" t="str">
        <f aca="false">IF(ISNUMBER(A248),IF(COUNTIF(祝日!$A:$A,A248)&gt;0,"祝",CHOOSE(WEEKDAY(A248,2),"月","火","水","木","金","土","日")),"")</f>
        <v/>
      </c>
    </row>
    <row r="249" customFormat="false" ht="15" hidden="false" customHeight="false" outlineLevel="0" collapsed="false">
      <c r="Z249" s="38" t="str">
        <f aca="false">IF(ISNUMBER(A249),IF(COUNTIF(祝日!$A:$A,A249)&gt;0,"祝",CHOOSE(WEEKDAY(A249,2),"月","火","水","木","金","土","日")),"")</f>
        <v/>
      </c>
    </row>
    <row r="250" customFormat="false" ht="15" hidden="false" customHeight="false" outlineLevel="0" collapsed="false">
      <c r="Z250" s="38" t="str">
        <f aca="false">IF(ISNUMBER(A250),IF(COUNTIF(祝日!$A:$A,A250)&gt;0,"祝",CHOOSE(WEEKDAY(A250,2),"月","火","水","木","金","土","日")),"")</f>
        <v/>
      </c>
    </row>
    <row r="251" customFormat="false" ht="15" hidden="false" customHeight="false" outlineLevel="0" collapsed="false">
      <c r="Z251" s="38" t="str">
        <f aca="false">IF(ISNUMBER(A251),IF(COUNTIF(祝日!$A:$A,A251)&gt;0,"祝",CHOOSE(WEEKDAY(A251,2),"月","火","水","木","金","土","日")),"")</f>
        <v/>
      </c>
    </row>
    <row r="252" customFormat="false" ht="15" hidden="false" customHeight="false" outlineLevel="0" collapsed="false">
      <c r="Z252" s="38" t="str">
        <f aca="false">IF(ISNUMBER(A252),IF(COUNTIF(祝日!$A:$A,A252)&gt;0,"祝",CHOOSE(WEEKDAY(A252,2),"月","火","水","木","金","土","日")),"")</f>
        <v/>
      </c>
    </row>
    <row r="253" customFormat="false" ht="15" hidden="false" customHeight="false" outlineLevel="0" collapsed="false">
      <c r="Z253" s="38" t="str">
        <f aca="false">IF(ISNUMBER(A253),IF(COUNTIF(祝日!$A:$A,A253)&gt;0,"祝",CHOOSE(WEEKDAY(A253,2),"月","火","水","木","金","土","日")),"")</f>
        <v/>
      </c>
    </row>
    <row r="254" customFormat="false" ht="15" hidden="false" customHeight="false" outlineLevel="0" collapsed="false">
      <c r="Z254" s="38" t="str">
        <f aca="false">IF(ISNUMBER(A254),IF(COUNTIF(祝日!$A:$A,A254)&gt;0,"祝",CHOOSE(WEEKDAY(A254,2),"月","火","水","木","金","土","日")),"")</f>
        <v/>
      </c>
    </row>
    <row r="255" customFormat="false" ht="15" hidden="false" customHeight="false" outlineLevel="0" collapsed="false">
      <c r="Z255" s="38" t="str">
        <f aca="false">IF(ISNUMBER(A255),IF(COUNTIF(祝日!$A:$A,A255)&gt;0,"祝",CHOOSE(WEEKDAY(A255,2),"月","火","水","木","金","土","日")),"")</f>
        <v/>
      </c>
    </row>
    <row r="256" customFormat="false" ht="15" hidden="false" customHeight="false" outlineLevel="0" collapsed="false">
      <c r="Z256" s="38" t="str">
        <f aca="false">IF(ISNUMBER(A256),IF(COUNTIF(祝日!$A:$A,A256)&gt;0,"祝",CHOOSE(WEEKDAY(A256,2),"月","火","水","木","金","土","日")),"")</f>
        <v/>
      </c>
    </row>
    <row r="257" customFormat="false" ht="15" hidden="false" customHeight="false" outlineLevel="0" collapsed="false">
      <c r="Z257" s="38" t="str">
        <f aca="false">IF(ISNUMBER(A257),IF(COUNTIF(祝日!$A:$A,A257)&gt;0,"祝",CHOOSE(WEEKDAY(A257,2),"月","火","水","木","金","土","日")),"")</f>
        <v/>
      </c>
    </row>
    <row r="258" customFormat="false" ht="15" hidden="false" customHeight="false" outlineLevel="0" collapsed="false">
      <c r="Z258" s="38" t="str">
        <f aca="false">IF(ISNUMBER(A258),IF(COUNTIF(祝日!$A:$A,A258)&gt;0,"祝",CHOOSE(WEEKDAY(A258,2),"月","火","水","木","金","土","日")),"")</f>
        <v/>
      </c>
    </row>
    <row r="259" customFormat="false" ht="15" hidden="false" customHeight="false" outlineLevel="0" collapsed="false">
      <c r="Z259" s="38" t="str">
        <f aca="false">IF(ISNUMBER(A259),IF(COUNTIF(祝日!$A:$A,A259)&gt;0,"祝",CHOOSE(WEEKDAY(A259,2),"月","火","水","木","金","土","日")),"")</f>
        <v/>
      </c>
    </row>
    <row r="260" customFormat="false" ht="15" hidden="false" customHeight="false" outlineLevel="0" collapsed="false">
      <c r="Z260" s="38" t="str">
        <f aca="false">IF(ISNUMBER(A260),IF(COUNTIF(祝日!$A:$A,A260)&gt;0,"祝",CHOOSE(WEEKDAY(A260,2),"月","火","水","木","金","土","日")),"")</f>
        <v/>
      </c>
    </row>
    <row r="261" customFormat="false" ht="15" hidden="false" customHeight="false" outlineLevel="0" collapsed="false">
      <c r="Z261" s="38" t="str">
        <f aca="false">IF(ISNUMBER(A261),IF(COUNTIF(祝日!$A:$A,A261)&gt;0,"祝",CHOOSE(WEEKDAY(A261,2),"月","火","水","木","金","土","日")),"")</f>
        <v/>
      </c>
    </row>
    <row r="262" customFormat="false" ht="15" hidden="false" customHeight="false" outlineLevel="0" collapsed="false">
      <c r="Z262" s="38" t="str">
        <f aca="false">IF(ISNUMBER(A262),IF(COUNTIF(祝日!$A:$A,A262)&gt;0,"祝",CHOOSE(WEEKDAY(A262,2),"月","火","水","木","金","土","日")),"")</f>
        <v/>
      </c>
    </row>
    <row r="263" customFormat="false" ht="15" hidden="false" customHeight="false" outlineLevel="0" collapsed="false">
      <c r="Z263" s="38" t="str">
        <f aca="false">IF(ISNUMBER(A263),IF(COUNTIF(祝日!$A:$A,A263)&gt;0,"祝",CHOOSE(WEEKDAY(A263,2),"月","火","水","木","金","土","日")),"")</f>
        <v/>
      </c>
    </row>
    <row r="264" customFormat="false" ht="15" hidden="false" customHeight="false" outlineLevel="0" collapsed="false">
      <c r="Z264" s="38" t="str">
        <f aca="false">IF(ISNUMBER(A264),IF(COUNTIF(祝日!$A:$A,A264)&gt;0,"祝",CHOOSE(WEEKDAY(A264,2),"月","火","水","木","金","土","日")),"")</f>
        <v/>
      </c>
    </row>
    <row r="265" customFormat="false" ht="15" hidden="false" customHeight="false" outlineLevel="0" collapsed="false">
      <c r="Z265" s="38" t="str">
        <f aca="false">IF(ISNUMBER(A265),IF(COUNTIF(祝日!$A:$A,A265)&gt;0,"祝",CHOOSE(WEEKDAY(A265,2),"月","火","水","木","金","土","日")),"")</f>
        <v/>
      </c>
    </row>
    <row r="266" customFormat="false" ht="15" hidden="false" customHeight="false" outlineLevel="0" collapsed="false">
      <c r="Z266" s="38" t="str">
        <f aca="false">IF(ISNUMBER(A266),IF(COUNTIF(祝日!$A:$A,A266)&gt;0,"祝",CHOOSE(WEEKDAY(A266,2),"月","火","水","木","金","土","日")),"")</f>
        <v/>
      </c>
    </row>
    <row r="267" customFormat="false" ht="15" hidden="false" customHeight="false" outlineLevel="0" collapsed="false">
      <c r="Z267" s="38" t="str">
        <f aca="false">IF(ISNUMBER(A267),IF(COUNTIF(祝日!$A:$A,A267)&gt;0,"祝",CHOOSE(WEEKDAY(A267,2),"月","火","水","木","金","土","日")),"")</f>
        <v/>
      </c>
    </row>
    <row r="268" customFormat="false" ht="15" hidden="false" customHeight="false" outlineLevel="0" collapsed="false">
      <c r="Z268" s="38" t="str">
        <f aca="false">IF(ISNUMBER(A268),IF(COUNTIF(祝日!$A:$A,A268)&gt;0,"祝",CHOOSE(WEEKDAY(A268,2),"月","火","水","木","金","土","日")),"")</f>
        <v/>
      </c>
    </row>
    <row r="269" customFormat="false" ht="15" hidden="false" customHeight="false" outlineLevel="0" collapsed="false">
      <c r="Z269" s="38" t="str">
        <f aca="false">IF(ISNUMBER(A269),IF(COUNTIF(祝日!$A:$A,A269)&gt;0,"祝",CHOOSE(WEEKDAY(A269,2),"月","火","水","木","金","土","日")),"")</f>
        <v/>
      </c>
    </row>
    <row r="270" customFormat="false" ht="15" hidden="false" customHeight="false" outlineLevel="0" collapsed="false">
      <c r="Z270" s="38" t="str">
        <f aca="false">IF(ISNUMBER(A270),IF(COUNTIF(祝日!$A:$A,A270)&gt;0,"祝",CHOOSE(WEEKDAY(A270,2),"月","火","水","木","金","土","日")),"")</f>
        <v/>
      </c>
    </row>
    <row r="271" customFormat="false" ht="15" hidden="false" customHeight="false" outlineLevel="0" collapsed="false">
      <c r="Z271" s="38" t="str">
        <f aca="false">IF(ISNUMBER(A271),IF(COUNTIF(祝日!$A:$A,A271)&gt;0,"祝",CHOOSE(WEEKDAY(A271,2),"月","火","水","木","金","土","日")),"")</f>
        <v/>
      </c>
    </row>
    <row r="272" customFormat="false" ht="15" hidden="false" customHeight="false" outlineLevel="0" collapsed="false">
      <c r="Z272" s="38" t="str">
        <f aca="false">IF(ISNUMBER(A272),IF(COUNTIF(祝日!$A:$A,A272)&gt;0,"祝",CHOOSE(WEEKDAY(A272,2),"月","火","水","木","金","土","日")),"")</f>
        <v/>
      </c>
    </row>
    <row r="273" customFormat="false" ht="15" hidden="false" customHeight="false" outlineLevel="0" collapsed="false">
      <c r="Z273" s="38" t="str">
        <f aca="false">IF(ISNUMBER(A273),IF(COUNTIF(祝日!$A:$A,A273)&gt;0,"祝",CHOOSE(WEEKDAY(A273,2),"月","火","水","木","金","土","日")),"")</f>
        <v/>
      </c>
    </row>
    <row r="274" customFormat="false" ht="15" hidden="false" customHeight="false" outlineLevel="0" collapsed="false">
      <c r="Z274" s="38" t="str">
        <f aca="false">IF(ISNUMBER(A274),IF(COUNTIF(祝日!$A:$A,A274)&gt;0,"祝",CHOOSE(WEEKDAY(A274,2),"月","火","水","木","金","土","日")),"")</f>
        <v/>
      </c>
    </row>
    <row r="275" customFormat="false" ht="15" hidden="false" customHeight="false" outlineLevel="0" collapsed="false">
      <c r="Z275" s="38" t="str">
        <f aca="false">IF(ISNUMBER(A275),IF(COUNTIF(祝日!$A:$A,A275)&gt;0,"祝",CHOOSE(WEEKDAY(A275,2),"月","火","水","木","金","土","日")),"")</f>
        <v/>
      </c>
    </row>
    <row r="276" customFormat="false" ht="15" hidden="false" customHeight="false" outlineLevel="0" collapsed="false">
      <c r="Z276" s="38" t="str">
        <f aca="false">IF(ISNUMBER(A276),IF(COUNTIF(祝日!$A:$A,A276)&gt;0,"祝",CHOOSE(WEEKDAY(A276,2),"月","火","水","木","金","土","日")),"")</f>
        <v/>
      </c>
    </row>
    <row r="277" customFormat="false" ht="15" hidden="false" customHeight="false" outlineLevel="0" collapsed="false">
      <c r="Z277" s="38" t="str">
        <f aca="false">IF(ISNUMBER(A277),IF(COUNTIF(祝日!$A:$A,A277)&gt;0,"祝",CHOOSE(WEEKDAY(A277,2),"月","火","水","木","金","土","日")),"")</f>
        <v/>
      </c>
    </row>
    <row r="278" customFormat="false" ht="15" hidden="false" customHeight="false" outlineLevel="0" collapsed="false">
      <c r="Z278" s="38" t="str">
        <f aca="false">IF(ISNUMBER(A278),IF(COUNTIF(祝日!$A:$A,A278)&gt;0,"祝",CHOOSE(WEEKDAY(A278,2),"月","火","水","木","金","土","日")),"")</f>
        <v/>
      </c>
    </row>
    <row r="279" customFormat="false" ht="15" hidden="false" customHeight="false" outlineLevel="0" collapsed="false">
      <c r="Z279" s="38" t="str">
        <f aca="false">IF(ISNUMBER(A279),IF(COUNTIF(祝日!$A:$A,A279)&gt;0,"祝",CHOOSE(WEEKDAY(A279,2),"月","火","水","木","金","土","日")),"")</f>
        <v/>
      </c>
    </row>
    <row r="280" customFormat="false" ht="15" hidden="false" customHeight="false" outlineLevel="0" collapsed="false">
      <c r="Z280" s="38" t="str">
        <f aca="false">IF(ISNUMBER(A280),IF(COUNTIF(祝日!$A:$A,A280)&gt;0,"祝",CHOOSE(WEEKDAY(A280,2),"月","火","水","木","金","土","日")),"")</f>
        <v/>
      </c>
    </row>
    <row r="281" customFormat="false" ht="15" hidden="false" customHeight="false" outlineLevel="0" collapsed="false">
      <c r="Z281" s="38" t="str">
        <f aca="false">IF(ISNUMBER(A281),IF(COUNTIF(祝日!$A:$A,A281)&gt;0,"祝",CHOOSE(WEEKDAY(A281,2),"月","火","水","木","金","土","日")),"")</f>
        <v/>
      </c>
    </row>
    <row r="282" customFormat="false" ht="15" hidden="false" customHeight="false" outlineLevel="0" collapsed="false">
      <c r="Z282" s="38" t="str">
        <f aca="false">IF(ISNUMBER(A282),IF(COUNTIF(祝日!$A:$A,A282)&gt;0,"祝",CHOOSE(WEEKDAY(A282,2),"月","火","水","木","金","土","日")),"")</f>
        <v/>
      </c>
    </row>
    <row r="283" customFormat="false" ht="15" hidden="false" customHeight="false" outlineLevel="0" collapsed="false">
      <c r="Z283" s="38" t="str">
        <f aca="false">IF(ISNUMBER(A283),IF(COUNTIF(祝日!$A:$A,A283)&gt;0,"祝",CHOOSE(WEEKDAY(A283,2),"月","火","水","木","金","土","日")),"")</f>
        <v/>
      </c>
    </row>
    <row r="284" customFormat="false" ht="15" hidden="false" customHeight="false" outlineLevel="0" collapsed="false">
      <c r="Z284" s="38" t="str">
        <f aca="false">IF(ISNUMBER(A284),IF(COUNTIF(祝日!$A:$A,A284)&gt;0,"祝",CHOOSE(WEEKDAY(A284,2),"月","火","水","木","金","土","日")),"")</f>
        <v/>
      </c>
    </row>
    <row r="285" customFormat="false" ht="15" hidden="false" customHeight="false" outlineLevel="0" collapsed="false">
      <c r="Z285" s="38" t="str">
        <f aca="false">IF(ISNUMBER(A285),IF(COUNTIF(祝日!$A:$A,A285)&gt;0,"祝",CHOOSE(WEEKDAY(A285,2),"月","火","水","木","金","土","日")),"")</f>
        <v/>
      </c>
    </row>
    <row r="286" customFormat="false" ht="15" hidden="false" customHeight="false" outlineLevel="0" collapsed="false">
      <c r="Z286" s="38" t="str">
        <f aca="false">IF(ISNUMBER(A286),IF(COUNTIF(祝日!$A:$A,A286)&gt;0,"祝",CHOOSE(WEEKDAY(A286,2),"月","火","水","木","金","土","日")),"")</f>
        <v/>
      </c>
    </row>
    <row r="287" customFormat="false" ht="15" hidden="false" customHeight="false" outlineLevel="0" collapsed="false">
      <c r="Z287" s="38" t="str">
        <f aca="false">IF(ISNUMBER(A287),IF(COUNTIF(祝日!$A:$A,A287)&gt;0,"祝",CHOOSE(WEEKDAY(A287,2),"月","火","水","木","金","土","日")),"")</f>
        <v/>
      </c>
    </row>
    <row r="288" customFormat="false" ht="15" hidden="false" customHeight="false" outlineLevel="0" collapsed="false">
      <c r="Z288" s="38" t="str">
        <f aca="false">IF(ISNUMBER(A288),IF(COUNTIF(祝日!$A:$A,A288)&gt;0,"祝",CHOOSE(WEEKDAY(A288,2),"月","火","水","木","金","土","日")),"")</f>
        <v/>
      </c>
    </row>
    <row r="289" customFormat="false" ht="15" hidden="false" customHeight="false" outlineLevel="0" collapsed="false">
      <c r="Z289" s="38" t="str">
        <f aca="false">IF(ISNUMBER(A289),IF(COUNTIF(祝日!$A:$A,A289)&gt;0,"祝",CHOOSE(WEEKDAY(A289,2),"月","火","水","木","金","土","日")),"")</f>
        <v/>
      </c>
    </row>
    <row r="290" customFormat="false" ht="15" hidden="false" customHeight="false" outlineLevel="0" collapsed="false">
      <c r="Z290" s="38" t="str">
        <f aca="false">IF(ISNUMBER(A290),IF(COUNTIF(祝日!$A:$A,A290)&gt;0,"祝",CHOOSE(WEEKDAY(A290,2),"月","火","水","木","金","土","日")),"")</f>
        <v/>
      </c>
    </row>
    <row r="291" customFormat="false" ht="15" hidden="false" customHeight="false" outlineLevel="0" collapsed="false">
      <c r="Z291" s="38" t="str">
        <f aca="false">IF(ISNUMBER(A291),IF(COUNTIF(祝日!$A:$A,A291)&gt;0,"祝",CHOOSE(WEEKDAY(A291,2),"月","火","水","木","金","土","日")),"")</f>
        <v/>
      </c>
    </row>
    <row r="292" customFormat="false" ht="15" hidden="false" customHeight="false" outlineLevel="0" collapsed="false">
      <c r="Z292" s="38" t="str">
        <f aca="false">IF(ISNUMBER(A292),IF(COUNTIF(祝日!$A:$A,A292)&gt;0,"祝",CHOOSE(WEEKDAY(A292,2),"月","火","水","木","金","土","日")),"")</f>
        <v/>
      </c>
    </row>
    <row r="293" customFormat="false" ht="15" hidden="false" customHeight="false" outlineLevel="0" collapsed="false">
      <c r="Z293" s="38" t="str">
        <f aca="false">IF(ISNUMBER(A293),IF(COUNTIF(祝日!$A:$A,A293)&gt;0,"祝",CHOOSE(WEEKDAY(A293,2),"月","火","水","木","金","土","日")),"")</f>
        <v/>
      </c>
    </row>
    <row r="294" customFormat="false" ht="15" hidden="false" customHeight="false" outlineLevel="0" collapsed="false">
      <c r="Z294" s="38" t="str">
        <f aca="false">IF(ISNUMBER(A294),IF(COUNTIF(祝日!$A:$A,A294)&gt;0,"祝",CHOOSE(WEEKDAY(A294,2),"月","火","水","木","金","土","日")),"")</f>
        <v/>
      </c>
    </row>
    <row r="295" customFormat="false" ht="15" hidden="false" customHeight="false" outlineLevel="0" collapsed="false">
      <c r="Z295" s="38" t="str">
        <f aca="false">IF(ISNUMBER(A295),IF(COUNTIF(祝日!$A:$A,A295)&gt;0,"祝",CHOOSE(WEEKDAY(A295,2),"月","火","水","木","金","土","日")),"")</f>
        <v/>
      </c>
    </row>
    <row r="296" customFormat="false" ht="15" hidden="false" customHeight="false" outlineLevel="0" collapsed="false">
      <c r="Z296" s="38" t="str">
        <f aca="false">IF(ISNUMBER(A296),IF(COUNTIF(祝日!$A:$A,A296)&gt;0,"祝",CHOOSE(WEEKDAY(A296,2),"月","火","水","木","金","土","日")),"")</f>
        <v/>
      </c>
    </row>
    <row r="297" customFormat="false" ht="15" hidden="false" customHeight="false" outlineLevel="0" collapsed="false">
      <c r="Z297" s="38" t="str">
        <f aca="false">IF(ISNUMBER(A297),IF(COUNTIF(祝日!$A:$A,A297)&gt;0,"祝",CHOOSE(WEEKDAY(A297,2),"月","火","水","木","金","土","日")),"")</f>
        <v/>
      </c>
    </row>
    <row r="298" customFormat="false" ht="15" hidden="false" customHeight="false" outlineLevel="0" collapsed="false">
      <c r="Z298" s="38" t="str">
        <f aca="false">IF(ISNUMBER(A298),IF(COUNTIF(祝日!$A:$A,A298)&gt;0,"祝",CHOOSE(WEEKDAY(A298,2),"月","火","水","木","金","土","日")),"")</f>
        <v/>
      </c>
    </row>
    <row r="299" customFormat="false" ht="15" hidden="false" customHeight="false" outlineLevel="0" collapsed="false">
      <c r="Z299" s="38" t="str">
        <f aca="false">IF(ISNUMBER(A299),IF(COUNTIF(祝日!$A:$A,A299)&gt;0,"祝",CHOOSE(WEEKDAY(A299,2),"月","火","水","木","金","土","日")),"")</f>
        <v/>
      </c>
    </row>
    <row r="300" customFormat="false" ht="15" hidden="false" customHeight="false" outlineLevel="0" collapsed="false">
      <c r="Z300" s="38" t="str">
        <f aca="false">IF(ISNUMBER(A300),IF(COUNTIF(祝日!$A:$A,A300)&gt;0,"祝",CHOOSE(WEEKDAY(A300,2),"月","火","水","木","金","土","日")),"")</f>
        <v/>
      </c>
    </row>
    <row r="301" customFormat="false" ht="15" hidden="false" customHeight="false" outlineLevel="0" collapsed="false">
      <c r="Z301" s="38" t="str">
        <f aca="false">IF(ISNUMBER(A301),IF(COUNTIF(祝日!$A:$A,A301)&gt;0,"祝",CHOOSE(WEEKDAY(A301,2),"月","火","水","木","金","土","日")),"")</f>
        <v/>
      </c>
    </row>
    <row r="302" customFormat="false" ht="15" hidden="false" customHeight="false" outlineLevel="0" collapsed="false">
      <c r="Z302" s="38" t="str">
        <f aca="false">IF(ISNUMBER(A302),IF(COUNTIF(祝日!$A:$A,A302)&gt;0,"祝",CHOOSE(WEEKDAY(A302,2),"月","火","水","木","金","土","日")),"")</f>
        <v/>
      </c>
    </row>
    <row r="303" customFormat="false" ht="15" hidden="false" customHeight="false" outlineLevel="0" collapsed="false">
      <c r="Z303" s="38" t="str">
        <f aca="false">IF(ISNUMBER(A303),IF(COUNTIF(祝日!$A:$A,A303)&gt;0,"祝",CHOOSE(WEEKDAY(A303,2),"月","火","水","木","金","土","日")),"")</f>
        <v/>
      </c>
    </row>
    <row r="304" customFormat="false" ht="15" hidden="false" customHeight="false" outlineLevel="0" collapsed="false">
      <c r="Z304" s="38" t="str">
        <f aca="false">IF(ISNUMBER(A304),IF(COUNTIF(祝日!$A:$A,A304)&gt;0,"祝",CHOOSE(WEEKDAY(A304,2),"月","火","水","木","金","土","日")),"")</f>
        <v/>
      </c>
    </row>
    <row r="305" customFormat="false" ht="15" hidden="false" customHeight="false" outlineLevel="0" collapsed="false">
      <c r="Z305" s="38" t="str">
        <f aca="false">IF(ISNUMBER(A305),IF(COUNTIF(祝日!$A:$A,A305)&gt;0,"祝",CHOOSE(WEEKDAY(A305,2),"月","火","水","木","金","土","日")),"")</f>
        <v/>
      </c>
    </row>
    <row r="306" customFormat="false" ht="15" hidden="false" customHeight="false" outlineLevel="0" collapsed="false">
      <c r="Z306" s="38" t="str">
        <f aca="false">IF(ISNUMBER(A306),IF(COUNTIF(祝日!$A:$A,A306)&gt;0,"祝",CHOOSE(WEEKDAY(A306,2),"月","火","水","木","金","土","日")),"")</f>
        <v/>
      </c>
    </row>
    <row r="307" customFormat="false" ht="15" hidden="false" customHeight="false" outlineLevel="0" collapsed="false">
      <c r="Z307" s="38" t="str">
        <f aca="false">IF(ISNUMBER(A307),IF(COUNTIF(祝日!$A:$A,A307)&gt;0,"祝",CHOOSE(WEEKDAY(A307,2),"月","火","水","木","金","土","日")),"")</f>
        <v/>
      </c>
    </row>
    <row r="308" customFormat="false" ht="15" hidden="false" customHeight="false" outlineLevel="0" collapsed="false">
      <c r="Z308" s="38" t="str">
        <f aca="false">IF(ISNUMBER(A308),IF(COUNTIF(祝日!$A:$A,A308)&gt;0,"祝",CHOOSE(WEEKDAY(A308,2),"月","火","水","木","金","土","日")),"")</f>
        <v/>
      </c>
    </row>
    <row r="309" customFormat="false" ht="15" hidden="false" customHeight="false" outlineLevel="0" collapsed="false">
      <c r="Z309" s="38" t="str">
        <f aca="false">IF(ISNUMBER(A309),IF(COUNTIF(祝日!$A:$A,A309)&gt;0,"祝",CHOOSE(WEEKDAY(A309,2),"月","火","水","木","金","土","日")),"")</f>
        <v/>
      </c>
    </row>
    <row r="310" customFormat="false" ht="15" hidden="false" customHeight="false" outlineLevel="0" collapsed="false">
      <c r="Z310" s="38" t="str">
        <f aca="false">IF(ISNUMBER(A310),IF(COUNTIF(祝日!$A:$A,A310)&gt;0,"祝",CHOOSE(WEEKDAY(A310,2),"月","火","水","木","金","土","日")),"")</f>
        <v/>
      </c>
    </row>
    <row r="311" customFormat="false" ht="15" hidden="false" customHeight="false" outlineLevel="0" collapsed="false">
      <c r="Z311" s="38" t="str">
        <f aca="false">IF(ISNUMBER(A311),IF(COUNTIF(祝日!$A:$A,A311)&gt;0,"祝",CHOOSE(WEEKDAY(A311,2),"月","火","水","木","金","土","日")),"")</f>
        <v/>
      </c>
    </row>
    <row r="312" customFormat="false" ht="15" hidden="false" customHeight="false" outlineLevel="0" collapsed="false">
      <c r="Z312" s="38" t="str">
        <f aca="false">IF(ISNUMBER(A312),IF(COUNTIF(祝日!$A:$A,A312)&gt;0,"祝",CHOOSE(WEEKDAY(A312,2),"月","火","水","木","金","土","日")),"")</f>
        <v/>
      </c>
    </row>
    <row r="313" customFormat="false" ht="15" hidden="false" customHeight="false" outlineLevel="0" collapsed="false">
      <c r="Z313" s="38" t="str">
        <f aca="false">IF(ISNUMBER(A313),IF(COUNTIF(祝日!$A:$A,A313)&gt;0,"祝",CHOOSE(WEEKDAY(A313,2),"月","火","水","木","金","土","日")),"")</f>
        <v/>
      </c>
    </row>
    <row r="314" customFormat="false" ht="15" hidden="false" customHeight="false" outlineLevel="0" collapsed="false">
      <c r="Z314" s="38" t="str">
        <f aca="false">IF(ISNUMBER(A314),IF(COUNTIF(祝日!$A:$A,A314)&gt;0,"祝",CHOOSE(WEEKDAY(A314,2),"月","火","水","木","金","土","日")),"")</f>
        <v/>
      </c>
    </row>
    <row r="315" customFormat="false" ht="15" hidden="false" customHeight="false" outlineLevel="0" collapsed="false">
      <c r="Z315" s="38" t="str">
        <f aca="false">IF(ISNUMBER(A315),IF(COUNTIF(祝日!$A:$A,A315)&gt;0,"祝",CHOOSE(WEEKDAY(A315,2),"月","火","水","木","金","土","日")),"")</f>
        <v/>
      </c>
    </row>
    <row r="316" customFormat="false" ht="15" hidden="false" customHeight="false" outlineLevel="0" collapsed="false">
      <c r="Z316" s="38" t="str">
        <f aca="false">IF(ISNUMBER(A316),IF(COUNTIF(祝日!$A:$A,A316)&gt;0,"祝",CHOOSE(WEEKDAY(A316,2),"月","火","水","木","金","土","日")),"")</f>
        <v/>
      </c>
    </row>
    <row r="317" customFormat="false" ht="15" hidden="false" customHeight="false" outlineLevel="0" collapsed="false">
      <c r="Z317" s="38" t="str">
        <f aca="false">IF(ISNUMBER(A317),IF(COUNTIF(祝日!$A:$A,A317)&gt;0,"祝",CHOOSE(WEEKDAY(A317,2),"月","火","水","木","金","土","日")),"")</f>
        <v/>
      </c>
    </row>
    <row r="318" customFormat="false" ht="15" hidden="false" customHeight="false" outlineLevel="0" collapsed="false">
      <c r="Z318" s="38" t="str">
        <f aca="false">IF(ISNUMBER(A318),IF(COUNTIF(祝日!$A:$A,A318)&gt;0,"祝",CHOOSE(WEEKDAY(A318,2),"月","火","水","木","金","土","日")),"")</f>
        <v/>
      </c>
    </row>
    <row r="319" customFormat="false" ht="15" hidden="false" customHeight="false" outlineLevel="0" collapsed="false">
      <c r="Z319" s="38" t="str">
        <f aca="false">IF(ISNUMBER(A319),IF(COUNTIF(祝日!$A:$A,A319)&gt;0,"祝",CHOOSE(WEEKDAY(A319,2),"月","火","水","木","金","土","日")),"")</f>
        <v/>
      </c>
    </row>
    <row r="320" customFormat="false" ht="15" hidden="false" customHeight="false" outlineLevel="0" collapsed="false">
      <c r="Z320" s="38" t="str">
        <f aca="false">IF(ISNUMBER(A320),IF(COUNTIF(祝日!$A:$A,A320)&gt;0,"祝",CHOOSE(WEEKDAY(A320,2),"月","火","水","木","金","土","日")),"")</f>
        <v/>
      </c>
    </row>
    <row r="321" customFormat="false" ht="15" hidden="false" customHeight="false" outlineLevel="0" collapsed="false">
      <c r="Z321" s="38" t="str">
        <f aca="false">IF(ISNUMBER(A321),IF(COUNTIF(祝日!$A:$A,A321)&gt;0,"祝",CHOOSE(WEEKDAY(A321,2),"月","火","水","木","金","土","日")),"")</f>
        <v/>
      </c>
    </row>
    <row r="322" customFormat="false" ht="15" hidden="false" customHeight="false" outlineLevel="0" collapsed="false">
      <c r="Z322" s="38" t="str">
        <f aca="false">IF(ISNUMBER(A322),IF(COUNTIF(祝日!$A:$A,A322)&gt;0,"祝",CHOOSE(WEEKDAY(A322,2),"月","火","水","木","金","土","日")),"")</f>
        <v/>
      </c>
    </row>
    <row r="323" customFormat="false" ht="15" hidden="false" customHeight="false" outlineLevel="0" collapsed="false">
      <c r="Z323" s="38" t="str">
        <f aca="false">IF(ISNUMBER(A323),IF(COUNTIF(祝日!$A:$A,A323)&gt;0,"祝",CHOOSE(WEEKDAY(A323,2),"月","火","水","木","金","土","日")),"")</f>
        <v/>
      </c>
    </row>
    <row r="324" customFormat="false" ht="15" hidden="false" customHeight="false" outlineLevel="0" collapsed="false">
      <c r="Z324" s="38" t="str">
        <f aca="false">IF(ISNUMBER(A324),IF(COUNTIF(祝日!$A:$A,A324)&gt;0,"祝",CHOOSE(WEEKDAY(A324,2),"月","火","水","木","金","土","日")),"")</f>
        <v/>
      </c>
    </row>
    <row r="325" customFormat="false" ht="15" hidden="false" customHeight="false" outlineLevel="0" collapsed="false">
      <c r="Z325" s="38" t="str">
        <f aca="false">IF(ISNUMBER(A325),IF(COUNTIF(祝日!$A:$A,A325)&gt;0,"祝",CHOOSE(WEEKDAY(A325,2),"月","火","水","木","金","土","日")),"")</f>
        <v/>
      </c>
    </row>
    <row r="326" customFormat="false" ht="15" hidden="false" customHeight="false" outlineLevel="0" collapsed="false">
      <c r="Z326" s="38" t="str">
        <f aca="false">IF(ISNUMBER(A326),IF(COUNTIF(祝日!$A:$A,A326)&gt;0,"祝",CHOOSE(WEEKDAY(A326,2),"月","火","水","木","金","土","日")),"")</f>
        <v/>
      </c>
    </row>
    <row r="327" customFormat="false" ht="15" hidden="false" customHeight="false" outlineLevel="0" collapsed="false">
      <c r="Z327" s="38" t="str">
        <f aca="false">IF(ISNUMBER(A327),IF(COUNTIF(祝日!$A:$A,A327)&gt;0,"祝",CHOOSE(WEEKDAY(A327,2),"月","火","水","木","金","土","日")),"")</f>
        <v/>
      </c>
    </row>
    <row r="328" customFormat="false" ht="15" hidden="false" customHeight="false" outlineLevel="0" collapsed="false">
      <c r="Z328" s="38" t="str">
        <f aca="false">IF(ISNUMBER(A328),IF(COUNTIF(祝日!$A:$A,A328)&gt;0,"祝",CHOOSE(WEEKDAY(A328,2),"月","火","水","木","金","土","日")),"")</f>
        <v/>
      </c>
    </row>
    <row r="329" customFormat="false" ht="15" hidden="false" customHeight="false" outlineLevel="0" collapsed="false">
      <c r="Z329" s="38" t="str">
        <f aca="false">IF(ISNUMBER(A329),IF(COUNTIF(祝日!$A:$A,A329)&gt;0,"祝",CHOOSE(WEEKDAY(A329,2),"月","火","水","木","金","土","日")),"")</f>
        <v/>
      </c>
    </row>
    <row r="330" customFormat="false" ht="15" hidden="false" customHeight="false" outlineLevel="0" collapsed="false">
      <c r="Z330" s="38" t="str">
        <f aca="false">IF(ISNUMBER(A330),IF(COUNTIF(祝日!$A:$A,A330)&gt;0,"祝",CHOOSE(WEEKDAY(A330,2),"月","火","水","木","金","土","日")),"")</f>
        <v/>
      </c>
    </row>
    <row r="331" customFormat="false" ht="15" hidden="false" customHeight="false" outlineLevel="0" collapsed="false">
      <c r="Z331" s="38" t="str">
        <f aca="false">IF(ISNUMBER(A331),IF(COUNTIF(祝日!$A:$A,A331)&gt;0,"祝",CHOOSE(WEEKDAY(A331,2),"月","火","水","木","金","土","日")),"")</f>
        <v/>
      </c>
    </row>
    <row r="332" customFormat="false" ht="15" hidden="false" customHeight="false" outlineLevel="0" collapsed="false">
      <c r="Z332" s="38" t="str">
        <f aca="false">IF(ISNUMBER(A332),IF(COUNTIF(祝日!$A:$A,A332)&gt;0,"祝",CHOOSE(WEEKDAY(A332,2),"月","火","水","木","金","土","日")),"")</f>
        <v/>
      </c>
    </row>
    <row r="333" customFormat="false" ht="15" hidden="false" customHeight="false" outlineLevel="0" collapsed="false">
      <c r="Z333" s="38" t="str">
        <f aca="false">IF(ISNUMBER(A333),IF(COUNTIF(祝日!$A:$A,A333)&gt;0,"祝",CHOOSE(WEEKDAY(A333,2),"月","火","水","木","金","土","日")),"")</f>
        <v/>
      </c>
    </row>
    <row r="334" customFormat="false" ht="15" hidden="false" customHeight="false" outlineLevel="0" collapsed="false">
      <c r="Z334" s="38" t="str">
        <f aca="false">IF(ISNUMBER(A334),IF(COUNTIF(祝日!$A:$A,A334)&gt;0,"祝",CHOOSE(WEEKDAY(A334,2),"月","火","水","木","金","土","日")),"")</f>
        <v/>
      </c>
    </row>
    <row r="335" customFormat="false" ht="15" hidden="false" customHeight="false" outlineLevel="0" collapsed="false">
      <c r="Z335" s="38" t="str">
        <f aca="false">IF(ISNUMBER(A335),IF(COUNTIF(祝日!$A:$A,A335)&gt;0,"祝",CHOOSE(WEEKDAY(A335,2),"月","火","水","木","金","土","日")),"")</f>
        <v/>
      </c>
    </row>
    <row r="336" customFormat="false" ht="15" hidden="false" customHeight="false" outlineLevel="0" collapsed="false">
      <c r="Z336" s="38" t="str">
        <f aca="false">IF(ISNUMBER(A336),IF(COUNTIF(祝日!$A:$A,A336)&gt;0,"祝",CHOOSE(WEEKDAY(A336,2),"月","火","水","木","金","土","日")),"")</f>
        <v/>
      </c>
    </row>
    <row r="337" customFormat="false" ht="15" hidden="false" customHeight="false" outlineLevel="0" collapsed="false">
      <c r="Z337" s="38" t="str">
        <f aca="false">IF(ISNUMBER(A337),IF(COUNTIF(祝日!$A:$A,A337)&gt;0,"祝",CHOOSE(WEEKDAY(A337,2),"月","火","水","木","金","土","日")),"")</f>
        <v/>
      </c>
    </row>
    <row r="338" customFormat="false" ht="15" hidden="false" customHeight="false" outlineLevel="0" collapsed="false">
      <c r="Z338" s="38" t="str">
        <f aca="false">IF(ISNUMBER(A338),IF(COUNTIF(祝日!$A:$A,A338)&gt;0,"祝",CHOOSE(WEEKDAY(A338,2),"月","火","水","木","金","土","日")),"")</f>
        <v/>
      </c>
    </row>
    <row r="339" customFormat="false" ht="15" hidden="false" customHeight="false" outlineLevel="0" collapsed="false">
      <c r="Z339" s="38" t="str">
        <f aca="false">IF(ISNUMBER(A339),IF(COUNTIF(祝日!$A:$A,A339)&gt;0,"祝",CHOOSE(WEEKDAY(A339,2),"月","火","水","木","金","土","日")),"")</f>
        <v/>
      </c>
    </row>
    <row r="340" customFormat="false" ht="15" hidden="false" customHeight="false" outlineLevel="0" collapsed="false">
      <c r="Z340" s="38" t="str">
        <f aca="false">IF(ISNUMBER(A340),IF(COUNTIF(祝日!$A:$A,A340)&gt;0,"祝",CHOOSE(WEEKDAY(A340,2),"月","火","水","木","金","土","日")),"")</f>
        <v/>
      </c>
    </row>
    <row r="341" customFormat="false" ht="15" hidden="false" customHeight="false" outlineLevel="0" collapsed="false">
      <c r="Z341" s="38" t="str">
        <f aca="false">IF(ISNUMBER(A341),IF(COUNTIF(祝日!$A:$A,A341)&gt;0,"祝",CHOOSE(WEEKDAY(A341,2),"月","火","水","木","金","土","日")),"")</f>
        <v/>
      </c>
    </row>
    <row r="342" customFormat="false" ht="15" hidden="false" customHeight="false" outlineLevel="0" collapsed="false">
      <c r="Z342" s="38" t="str">
        <f aca="false">IF(ISNUMBER(A342),IF(COUNTIF(祝日!$A:$A,A342)&gt;0,"祝",CHOOSE(WEEKDAY(A342,2),"月","火","水","木","金","土","日")),"")</f>
        <v/>
      </c>
    </row>
    <row r="343" customFormat="false" ht="15" hidden="false" customHeight="false" outlineLevel="0" collapsed="false">
      <c r="Z343" s="38" t="str">
        <f aca="false">IF(ISNUMBER(A343),IF(COUNTIF(祝日!$A:$A,A343)&gt;0,"祝",CHOOSE(WEEKDAY(A343,2),"月","火","水","木","金","土","日")),"")</f>
        <v/>
      </c>
    </row>
    <row r="344" customFormat="false" ht="15" hidden="false" customHeight="false" outlineLevel="0" collapsed="false">
      <c r="Z344" s="38" t="str">
        <f aca="false">IF(ISNUMBER(A344),IF(COUNTIF(祝日!$A:$A,A344)&gt;0,"祝",CHOOSE(WEEKDAY(A344,2),"月","火","水","木","金","土","日")),"")</f>
        <v/>
      </c>
    </row>
    <row r="345" customFormat="false" ht="15" hidden="false" customHeight="false" outlineLevel="0" collapsed="false">
      <c r="Z345" s="38" t="str">
        <f aca="false">IF(ISNUMBER(A345),IF(COUNTIF(祝日!$A:$A,A345)&gt;0,"祝",CHOOSE(WEEKDAY(A345,2),"月","火","水","木","金","土","日")),"")</f>
        <v/>
      </c>
    </row>
    <row r="346" customFormat="false" ht="15" hidden="false" customHeight="false" outlineLevel="0" collapsed="false">
      <c r="Z346" s="38" t="str">
        <f aca="false">IF(ISNUMBER(A346),IF(COUNTIF(祝日!$A:$A,A346)&gt;0,"祝",CHOOSE(WEEKDAY(A346,2),"月","火","水","木","金","土","日")),"")</f>
        <v/>
      </c>
    </row>
    <row r="347" customFormat="false" ht="15" hidden="false" customHeight="false" outlineLevel="0" collapsed="false">
      <c r="Z347" s="38" t="str">
        <f aca="false">IF(ISNUMBER(A347),IF(COUNTIF(祝日!$A:$A,A347)&gt;0,"祝",CHOOSE(WEEKDAY(A347,2),"月","火","水","木","金","土","日")),"")</f>
        <v/>
      </c>
    </row>
    <row r="348" customFormat="false" ht="15" hidden="false" customHeight="false" outlineLevel="0" collapsed="false">
      <c r="Z348" s="38" t="str">
        <f aca="false">IF(ISNUMBER(A348),IF(COUNTIF(祝日!$A:$A,A348)&gt;0,"祝",CHOOSE(WEEKDAY(A348,2),"月","火","水","木","金","土","日")),"")</f>
        <v/>
      </c>
    </row>
    <row r="349" customFormat="false" ht="15" hidden="false" customHeight="false" outlineLevel="0" collapsed="false">
      <c r="Z349" s="38" t="str">
        <f aca="false">IF(ISNUMBER(A349),IF(COUNTIF(祝日!$A:$A,A349)&gt;0,"祝",CHOOSE(WEEKDAY(A349,2),"月","火","水","木","金","土","日")),"")</f>
        <v/>
      </c>
    </row>
    <row r="350" customFormat="false" ht="15" hidden="false" customHeight="false" outlineLevel="0" collapsed="false">
      <c r="Z350" s="38" t="str">
        <f aca="false">IF(ISNUMBER(A350),IF(COUNTIF(祝日!$A:$A,A350)&gt;0,"祝",CHOOSE(WEEKDAY(A350,2),"月","火","水","木","金","土","日")),"")</f>
        <v/>
      </c>
    </row>
    <row r="351" customFormat="false" ht="15" hidden="false" customHeight="false" outlineLevel="0" collapsed="false">
      <c r="Z351" s="38" t="str">
        <f aca="false">IF(ISNUMBER(A351),IF(COUNTIF(祝日!$A:$A,A351)&gt;0,"祝",CHOOSE(WEEKDAY(A351,2),"月","火","水","木","金","土","日")),"")</f>
        <v/>
      </c>
    </row>
    <row r="352" customFormat="false" ht="15" hidden="false" customHeight="false" outlineLevel="0" collapsed="false">
      <c r="Z352" s="38" t="str">
        <f aca="false">IF(ISNUMBER(A352),IF(COUNTIF(祝日!$A:$A,A352)&gt;0,"祝",CHOOSE(WEEKDAY(A352,2),"月","火","水","木","金","土","日")),"")</f>
        <v/>
      </c>
    </row>
    <row r="353" customFormat="false" ht="15" hidden="false" customHeight="false" outlineLevel="0" collapsed="false">
      <c r="Z353" s="38" t="str">
        <f aca="false">IF(ISNUMBER(A353),IF(COUNTIF(祝日!$A:$A,A353)&gt;0,"祝",CHOOSE(WEEKDAY(A353,2),"月","火","水","木","金","土","日")),"")</f>
        <v/>
      </c>
    </row>
    <row r="354" customFormat="false" ht="15" hidden="false" customHeight="false" outlineLevel="0" collapsed="false">
      <c r="Z354" s="38" t="str">
        <f aca="false">IF(ISNUMBER(A354),IF(COUNTIF(祝日!$A:$A,A354)&gt;0,"祝",CHOOSE(WEEKDAY(A354,2),"月","火","水","木","金","土","日")),"")</f>
        <v/>
      </c>
    </row>
    <row r="355" customFormat="false" ht="15" hidden="false" customHeight="false" outlineLevel="0" collapsed="false">
      <c r="Z355" s="38" t="str">
        <f aca="false">IF(ISNUMBER(A355),IF(COUNTIF(祝日!$A:$A,A355)&gt;0,"祝",CHOOSE(WEEKDAY(A355,2),"月","火","水","木","金","土","日")),"")</f>
        <v/>
      </c>
    </row>
    <row r="356" customFormat="false" ht="15" hidden="false" customHeight="false" outlineLevel="0" collapsed="false">
      <c r="Z356" s="38" t="str">
        <f aca="false">IF(ISNUMBER(A356),IF(COUNTIF(祝日!$A:$A,A356)&gt;0,"祝",CHOOSE(WEEKDAY(A356,2),"月","火","水","木","金","土","日")),"")</f>
        <v/>
      </c>
    </row>
    <row r="357" customFormat="false" ht="15" hidden="false" customHeight="false" outlineLevel="0" collapsed="false">
      <c r="Z357" s="38" t="str">
        <f aca="false">IF(ISNUMBER(A357),IF(COUNTIF(祝日!$A:$A,A357)&gt;0,"祝",CHOOSE(WEEKDAY(A357,2),"月","火","水","木","金","土","日")),"")</f>
        <v/>
      </c>
    </row>
    <row r="358" customFormat="false" ht="15" hidden="false" customHeight="false" outlineLevel="0" collapsed="false">
      <c r="Z358" s="38" t="str">
        <f aca="false">IF(ISNUMBER(A358),IF(COUNTIF(祝日!$A:$A,A358)&gt;0,"祝",CHOOSE(WEEKDAY(A358,2),"月","火","水","木","金","土","日")),"")</f>
        <v/>
      </c>
    </row>
    <row r="359" customFormat="false" ht="15" hidden="false" customHeight="false" outlineLevel="0" collapsed="false">
      <c r="Z359" s="38" t="str">
        <f aca="false">IF(ISNUMBER(A359),IF(COUNTIF(祝日!$A:$A,A359)&gt;0,"祝",CHOOSE(WEEKDAY(A359,2),"月","火","水","木","金","土","日")),"")</f>
        <v/>
      </c>
    </row>
    <row r="360" customFormat="false" ht="15" hidden="false" customHeight="false" outlineLevel="0" collapsed="false">
      <c r="Z360" s="38" t="str">
        <f aca="false">IF(ISNUMBER(A360),IF(COUNTIF(祝日!$A:$A,A360)&gt;0,"祝",CHOOSE(WEEKDAY(A360,2),"月","火","水","木","金","土","日")),"")</f>
        <v/>
      </c>
    </row>
    <row r="361" customFormat="false" ht="15" hidden="false" customHeight="false" outlineLevel="0" collapsed="false">
      <c r="Z361" s="38" t="str">
        <f aca="false">IF(ISNUMBER(A361),IF(COUNTIF(祝日!$A:$A,A361)&gt;0,"祝",CHOOSE(WEEKDAY(A361,2),"月","火","水","木","金","土","日")),"")</f>
        <v/>
      </c>
    </row>
    <row r="362" customFormat="false" ht="15" hidden="false" customHeight="false" outlineLevel="0" collapsed="false">
      <c r="Z362" s="38" t="str">
        <f aca="false">IF(ISNUMBER(A362),IF(COUNTIF(祝日!$A:$A,A362)&gt;0,"祝",CHOOSE(WEEKDAY(A362,2),"月","火","水","木","金","土","日")),"")</f>
        <v/>
      </c>
    </row>
    <row r="363" customFormat="false" ht="15" hidden="false" customHeight="false" outlineLevel="0" collapsed="false">
      <c r="Z363" s="38" t="str">
        <f aca="false">IF(ISNUMBER(A363),IF(COUNTIF(祝日!$A:$A,A363)&gt;0,"祝",CHOOSE(WEEKDAY(A363,2),"月","火","水","木","金","土","日")),"")</f>
        <v/>
      </c>
    </row>
    <row r="364" customFormat="false" ht="15" hidden="false" customHeight="false" outlineLevel="0" collapsed="false">
      <c r="Z364" s="38" t="str">
        <f aca="false">IF(ISNUMBER(A364),IF(COUNTIF(祝日!$A:$A,A364)&gt;0,"祝",CHOOSE(WEEKDAY(A364,2),"月","火","水","木","金","土","日")),"")</f>
        <v/>
      </c>
    </row>
    <row r="365" customFormat="false" ht="15" hidden="false" customHeight="false" outlineLevel="0" collapsed="false">
      <c r="Z365" s="38" t="str">
        <f aca="false">IF(ISNUMBER(A365),IF(COUNTIF(祝日!$A:$A,A365)&gt;0,"祝",CHOOSE(WEEKDAY(A365,2),"月","火","水","木","金","土","日")),"")</f>
        <v/>
      </c>
    </row>
    <row r="366" customFormat="false" ht="15" hidden="false" customHeight="false" outlineLevel="0" collapsed="false">
      <c r="Z366" s="38" t="str">
        <f aca="false">IF(ISNUMBER(A366),IF(COUNTIF(祝日!$A:$A,A366)&gt;0,"祝",CHOOSE(WEEKDAY(A366,2),"月","火","水","木","金","土","日")),"")</f>
        <v/>
      </c>
    </row>
    <row r="367" customFormat="false" ht="15" hidden="false" customHeight="false" outlineLevel="0" collapsed="false">
      <c r="Z367" s="38" t="str">
        <f aca="false">IF(ISNUMBER(A367),IF(COUNTIF(祝日!$A:$A,A367)&gt;0,"祝",CHOOSE(WEEKDAY(A367,2),"月","火","水","木","金","土","日")),"")</f>
        <v/>
      </c>
    </row>
    <row r="368" customFormat="false" ht="15" hidden="false" customHeight="false" outlineLevel="0" collapsed="false">
      <c r="Z368" s="38" t="str">
        <f aca="false">IF(ISNUMBER(A368),IF(COUNTIF(祝日!$A:$A,A368)&gt;0,"祝",CHOOSE(WEEKDAY(A368,2),"月","火","水","木","金","土","日")),"")</f>
        <v/>
      </c>
    </row>
    <row r="369" customFormat="false" ht="15" hidden="false" customHeight="false" outlineLevel="0" collapsed="false">
      <c r="Z369" s="38" t="str">
        <f aca="false">IF(ISNUMBER(A369),IF(COUNTIF(祝日!$A:$A,A369)&gt;0,"祝",CHOOSE(WEEKDAY(A369,2),"月","火","水","木","金","土","日")),"")</f>
        <v/>
      </c>
    </row>
    <row r="370" customFormat="false" ht="15" hidden="false" customHeight="false" outlineLevel="0" collapsed="false">
      <c r="Z370" s="38" t="str">
        <f aca="false">IF(ISNUMBER(A370),IF(COUNTIF(祝日!$A:$A,A370)&gt;0,"祝",CHOOSE(WEEKDAY(A370,2),"月","火","水","木","金","土","日")),"")</f>
        <v/>
      </c>
    </row>
    <row r="371" customFormat="false" ht="15" hidden="false" customHeight="false" outlineLevel="0" collapsed="false">
      <c r="Z371" s="38" t="str">
        <f aca="false">IF(ISNUMBER(A371),IF(COUNTIF(祝日!$A:$A,A371)&gt;0,"祝",CHOOSE(WEEKDAY(A371,2),"月","火","水","木","金","土","日")),"")</f>
        <v/>
      </c>
    </row>
    <row r="372" customFormat="false" ht="15" hidden="false" customHeight="false" outlineLevel="0" collapsed="false">
      <c r="Z372" s="38" t="str">
        <f aca="false">IF(ISNUMBER(A372),IF(COUNTIF(祝日!$A:$A,A372)&gt;0,"祝",CHOOSE(WEEKDAY(A372,2),"月","火","水","木","金","土","日")),"")</f>
        <v/>
      </c>
    </row>
    <row r="373" customFormat="false" ht="15" hidden="false" customHeight="false" outlineLevel="0" collapsed="false">
      <c r="Z373" s="38" t="str">
        <f aca="false">IF(ISNUMBER(A373),IF(COUNTIF(祝日!$A:$A,A373)&gt;0,"祝",CHOOSE(WEEKDAY(A373,2),"月","火","水","木","金","土","日")),"")</f>
        <v/>
      </c>
    </row>
    <row r="374" customFormat="false" ht="15" hidden="false" customHeight="false" outlineLevel="0" collapsed="false">
      <c r="Z374" s="38" t="str">
        <f aca="false">IF(ISNUMBER(A374),IF(COUNTIF(祝日!$A:$A,A374)&gt;0,"祝",CHOOSE(WEEKDAY(A374,2),"月","火","水","木","金","土","日")),"")</f>
        <v/>
      </c>
    </row>
    <row r="375" customFormat="false" ht="15" hidden="false" customHeight="false" outlineLevel="0" collapsed="false">
      <c r="Z375" s="38" t="str">
        <f aca="false">IF(ISNUMBER(A375),IF(COUNTIF(祝日!$A:$A,A375)&gt;0,"祝",CHOOSE(WEEKDAY(A375,2),"月","火","水","木","金","土","日")),"")</f>
        <v/>
      </c>
    </row>
    <row r="376" customFormat="false" ht="15" hidden="false" customHeight="false" outlineLevel="0" collapsed="false">
      <c r="Z376" s="38" t="str">
        <f aca="false">IF(ISNUMBER(A376),IF(COUNTIF(祝日!$A:$A,A376)&gt;0,"祝",CHOOSE(WEEKDAY(A376,2),"月","火","水","木","金","土","日")),"")</f>
        <v/>
      </c>
    </row>
    <row r="377" customFormat="false" ht="15" hidden="false" customHeight="false" outlineLevel="0" collapsed="false">
      <c r="Z377" s="38" t="str">
        <f aca="false">IF(ISNUMBER(A377),IF(COUNTIF(祝日!$A:$A,A377)&gt;0,"祝",CHOOSE(WEEKDAY(A377,2),"月","火","水","木","金","土","日")),"")</f>
        <v/>
      </c>
    </row>
    <row r="378" customFormat="false" ht="15" hidden="false" customHeight="false" outlineLevel="0" collapsed="false">
      <c r="Z378" s="38" t="str">
        <f aca="false">IF(ISNUMBER(A378),IF(COUNTIF(祝日!$A:$A,A378)&gt;0,"祝",CHOOSE(WEEKDAY(A378,2),"月","火","水","木","金","土","日")),"")</f>
        <v/>
      </c>
    </row>
    <row r="379" customFormat="false" ht="15" hidden="false" customHeight="false" outlineLevel="0" collapsed="false">
      <c r="Z379" s="38" t="str">
        <f aca="false">IF(ISNUMBER(A379),IF(COUNTIF(祝日!$A:$A,A379)&gt;0,"祝",CHOOSE(WEEKDAY(A379,2),"月","火","水","木","金","土","日")),"")</f>
        <v/>
      </c>
    </row>
    <row r="380" customFormat="false" ht="15" hidden="false" customHeight="false" outlineLevel="0" collapsed="false">
      <c r="Z380" s="38" t="str">
        <f aca="false">IF(ISNUMBER(A380),IF(COUNTIF(祝日!$A:$A,A380)&gt;0,"祝",CHOOSE(WEEKDAY(A380,2),"月","火","水","木","金","土","日")),"")</f>
        <v/>
      </c>
    </row>
    <row r="381" customFormat="false" ht="15" hidden="false" customHeight="false" outlineLevel="0" collapsed="false">
      <c r="Z381" s="38" t="str">
        <f aca="false">IF(ISNUMBER(A381),IF(COUNTIF(祝日!$A:$A,A381)&gt;0,"祝",CHOOSE(WEEKDAY(A381,2),"月","火","水","木","金","土","日")),"")</f>
        <v/>
      </c>
    </row>
    <row r="382" customFormat="false" ht="15" hidden="false" customHeight="false" outlineLevel="0" collapsed="false">
      <c r="Z382" s="38" t="str">
        <f aca="false">IF(ISNUMBER(A382),IF(COUNTIF(祝日!$A:$A,A382)&gt;0,"祝",CHOOSE(WEEKDAY(A382,2),"月","火","水","木","金","土","日")),"")</f>
        <v/>
      </c>
    </row>
    <row r="383" customFormat="false" ht="15" hidden="false" customHeight="false" outlineLevel="0" collapsed="false">
      <c r="Z383" s="38" t="str">
        <f aca="false">IF(ISNUMBER(A383),IF(COUNTIF(祝日!$A:$A,A383)&gt;0,"祝",CHOOSE(WEEKDAY(A383,2),"月","火","水","木","金","土","日")),"")</f>
        <v/>
      </c>
    </row>
    <row r="384" customFormat="false" ht="15" hidden="false" customHeight="false" outlineLevel="0" collapsed="false">
      <c r="Z384" s="38" t="str">
        <f aca="false">IF(ISNUMBER(A384),IF(COUNTIF(祝日!$A:$A,A384)&gt;0,"祝",CHOOSE(WEEKDAY(A384,2),"月","火","水","木","金","土","日")),"")</f>
        <v/>
      </c>
    </row>
    <row r="385" customFormat="false" ht="15" hidden="false" customHeight="false" outlineLevel="0" collapsed="false">
      <c r="Z385" s="38" t="str">
        <f aca="false">IF(ISNUMBER(A385),IF(COUNTIF(祝日!$A:$A,A385)&gt;0,"祝",CHOOSE(WEEKDAY(A385,2),"月","火","水","木","金","土","日")),"")</f>
        <v/>
      </c>
    </row>
    <row r="386" customFormat="false" ht="15" hidden="false" customHeight="false" outlineLevel="0" collapsed="false">
      <c r="Z386" s="38" t="str">
        <f aca="false">IF(ISNUMBER(A386),IF(COUNTIF(祝日!$A:$A,A386)&gt;0,"祝",CHOOSE(WEEKDAY(A386,2),"月","火","水","木","金","土","日")),"")</f>
        <v/>
      </c>
    </row>
    <row r="387" customFormat="false" ht="15" hidden="false" customHeight="false" outlineLevel="0" collapsed="false">
      <c r="Z387" s="38" t="str">
        <f aca="false">IF(ISNUMBER(A387),IF(COUNTIF(祝日!$A:$A,A387)&gt;0,"祝",CHOOSE(WEEKDAY(A387,2),"月","火","水","木","金","土","日")),"")</f>
        <v/>
      </c>
    </row>
    <row r="388" customFormat="false" ht="15" hidden="false" customHeight="false" outlineLevel="0" collapsed="false">
      <c r="Z388" s="38" t="str">
        <f aca="false">IF(ISNUMBER(A388),IF(COUNTIF(祝日!$A:$A,A388)&gt;0,"祝",CHOOSE(WEEKDAY(A388,2),"月","火","水","木","金","土","日")),"")</f>
        <v/>
      </c>
    </row>
    <row r="389" customFormat="false" ht="15" hidden="false" customHeight="false" outlineLevel="0" collapsed="false">
      <c r="Z389" s="38" t="str">
        <f aca="false">IF(ISNUMBER(A389),IF(COUNTIF(祝日!$A:$A,A389)&gt;0,"祝",CHOOSE(WEEKDAY(A389,2),"月","火","水","木","金","土","日")),"")</f>
        <v/>
      </c>
    </row>
    <row r="390" customFormat="false" ht="15" hidden="false" customHeight="false" outlineLevel="0" collapsed="false">
      <c r="Z390" s="38" t="str">
        <f aca="false">IF(ISNUMBER(A390),IF(COUNTIF(祝日!$A:$A,A390)&gt;0,"祝",CHOOSE(WEEKDAY(A390,2),"月","火","水","木","金","土","日")),"")</f>
        <v/>
      </c>
    </row>
    <row r="391" customFormat="false" ht="15" hidden="false" customHeight="false" outlineLevel="0" collapsed="false">
      <c r="Z391" s="38" t="str">
        <f aca="false">IF(ISNUMBER(A391),IF(COUNTIF(祝日!$A:$A,A391)&gt;0,"祝",CHOOSE(WEEKDAY(A391,2),"月","火","水","木","金","土","日")),"")</f>
        <v/>
      </c>
    </row>
    <row r="392" customFormat="false" ht="15" hidden="false" customHeight="false" outlineLevel="0" collapsed="false">
      <c r="Z392" s="38" t="str">
        <f aca="false">IF(ISNUMBER(A392),IF(COUNTIF(祝日!$A:$A,A392)&gt;0,"祝",CHOOSE(WEEKDAY(A392,2),"月","火","水","木","金","土","日")),"")</f>
        <v/>
      </c>
    </row>
    <row r="393" customFormat="false" ht="15" hidden="false" customHeight="false" outlineLevel="0" collapsed="false">
      <c r="Z393" s="38" t="str">
        <f aca="false">IF(ISNUMBER(A393),IF(COUNTIF(祝日!$A:$A,A393)&gt;0,"祝",CHOOSE(WEEKDAY(A393,2),"月","火","水","木","金","土","日")),"")</f>
        <v/>
      </c>
    </row>
    <row r="394" customFormat="false" ht="15" hidden="false" customHeight="false" outlineLevel="0" collapsed="false">
      <c r="Z394" s="38" t="str">
        <f aca="false">IF(ISNUMBER(A394),IF(COUNTIF(祝日!$A:$A,A394)&gt;0,"祝",CHOOSE(WEEKDAY(A394,2),"月","火","水","木","金","土","日")),"")</f>
        <v/>
      </c>
    </row>
    <row r="395" customFormat="false" ht="15" hidden="false" customHeight="false" outlineLevel="0" collapsed="false">
      <c r="Z395" s="38" t="str">
        <f aca="false">IF(ISNUMBER(A395),IF(COUNTIF(祝日!$A:$A,A395)&gt;0,"祝",CHOOSE(WEEKDAY(A395,2),"月","火","水","木","金","土","日")),"")</f>
        <v/>
      </c>
    </row>
    <row r="396" customFormat="false" ht="15" hidden="false" customHeight="false" outlineLevel="0" collapsed="false">
      <c r="Z396" s="38" t="str">
        <f aca="false">IF(ISNUMBER(A396),IF(COUNTIF(祝日!$A:$A,A396)&gt;0,"祝",CHOOSE(WEEKDAY(A396,2),"月","火","水","木","金","土","日")),"")</f>
        <v/>
      </c>
    </row>
    <row r="397" customFormat="false" ht="15" hidden="false" customHeight="false" outlineLevel="0" collapsed="false">
      <c r="Z397" s="38" t="str">
        <f aca="false">IF(ISNUMBER(A397),IF(COUNTIF(祝日!$A:$A,A397)&gt;0,"祝",CHOOSE(WEEKDAY(A397,2),"月","火","水","木","金","土","日")),"")</f>
        <v/>
      </c>
    </row>
    <row r="398" customFormat="false" ht="15" hidden="false" customHeight="false" outlineLevel="0" collapsed="false">
      <c r="Z398" s="38" t="str">
        <f aca="false">IF(ISNUMBER(A398),IF(COUNTIF(祝日!$A:$A,A398)&gt;0,"祝",CHOOSE(WEEKDAY(A398,2),"月","火","水","木","金","土","日")),"")</f>
        <v/>
      </c>
    </row>
    <row r="399" customFormat="false" ht="15" hidden="false" customHeight="false" outlineLevel="0" collapsed="false">
      <c r="Z399" s="38" t="str">
        <f aca="false">IF(ISNUMBER(A399),IF(COUNTIF(祝日!$A:$A,A399)&gt;0,"祝",CHOOSE(WEEKDAY(A399,2),"月","火","水","木","金","土","日")),"")</f>
        <v/>
      </c>
    </row>
    <row r="400" customFormat="false" ht="15" hidden="false" customHeight="false" outlineLevel="0" collapsed="false">
      <c r="Z400" s="38" t="str">
        <f aca="false">IF(ISNUMBER(A400),IF(COUNTIF(祝日!$A:$A,A400)&gt;0,"祝",CHOOSE(WEEKDAY(A400,2),"月","火","水","木","金","土","日")),"")</f>
        <v/>
      </c>
    </row>
    <row r="401" customFormat="false" ht="15" hidden="false" customHeight="false" outlineLevel="0" collapsed="false">
      <c r="Z401" s="38" t="str">
        <f aca="false">IF(ISNUMBER(A401),IF(COUNTIF(祝日!$A:$A,A401)&gt;0,"祝",CHOOSE(WEEKDAY(A401,2),"月","火","水","木","金","土","日")),"")</f>
        <v/>
      </c>
    </row>
    <row r="402" customFormat="false" ht="15" hidden="false" customHeight="false" outlineLevel="0" collapsed="false">
      <c r="Z402" s="38" t="str">
        <f aca="false">IF(ISNUMBER(A402),IF(COUNTIF(祝日!$A:$A,A402)&gt;0,"祝",CHOOSE(WEEKDAY(A402,2),"月","火","水","木","金","土","日")),"")</f>
        <v/>
      </c>
    </row>
    <row r="403" customFormat="false" ht="15" hidden="false" customHeight="false" outlineLevel="0" collapsed="false">
      <c r="Z403" s="38" t="str">
        <f aca="false">IF(ISNUMBER(A403),IF(COUNTIF(祝日!$A:$A,A403)&gt;0,"祝",CHOOSE(WEEKDAY(A403,2),"月","火","水","木","金","土","日")),"")</f>
        <v/>
      </c>
    </row>
    <row r="404" customFormat="false" ht="15" hidden="false" customHeight="false" outlineLevel="0" collapsed="false">
      <c r="Z404" s="38" t="str">
        <f aca="false">IF(ISNUMBER(A404),IF(COUNTIF(祝日!$A:$A,A404)&gt;0,"祝",CHOOSE(WEEKDAY(A404,2),"月","火","水","木","金","土","日")),"")</f>
        <v/>
      </c>
    </row>
    <row r="405" customFormat="false" ht="15" hidden="false" customHeight="false" outlineLevel="0" collapsed="false">
      <c r="Z405" s="38" t="str">
        <f aca="false">IF(ISNUMBER(A405),IF(COUNTIF(祝日!$A:$A,A405)&gt;0,"祝",CHOOSE(WEEKDAY(A405,2),"月","火","水","木","金","土","日")),"")</f>
        <v/>
      </c>
    </row>
    <row r="406" customFormat="false" ht="15" hidden="false" customHeight="false" outlineLevel="0" collapsed="false">
      <c r="Z406" s="38" t="str">
        <f aca="false">IF(ISNUMBER(A406),IF(COUNTIF(祝日!$A:$A,A406)&gt;0,"祝",CHOOSE(WEEKDAY(A406,2),"月","火","水","木","金","土","日")),"")</f>
        <v/>
      </c>
    </row>
    <row r="407" customFormat="false" ht="15" hidden="false" customHeight="false" outlineLevel="0" collapsed="false">
      <c r="Z407" s="38" t="str">
        <f aca="false">IF(ISNUMBER(A407),IF(COUNTIF(祝日!$A:$A,A407)&gt;0,"祝",CHOOSE(WEEKDAY(A407,2),"月","火","水","木","金","土","日")),"")</f>
        <v/>
      </c>
    </row>
    <row r="408" customFormat="false" ht="15" hidden="false" customHeight="false" outlineLevel="0" collapsed="false">
      <c r="Z408" s="38" t="str">
        <f aca="false">IF(ISNUMBER(A408),IF(COUNTIF(祝日!$A:$A,A408)&gt;0,"祝",CHOOSE(WEEKDAY(A408,2),"月","火","水","木","金","土","日")),"")</f>
        <v/>
      </c>
    </row>
    <row r="409" customFormat="false" ht="15" hidden="false" customHeight="false" outlineLevel="0" collapsed="false">
      <c r="Z409" s="38" t="str">
        <f aca="false">IF(ISNUMBER(A409),IF(COUNTIF(祝日!$A:$A,A409)&gt;0,"祝",CHOOSE(WEEKDAY(A409,2),"月","火","水","木","金","土","日")),"")</f>
        <v/>
      </c>
    </row>
    <row r="410" customFormat="false" ht="15" hidden="false" customHeight="false" outlineLevel="0" collapsed="false">
      <c r="Z410" s="38" t="str">
        <f aca="false">IF(ISNUMBER(A410),IF(COUNTIF(祝日!$A:$A,A410)&gt;0,"祝",CHOOSE(WEEKDAY(A410,2),"月","火","水","木","金","土","日")),"")</f>
        <v/>
      </c>
    </row>
    <row r="411" customFormat="false" ht="15" hidden="false" customHeight="false" outlineLevel="0" collapsed="false">
      <c r="Z411" s="38" t="str">
        <f aca="false">IF(ISNUMBER(A411),IF(COUNTIF(祝日!$A:$A,A411)&gt;0,"祝",CHOOSE(WEEKDAY(A411,2),"月","火","水","木","金","土","日")),"")</f>
        <v/>
      </c>
    </row>
    <row r="412" customFormat="false" ht="15" hidden="false" customHeight="false" outlineLevel="0" collapsed="false">
      <c r="Z412" s="38" t="str">
        <f aca="false">IF(ISNUMBER(A412),IF(COUNTIF(祝日!$A:$A,A412)&gt;0,"祝",CHOOSE(WEEKDAY(A412,2),"月","火","水","木","金","土","日")),"")</f>
        <v/>
      </c>
    </row>
    <row r="413" customFormat="false" ht="15" hidden="false" customHeight="false" outlineLevel="0" collapsed="false">
      <c r="Z413" s="38" t="str">
        <f aca="false">IF(ISNUMBER(A413),IF(COUNTIF(祝日!$A:$A,A413)&gt;0,"祝",CHOOSE(WEEKDAY(A413,2),"月","火","水","木","金","土","日")),"")</f>
        <v/>
      </c>
    </row>
    <row r="414" customFormat="false" ht="15" hidden="false" customHeight="false" outlineLevel="0" collapsed="false">
      <c r="Z414" s="38" t="str">
        <f aca="false">IF(ISNUMBER(A414),IF(COUNTIF(祝日!$A:$A,A414)&gt;0,"祝",CHOOSE(WEEKDAY(A414,2),"月","火","水","木","金","土","日")),"")</f>
        <v/>
      </c>
    </row>
    <row r="415" customFormat="false" ht="15" hidden="false" customHeight="false" outlineLevel="0" collapsed="false">
      <c r="Z415" s="38" t="str">
        <f aca="false">IF(ISNUMBER(A415),IF(COUNTIF(祝日!$A:$A,A415)&gt;0,"祝",CHOOSE(WEEKDAY(A415,2),"月","火","水","木","金","土","日")),"")</f>
        <v/>
      </c>
    </row>
    <row r="416" customFormat="false" ht="15" hidden="false" customHeight="false" outlineLevel="0" collapsed="false">
      <c r="Z416" s="38" t="str">
        <f aca="false">IF(ISNUMBER(A416),IF(COUNTIF(祝日!$A:$A,A416)&gt;0,"祝",CHOOSE(WEEKDAY(A416,2),"月","火","水","木","金","土","日")),"")</f>
        <v/>
      </c>
    </row>
    <row r="417" customFormat="false" ht="15" hidden="false" customHeight="false" outlineLevel="0" collapsed="false">
      <c r="Z417" s="38" t="str">
        <f aca="false">IF(ISNUMBER(A417),IF(COUNTIF(祝日!$A:$A,A417)&gt;0,"祝",CHOOSE(WEEKDAY(A417,2),"月","火","水","木","金","土","日")),"")</f>
        <v/>
      </c>
    </row>
    <row r="418" customFormat="false" ht="15" hidden="false" customHeight="false" outlineLevel="0" collapsed="false">
      <c r="Z418" s="38" t="str">
        <f aca="false">IF(ISNUMBER(A418),IF(COUNTIF(祝日!$A:$A,A418)&gt;0,"祝",CHOOSE(WEEKDAY(A418,2),"月","火","水","木","金","土","日")),"")</f>
        <v/>
      </c>
    </row>
    <row r="419" customFormat="false" ht="15" hidden="false" customHeight="false" outlineLevel="0" collapsed="false">
      <c r="Z419" s="38" t="str">
        <f aca="false">IF(ISNUMBER(A419),IF(COUNTIF(祝日!$A:$A,A419)&gt;0,"祝",CHOOSE(WEEKDAY(A419,2),"月","火","水","木","金","土","日")),"")</f>
        <v/>
      </c>
    </row>
    <row r="420" customFormat="false" ht="15" hidden="false" customHeight="false" outlineLevel="0" collapsed="false">
      <c r="Z420" s="38" t="str">
        <f aca="false">IF(ISNUMBER(A420),IF(COUNTIF(祝日!$A:$A,A420)&gt;0,"祝",CHOOSE(WEEKDAY(A420,2),"月","火","水","木","金","土","日")),"")</f>
        <v/>
      </c>
    </row>
    <row r="421" customFormat="false" ht="15" hidden="false" customHeight="false" outlineLevel="0" collapsed="false">
      <c r="Z421" s="38" t="str">
        <f aca="false">IF(ISNUMBER(A421),IF(COUNTIF(祝日!$A:$A,A421)&gt;0,"祝",CHOOSE(WEEKDAY(A421,2),"月","火","水","木","金","土","日")),"")</f>
        <v/>
      </c>
    </row>
    <row r="422" customFormat="false" ht="15" hidden="false" customHeight="false" outlineLevel="0" collapsed="false">
      <c r="Z422" s="38" t="str">
        <f aca="false">IF(ISNUMBER(A422),IF(COUNTIF(祝日!$A:$A,A422)&gt;0,"祝",CHOOSE(WEEKDAY(A422,2),"月","火","水","木","金","土","日")),"")</f>
        <v/>
      </c>
    </row>
    <row r="423" customFormat="false" ht="15" hidden="false" customHeight="false" outlineLevel="0" collapsed="false">
      <c r="Z423" s="38" t="str">
        <f aca="false">IF(ISNUMBER(A423),IF(COUNTIF(祝日!$A:$A,A423)&gt;0,"祝",CHOOSE(WEEKDAY(A423,2),"月","火","水","木","金","土","日")),"")</f>
        <v/>
      </c>
    </row>
    <row r="424" customFormat="false" ht="15" hidden="false" customHeight="false" outlineLevel="0" collapsed="false">
      <c r="Z424" s="38" t="str">
        <f aca="false">IF(ISNUMBER(A424),IF(COUNTIF(祝日!$A:$A,A424)&gt;0,"祝",CHOOSE(WEEKDAY(A424,2),"月","火","水","木","金","土","日")),"")</f>
        <v/>
      </c>
    </row>
    <row r="425" customFormat="false" ht="15" hidden="false" customHeight="false" outlineLevel="0" collapsed="false">
      <c r="Z425" s="38" t="str">
        <f aca="false">IF(ISNUMBER(A425),IF(COUNTIF(祝日!$A:$A,A425)&gt;0,"祝",CHOOSE(WEEKDAY(A425,2),"月","火","水","木","金","土","日")),"")</f>
        <v/>
      </c>
    </row>
    <row r="426" customFormat="false" ht="15" hidden="false" customHeight="false" outlineLevel="0" collapsed="false">
      <c r="Z426" s="38" t="str">
        <f aca="false">IF(ISNUMBER(A426),IF(COUNTIF(祝日!$A:$A,A426)&gt;0,"祝",CHOOSE(WEEKDAY(A426,2),"月","火","水","木","金","土","日")),"")</f>
        <v/>
      </c>
    </row>
    <row r="427" customFormat="false" ht="15" hidden="false" customHeight="false" outlineLevel="0" collapsed="false">
      <c r="Z427" s="38" t="str">
        <f aca="false">IF(ISNUMBER(A427),IF(COUNTIF(祝日!$A:$A,A427)&gt;0,"祝",CHOOSE(WEEKDAY(A427,2),"月","火","水","木","金","土","日")),"")</f>
        <v/>
      </c>
    </row>
    <row r="428" customFormat="false" ht="15" hidden="false" customHeight="false" outlineLevel="0" collapsed="false">
      <c r="Z428" s="38" t="str">
        <f aca="false">IF(ISNUMBER(A428),IF(COUNTIF(祝日!$A:$A,A428)&gt;0,"祝",CHOOSE(WEEKDAY(A428,2),"月","火","水","木","金","土","日")),"")</f>
        <v/>
      </c>
    </row>
    <row r="429" customFormat="false" ht="15" hidden="false" customHeight="false" outlineLevel="0" collapsed="false">
      <c r="Z429" s="38" t="str">
        <f aca="false">IF(ISNUMBER(A429),IF(COUNTIF(祝日!$A:$A,A429)&gt;0,"祝",CHOOSE(WEEKDAY(A429,2),"月","火","水","木","金","土","日")),"")</f>
        <v/>
      </c>
    </row>
    <row r="430" customFormat="false" ht="15" hidden="false" customHeight="false" outlineLevel="0" collapsed="false">
      <c r="Z430" s="38" t="str">
        <f aca="false">IF(ISNUMBER(A430),IF(COUNTIF(祝日!$A:$A,A430)&gt;0,"祝",CHOOSE(WEEKDAY(A430,2),"月","火","水","木","金","土","日")),"")</f>
        <v/>
      </c>
    </row>
    <row r="431" customFormat="false" ht="15" hidden="false" customHeight="false" outlineLevel="0" collapsed="false">
      <c r="Z431" s="38" t="str">
        <f aca="false">IF(ISNUMBER(A431),IF(COUNTIF(祝日!$A:$A,A431)&gt;0,"祝",CHOOSE(WEEKDAY(A431,2),"月","火","水","木","金","土","日")),"")</f>
        <v/>
      </c>
    </row>
    <row r="432" customFormat="false" ht="15" hidden="false" customHeight="false" outlineLevel="0" collapsed="false">
      <c r="Z432" s="38" t="str">
        <f aca="false">IF(ISNUMBER(A432),IF(COUNTIF(祝日!$A:$A,A432)&gt;0,"祝",CHOOSE(WEEKDAY(A432,2),"月","火","水","木","金","土","日")),"")</f>
        <v/>
      </c>
    </row>
    <row r="433" customFormat="false" ht="15" hidden="false" customHeight="false" outlineLevel="0" collapsed="false">
      <c r="Z433" s="38" t="str">
        <f aca="false">IF(ISNUMBER(A433),IF(COUNTIF(祝日!$A:$A,A433)&gt;0,"祝",CHOOSE(WEEKDAY(A433,2),"月","火","水","木","金","土","日")),"")</f>
        <v/>
      </c>
    </row>
    <row r="434" customFormat="false" ht="15" hidden="false" customHeight="false" outlineLevel="0" collapsed="false">
      <c r="Z434" s="38" t="str">
        <f aca="false">IF(ISNUMBER(A434),IF(COUNTIF(祝日!$A:$A,A434)&gt;0,"祝",CHOOSE(WEEKDAY(A434,2),"月","火","水","木","金","土","日")),"")</f>
        <v/>
      </c>
    </row>
    <row r="435" customFormat="false" ht="15" hidden="false" customHeight="false" outlineLevel="0" collapsed="false">
      <c r="Z435" s="38" t="str">
        <f aca="false">IF(ISNUMBER(A435),IF(COUNTIF(祝日!$A:$A,A435)&gt;0,"祝",CHOOSE(WEEKDAY(A435,2),"月","火","水","木","金","土","日")),"")</f>
        <v/>
      </c>
    </row>
    <row r="436" customFormat="false" ht="15" hidden="false" customHeight="false" outlineLevel="0" collapsed="false">
      <c r="Z436" s="38" t="str">
        <f aca="false">IF(ISNUMBER(A436),IF(COUNTIF(祝日!$A:$A,A436)&gt;0,"祝",CHOOSE(WEEKDAY(A436,2),"月","火","水","木","金","土","日")),"")</f>
        <v/>
      </c>
    </row>
    <row r="437" customFormat="false" ht="15" hidden="false" customHeight="false" outlineLevel="0" collapsed="false">
      <c r="Z437" s="38" t="str">
        <f aca="false">IF(ISNUMBER(A437),IF(COUNTIF(祝日!$A:$A,A437)&gt;0,"祝",CHOOSE(WEEKDAY(A437,2),"月","火","水","木","金","土","日")),"")</f>
        <v/>
      </c>
    </row>
    <row r="438" customFormat="false" ht="15" hidden="false" customHeight="false" outlineLevel="0" collapsed="false">
      <c r="Z438" s="38" t="str">
        <f aca="false">IF(ISNUMBER(A438),IF(COUNTIF(祝日!$A:$A,A438)&gt;0,"祝",CHOOSE(WEEKDAY(A438,2),"月","火","水","木","金","土","日")),"")</f>
        <v/>
      </c>
    </row>
    <row r="439" customFormat="false" ht="15" hidden="false" customHeight="false" outlineLevel="0" collapsed="false">
      <c r="Z439" s="38" t="str">
        <f aca="false">IF(ISNUMBER(A439),IF(COUNTIF(祝日!$A:$A,A439)&gt;0,"祝",CHOOSE(WEEKDAY(A439,2),"月","火","水","木","金","土","日")),"")</f>
        <v/>
      </c>
    </row>
    <row r="440" customFormat="false" ht="15" hidden="false" customHeight="false" outlineLevel="0" collapsed="false">
      <c r="Z440" s="38" t="str">
        <f aca="false">IF(ISNUMBER(A440),IF(COUNTIF(祝日!$A:$A,A440)&gt;0,"祝",CHOOSE(WEEKDAY(A440,2),"月","火","水","木","金","土","日")),"")</f>
        <v/>
      </c>
    </row>
    <row r="441" customFormat="false" ht="15" hidden="false" customHeight="false" outlineLevel="0" collapsed="false">
      <c r="Z441" s="38" t="str">
        <f aca="false">IF(ISNUMBER(A441),IF(COUNTIF(祝日!$A:$A,A441)&gt;0,"祝",CHOOSE(WEEKDAY(A441,2),"月","火","水","木","金","土","日")),"")</f>
        <v/>
      </c>
    </row>
    <row r="442" customFormat="false" ht="15" hidden="false" customHeight="false" outlineLevel="0" collapsed="false">
      <c r="Z442" s="38" t="str">
        <f aca="false">IF(ISNUMBER(A442),IF(COUNTIF(祝日!$A:$A,A442)&gt;0,"祝",CHOOSE(WEEKDAY(A442,2),"月","火","水","木","金","土","日")),"")</f>
        <v/>
      </c>
    </row>
    <row r="443" customFormat="false" ht="15" hidden="false" customHeight="false" outlineLevel="0" collapsed="false">
      <c r="Z443" s="38" t="str">
        <f aca="false">IF(ISNUMBER(A443),IF(COUNTIF(祝日!$A:$A,A443)&gt;0,"祝",CHOOSE(WEEKDAY(A443,2),"月","火","水","木","金","土","日")),"")</f>
        <v/>
      </c>
    </row>
    <row r="444" customFormat="false" ht="15" hidden="false" customHeight="false" outlineLevel="0" collapsed="false">
      <c r="Z444" s="38" t="str">
        <f aca="false">IF(ISNUMBER(A444),IF(COUNTIF(祝日!$A:$A,A444)&gt;0,"祝",CHOOSE(WEEKDAY(A444,2),"月","火","水","木","金","土","日")),"")</f>
        <v/>
      </c>
    </row>
    <row r="445" customFormat="false" ht="15" hidden="false" customHeight="false" outlineLevel="0" collapsed="false">
      <c r="Z445" s="38" t="str">
        <f aca="false">IF(ISNUMBER(A445),IF(COUNTIF(祝日!$A:$A,A445)&gt;0,"祝",CHOOSE(WEEKDAY(A445,2),"月","火","水","木","金","土","日")),"")</f>
        <v/>
      </c>
    </row>
    <row r="446" customFormat="false" ht="15" hidden="false" customHeight="false" outlineLevel="0" collapsed="false">
      <c r="Z446" s="38" t="str">
        <f aca="false">IF(ISNUMBER(A446),IF(COUNTIF(祝日!$A:$A,A446)&gt;0,"祝",CHOOSE(WEEKDAY(A446,2),"月","火","水","木","金","土","日")),"")</f>
        <v/>
      </c>
    </row>
    <row r="447" customFormat="false" ht="15" hidden="false" customHeight="false" outlineLevel="0" collapsed="false">
      <c r="Z447" s="38" t="str">
        <f aca="false">IF(ISNUMBER(A447),IF(COUNTIF(祝日!$A:$A,A447)&gt;0,"祝",CHOOSE(WEEKDAY(A447,2),"月","火","水","木","金","土","日")),"")</f>
        <v/>
      </c>
    </row>
    <row r="448" customFormat="false" ht="15" hidden="false" customHeight="false" outlineLevel="0" collapsed="false">
      <c r="Z448" s="38" t="str">
        <f aca="false">IF(ISNUMBER(A448),IF(COUNTIF(祝日!$A:$A,A448)&gt;0,"祝",CHOOSE(WEEKDAY(A448,2),"月","火","水","木","金","土","日")),"")</f>
        <v/>
      </c>
    </row>
    <row r="449" customFormat="false" ht="15" hidden="false" customHeight="false" outlineLevel="0" collapsed="false">
      <c r="Z449" s="38" t="str">
        <f aca="false">IF(ISNUMBER(A449),IF(COUNTIF(祝日!$A:$A,A449)&gt;0,"祝",CHOOSE(WEEKDAY(A449,2),"月","火","水","木","金","土","日")),"")</f>
        <v/>
      </c>
    </row>
    <row r="450" customFormat="false" ht="15" hidden="false" customHeight="false" outlineLevel="0" collapsed="false">
      <c r="Z450" s="38" t="str">
        <f aca="false">IF(ISNUMBER(A450),IF(COUNTIF(祝日!$A:$A,A450)&gt;0,"祝",CHOOSE(WEEKDAY(A450,2),"月","火","水","木","金","土","日")),"")</f>
        <v/>
      </c>
    </row>
    <row r="451" customFormat="false" ht="15" hidden="false" customHeight="false" outlineLevel="0" collapsed="false">
      <c r="Z451" s="38" t="str">
        <f aca="false">IF(ISNUMBER(A451),IF(COUNTIF(祝日!$A:$A,A451)&gt;0,"祝",CHOOSE(WEEKDAY(A451,2),"月","火","水","木","金","土","日")),"")</f>
        <v/>
      </c>
    </row>
    <row r="452" customFormat="false" ht="15" hidden="false" customHeight="false" outlineLevel="0" collapsed="false">
      <c r="Z452" s="38" t="str">
        <f aca="false">IF(ISNUMBER(A452),IF(COUNTIF(祝日!$A:$A,A452)&gt;0,"祝",CHOOSE(WEEKDAY(A452,2),"月","火","水","木","金","土","日")),"")</f>
        <v/>
      </c>
    </row>
    <row r="453" customFormat="false" ht="15" hidden="false" customHeight="false" outlineLevel="0" collapsed="false">
      <c r="Z453" s="38" t="str">
        <f aca="false">IF(ISNUMBER(A453),IF(COUNTIF(祝日!$A:$A,A453)&gt;0,"祝",CHOOSE(WEEKDAY(A453,2),"月","火","水","木","金","土","日")),"")</f>
        <v/>
      </c>
    </row>
    <row r="454" customFormat="false" ht="15" hidden="false" customHeight="false" outlineLevel="0" collapsed="false">
      <c r="Z454" s="38" t="str">
        <f aca="false">IF(ISNUMBER(A454),IF(COUNTIF(祝日!$A:$A,A454)&gt;0,"祝",CHOOSE(WEEKDAY(A454,2),"月","火","水","木","金","土","日")),"")</f>
        <v/>
      </c>
    </row>
    <row r="455" customFormat="false" ht="15" hidden="false" customHeight="false" outlineLevel="0" collapsed="false">
      <c r="Z455" s="38" t="str">
        <f aca="false">IF(ISNUMBER(A455),IF(COUNTIF(祝日!$A:$A,A455)&gt;0,"祝",CHOOSE(WEEKDAY(A455,2),"月","火","水","木","金","土","日")),"")</f>
        <v/>
      </c>
    </row>
    <row r="456" customFormat="false" ht="15" hidden="false" customHeight="false" outlineLevel="0" collapsed="false">
      <c r="Z456" s="38" t="str">
        <f aca="false">IF(ISNUMBER(A456),IF(COUNTIF(祝日!$A:$A,A456)&gt;0,"祝",CHOOSE(WEEKDAY(A456,2),"月","火","水","木","金","土","日")),"")</f>
        <v/>
      </c>
    </row>
    <row r="457" customFormat="false" ht="15" hidden="false" customHeight="false" outlineLevel="0" collapsed="false">
      <c r="Z457" s="38" t="str">
        <f aca="false">IF(ISNUMBER(A457),IF(COUNTIF(祝日!$A:$A,A457)&gt;0,"祝",CHOOSE(WEEKDAY(A457,2),"月","火","水","木","金","土","日")),"")</f>
        <v/>
      </c>
    </row>
    <row r="458" customFormat="false" ht="15" hidden="false" customHeight="false" outlineLevel="0" collapsed="false">
      <c r="Z458" s="38" t="str">
        <f aca="false">IF(ISNUMBER(A458),IF(COUNTIF(祝日!$A:$A,A458)&gt;0,"祝",CHOOSE(WEEKDAY(A458,2),"月","火","水","木","金","土","日")),"")</f>
        <v/>
      </c>
    </row>
    <row r="459" customFormat="false" ht="15" hidden="false" customHeight="false" outlineLevel="0" collapsed="false">
      <c r="Z459" s="38" t="str">
        <f aca="false">IF(ISNUMBER(A459),IF(COUNTIF(祝日!$A:$A,A459)&gt;0,"祝",CHOOSE(WEEKDAY(A459,2),"月","火","水","木","金","土","日")),"")</f>
        <v/>
      </c>
    </row>
    <row r="460" customFormat="false" ht="15" hidden="false" customHeight="false" outlineLevel="0" collapsed="false">
      <c r="Z460" s="38" t="str">
        <f aca="false">IF(ISNUMBER(A460),IF(COUNTIF(祝日!$A:$A,A460)&gt;0,"祝",CHOOSE(WEEKDAY(A460,2),"月","火","水","木","金","土","日")),"")</f>
        <v/>
      </c>
    </row>
    <row r="461" customFormat="false" ht="15" hidden="false" customHeight="false" outlineLevel="0" collapsed="false">
      <c r="Z461" s="38" t="str">
        <f aca="false">IF(ISNUMBER(A461),IF(COUNTIF(祝日!$A:$A,A461)&gt;0,"祝",CHOOSE(WEEKDAY(A461,2),"月","火","水","木","金","土","日")),"")</f>
        <v/>
      </c>
    </row>
    <row r="462" customFormat="false" ht="15" hidden="false" customHeight="false" outlineLevel="0" collapsed="false">
      <c r="Z462" s="38" t="str">
        <f aca="false">IF(ISNUMBER(A462),IF(COUNTIF(祝日!$A:$A,A462)&gt;0,"祝",CHOOSE(WEEKDAY(A462,2),"月","火","水","木","金","土","日")),"")</f>
        <v/>
      </c>
    </row>
    <row r="463" customFormat="false" ht="15" hidden="false" customHeight="false" outlineLevel="0" collapsed="false">
      <c r="Z463" s="38" t="str">
        <f aca="false">IF(ISNUMBER(A463),IF(COUNTIF(祝日!$A:$A,A463)&gt;0,"祝",CHOOSE(WEEKDAY(A463,2),"月","火","水","木","金","土","日")),"")</f>
        <v/>
      </c>
    </row>
    <row r="464" customFormat="false" ht="15" hidden="false" customHeight="false" outlineLevel="0" collapsed="false">
      <c r="Z464" s="38" t="str">
        <f aca="false">IF(ISNUMBER(A464),IF(COUNTIF(祝日!$A:$A,A464)&gt;0,"祝",CHOOSE(WEEKDAY(A464,2),"月","火","水","木","金","土","日")),"")</f>
        <v/>
      </c>
    </row>
    <row r="465" customFormat="false" ht="15" hidden="false" customHeight="false" outlineLevel="0" collapsed="false">
      <c r="Z465" s="38" t="str">
        <f aca="false">IF(ISNUMBER(A465),IF(COUNTIF(祝日!$A:$A,A465)&gt;0,"祝",CHOOSE(WEEKDAY(A465,2),"月","火","水","木","金","土","日")),"")</f>
        <v/>
      </c>
    </row>
    <row r="466" customFormat="false" ht="15" hidden="false" customHeight="false" outlineLevel="0" collapsed="false">
      <c r="Z466" s="38" t="str">
        <f aca="false">IF(ISNUMBER(A466),IF(COUNTIF(祝日!$A:$A,A466)&gt;0,"祝",CHOOSE(WEEKDAY(A466,2),"月","火","水","木","金","土","日")),"")</f>
        <v/>
      </c>
    </row>
    <row r="467" customFormat="false" ht="15" hidden="false" customHeight="false" outlineLevel="0" collapsed="false">
      <c r="Z467" s="38" t="str">
        <f aca="false">IF(ISNUMBER(A467),IF(COUNTIF(祝日!$A:$A,A467)&gt;0,"祝",CHOOSE(WEEKDAY(A467,2),"月","火","水","木","金","土","日")),"")</f>
        <v/>
      </c>
    </row>
    <row r="468" customFormat="false" ht="15" hidden="false" customHeight="false" outlineLevel="0" collapsed="false">
      <c r="Z468" s="38" t="str">
        <f aca="false">IF(ISNUMBER(A468),IF(COUNTIF(祝日!$A:$A,A468)&gt;0,"祝",CHOOSE(WEEKDAY(A468,2),"月","火","水","木","金","土","日")),"")</f>
        <v/>
      </c>
    </row>
    <row r="469" customFormat="false" ht="15" hidden="false" customHeight="false" outlineLevel="0" collapsed="false">
      <c r="Z469" s="38" t="str">
        <f aca="false">IF(ISNUMBER(A469),IF(COUNTIF(祝日!$A:$A,A469)&gt;0,"祝",CHOOSE(WEEKDAY(A469,2),"月","火","水","木","金","土","日")),"")</f>
        <v/>
      </c>
    </row>
    <row r="470" customFormat="false" ht="15" hidden="false" customHeight="false" outlineLevel="0" collapsed="false">
      <c r="Z470" s="38" t="str">
        <f aca="false">IF(ISNUMBER(A470),IF(COUNTIF(祝日!$A:$A,A470)&gt;0,"祝",CHOOSE(WEEKDAY(A470,2),"月","火","水","木","金","土","日")),"")</f>
        <v/>
      </c>
    </row>
    <row r="471" customFormat="false" ht="15" hidden="false" customHeight="false" outlineLevel="0" collapsed="false">
      <c r="Z471" s="38" t="str">
        <f aca="false">IF(ISNUMBER(A471),IF(COUNTIF(祝日!$A:$A,A471)&gt;0,"祝",CHOOSE(WEEKDAY(A471,2),"月","火","水","木","金","土","日")),"")</f>
        <v/>
      </c>
    </row>
    <row r="472" customFormat="false" ht="15" hidden="false" customHeight="false" outlineLevel="0" collapsed="false">
      <c r="Z472" s="38" t="str">
        <f aca="false">IF(ISNUMBER(A472),IF(COUNTIF(祝日!$A:$A,A472)&gt;0,"祝",CHOOSE(WEEKDAY(A472,2),"月","火","水","木","金","土","日")),"")</f>
        <v/>
      </c>
    </row>
    <row r="473" customFormat="false" ht="15" hidden="false" customHeight="false" outlineLevel="0" collapsed="false">
      <c r="Z473" s="38" t="str">
        <f aca="false">IF(ISNUMBER(A473),IF(COUNTIF(祝日!$A:$A,A473)&gt;0,"祝",CHOOSE(WEEKDAY(A473,2),"月","火","水","木","金","土","日")),"")</f>
        <v/>
      </c>
    </row>
    <row r="474" customFormat="false" ht="15" hidden="false" customHeight="false" outlineLevel="0" collapsed="false">
      <c r="Z474" s="38" t="str">
        <f aca="false">IF(ISNUMBER(A474),IF(COUNTIF(祝日!$A:$A,A474)&gt;0,"祝",CHOOSE(WEEKDAY(A474,2),"月","火","水","木","金","土","日")),"")</f>
        <v/>
      </c>
    </row>
    <row r="475" customFormat="false" ht="15" hidden="false" customHeight="false" outlineLevel="0" collapsed="false">
      <c r="Z475" s="38" t="str">
        <f aca="false">IF(ISNUMBER(A475),IF(COUNTIF(祝日!$A:$A,A475)&gt;0,"祝",CHOOSE(WEEKDAY(A475,2),"月","火","水","木","金","土","日")),"")</f>
        <v/>
      </c>
    </row>
    <row r="476" customFormat="false" ht="15" hidden="false" customHeight="false" outlineLevel="0" collapsed="false">
      <c r="Z476" s="38" t="str">
        <f aca="false">IF(ISNUMBER(A476),IF(COUNTIF(祝日!$A:$A,A476)&gt;0,"祝",CHOOSE(WEEKDAY(A476,2),"月","火","水","木","金","土","日")),"")</f>
        <v/>
      </c>
    </row>
    <row r="477" customFormat="false" ht="15" hidden="false" customHeight="false" outlineLevel="0" collapsed="false">
      <c r="Z477" s="38" t="str">
        <f aca="false">IF(ISNUMBER(A477),IF(COUNTIF(祝日!$A:$A,A477)&gt;0,"祝",CHOOSE(WEEKDAY(A477,2),"月","火","水","木","金","土","日")),"")</f>
        <v/>
      </c>
    </row>
    <row r="478" customFormat="false" ht="15" hidden="false" customHeight="false" outlineLevel="0" collapsed="false">
      <c r="Z478" s="38" t="str">
        <f aca="false">IF(ISNUMBER(A478),IF(COUNTIF(祝日!$A:$A,A478)&gt;0,"祝",CHOOSE(WEEKDAY(A478,2),"月","火","水","木","金","土","日")),"")</f>
        <v/>
      </c>
    </row>
    <row r="479" customFormat="false" ht="15" hidden="false" customHeight="false" outlineLevel="0" collapsed="false">
      <c r="Z479" s="38" t="str">
        <f aca="false">IF(ISNUMBER(A479),IF(COUNTIF(祝日!$A:$A,A479)&gt;0,"祝",CHOOSE(WEEKDAY(A479,2),"月","火","水","木","金","土","日")),"")</f>
        <v/>
      </c>
    </row>
    <row r="480" customFormat="false" ht="15" hidden="false" customHeight="false" outlineLevel="0" collapsed="false">
      <c r="Z480" s="38" t="str">
        <f aca="false">IF(ISNUMBER(A480),IF(COUNTIF(祝日!$A:$A,A480)&gt;0,"祝",CHOOSE(WEEKDAY(A480,2),"月","火","水","木","金","土","日")),"")</f>
        <v/>
      </c>
    </row>
    <row r="481" customFormat="false" ht="15" hidden="false" customHeight="false" outlineLevel="0" collapsed="false">
      <c r="Z481" s="38" t="str">
        <f aca="false">IF(ISNUMBER(A481),IF(COUNTIF(祝日!$A:$A,A481)&gt;0,"祝",CHOOSE(WEEKDAY(A481,2),"月","火","水","木","金","土","日")),"")</f>
        <v/>
      </c>
    </row>
    <row r="482" customFormat="false" ht="15" hidden="false" customHeight="false" outlineLevel="0" collapsed="false">
      <c r="Z482" s="38" t="str">
        <f aca="false">IF(ISNUMBER(A482),IF(COUNTIF(祝日!$A:$A,A482)&gt;0,"祝",CHOOSE(WEEKDAY(A482,2),"月","火","水","木","金","土","日")),"")</f>
        <v/>
      </c>
    </row>
    <row r="483" customFormat="false" ht="15" hidden="false" customHeight="false" outlineLevel="0" collapsed="false">
      <c r="Z483" s="38" t="str">
        <f aca="false">IF(ISNUMBER(A483),IF(COUNTIF(祝日!$A:$A,A483)&gt;0,"祝",CHOOSE(WEEKDAY(A483,2),"月","火","水","木","金","土","日")),"")</f>
        <v/>
      </c>
    </row>
    <row r="484" customFormat="false" ht="15" hidden="false" customHeight="false" outlineLevel="0" collapsed="false">
      <c r="Z484" s="38" t="str">
        <f aca="false">IF(ISNUMBER(A484),IF(COUNTIF(祝日!$A:$A,A484)&gt;0,"祝",CHOOSE(WEEKDAY(A484,2),"月","火","水","木","金","土","日")),"")</f>
        <v/>
      </c>
    </row>
    <row r="485" customFormat="false" ht="15" hidden="false" customHeight="false" outlineLevel="0" collapsed="false">
      <c r="Z485" s="38" t="str">
        <f aca="false">IF(ISNUMBER(A485),IF(COUNTIF(祝日!$A:$A,A485)&gt;0,"祝",CHOOSE(WEEKDAY(A485,2),"月","火","水","木","金","土","日")),"")</f>
        <v/>
      </c>
    </row>
    <row r="486" customFormat="false" ht="15" hidden="false" customHeight="false" outlineLevel="0" collapsed="false">
      <c r="Z486" s="38" t="str">
        <f aca="false">IF(ISNUMBER(A486),IF(COUNTIF(祝日!$A:$A,A486)&gt;0,"祝",CHOOSE(WEEKDAY(A486,2),"月","火","水","木","金","土","日")),"")</f>
        <v/>
      </c>
    </row>
    <row r="487" customFormat="false" ht="15" hidden="false" customHeight="false" outlineLevel="0" collapsed="false">
      <c r="Z487" s="38" t="str">
        <f aca="false">IF(ISNUMBER(A487),IF(COUNTIF(祝日!$A:$A,A487)&gt;0,"祝",CHOOSE(WEEKDAY(A487,2),"月","火","水","木","金","土","日")),"")</f>
        <v/>
      </c>
    </row>
    <row r="488" customFormat="false" ht="15" hidden="false" customHeight="false" outlineLevel="0" collapsed="false">
      <c r="Z488" s="38" t="str">
        <f aca="false">IF(ISNUMBER(A488),IF(COUNTIF(祝日!$A:$A,A488)&gt;0,"祝",CHOOSE(WEEKDAY(A488,2),"月","火","水","木","金","土","日")),"")</f>
        <v/>
      </c>
    </row>
    <row r="489" customFormat="false" ht="15" hidden="false" customHeight="false" outlineLevel="0" collapsed="false">
      <c r="Z489" s="38" t="str">
        <f aca="false">IF(ISNUMBER(A489),IF(COUNTIF(祝日!$A:$A,A489)&gt;0,"祝",CHOOSE(WEEKDAY(A489,2),"月","火","水","木","金","土","日")),"")</f>
        <v/>
      </c>
    </row>
    <row r="490" customFormat="false" ht="15" hidden="false" customHeight="false" outlineLevel="0" collapsed="false">
      <c r="Z490" s="38" t="str">
        <f aca="false">IF(ISNUMBER(A490),IF(COUNTIF(祝日!$A:$A,A490)&gt;0,"祝",CHOOSE(WEEKDAY(A490,2),"月","火","水","木","金","土","日")),"")</f>
        <v/>
      </c>
    </row>
    <row r="491" customFormat="false" ht="15" hidden="false" customHeight="false" outlineLevel="0" collapsed="false">
      <c r="Z491" s="38" t="str">
        <f aca="false">IF(ISNUMBER(A491),IF(COUNTIF(祝日!$A:$A,A491)&gt;0,"祝",CHOOSE(WEEKDAY(A491,2),"月","火","水","木","金","土","日")),"")</f>
        <v/>
      </c>
    </row>
    <row r="492" customFormat="false" ht="15" hidden="false" customHeight="false" outlineLevel="0" collapsed="false">
      <c r="Z492" s="38" t="str">
        <f aca="false">IF(ISNUMBER(A492),IF(COUNTIF(祝日!$A:$A,A492)&gt;0,"祝",CHOOSE(WEEKDAY(A492,2),"月","火","水","木","金","土","日")),"")</f>
        <v/>
      </c>
    </row>
    <row r="493" customFormat="false" ht="15" hidden="false" customHeight="false" outlineLevel="0" collapsed="false">
      <c r="Z493" s="38" t="str">
        <f aca="false">IF(ISNUMBER(A493),IF(COUNTIF(祝日!$A:$A,A493)&gt;0,"祝",CHOOSE(WEEKDAY(A493,2),"月","火","水","木","金","土","日")),"")</f>
        <v/>
      </c>
    </row>
    <row r="494" customFormat="false" ht="15" hidden="false" customHeight="false" outlineLevel="0" collapsed="false">
      <c r="Z494" s="38" t="str">
        <f aca="false">IF(ISNUMBER(A494),IF(COUNTIF(祝日!$A:$A,A494)&gt;0,"祝",CHOOSE(WEEKDAY(A494,2),"月","火","水","木","金","土","日")),"")</f>
        <v/>
      </c>
    </row>
    <row r="495" customFormat="false" ht="15" hidden="false" customHeight="false" outlineLevel="0" collapsed="false">
      <c r="Z495" s="38" t="str">
        <f aca="false">IF(ISNUMBER(A495),IF(COUNTIF(祝日!$A:$A,A495)&gt;0,"祝",CHOOSE(WEEKDAY(A495,2),"月","火","水","木","金","土","日")),"")</f>
        <v/>
      </c>
    </row>
    <row r="496" customFormat="false" ht="15" hidden="false" customHeight="false" outlineLevel="0" collapsed="false">
      <c r="Z496" s="38" t="str">
        <f aca="false">IF(ISNUMBER(A496),IF(COUNTIF(祝日!$A:$A,A496)&gt;0,"祝",CHOOSE(WEEKDAY(A496,2),"月","火","水","木","金","土","日")),"")</f>
        <v/>
      </c>
    </row>
    <row r="497" customFormat="false" ht="15" hidden="false" customHeight="false" outlineLevel="0" collapsed="false">
      <c r="Z497" s="38" t="str">
        <f aca="false">IF(ISNUMBER(A497),IF(COUNTIF(祝日!$A:$A,A497)&gt;0,"祝",CHOOSE(WEEKDAY(A497,2),"月","火","水","木","金","土","日")),"")</f>
        <v/>
      </c>
    </row>
    <row r="498" customFormat="false" ht="15" hidden="false" customHeight="false" outlineLevel="0" collapsed="false">
      <c r="Z498" s="38" t="str">
        <f aca="false">IF(ISNUMBER(A498),IF(COUNTIF(祝日!$A:$A,A498)&gt;0,"祝",CHOOSE(WEEKDAY(A498,2),"月","火","水","木","金","土","日")),"")</f>
        <v/>
      </c>
    </row>
    <row r="499" customFormat="false" ht="15" hidden="false" customHeight="false" outlineLevel="0" collapsed="false">
      <c r="Z499" s="38" t="str">
        <f aca="false">IF(ISNUMBER(A499),IF(COUNTIF(祝日!$A:$A,A499)&gt;0,"祝",CHOOSE(WEEKDAY(A499,2),"月","火","水","木","金","土","日")),"")</f>
        <v/>
      </c>
    </row>
    <row r="500" customFormat="false" ht="15" hidden="false" customHeight="false" outlineLevel="0" collapsed="false">
      <c r="Z500" s="38" t="str">
        <f aca="false">IF(ISNUMBER(A500),IF(COUNTIF(祝日!$A:$A,A500)&gt;0,"祝",CHOOSE(WEEKDAY(A500,2),"月","火","水","木","金","土","日")),"")</f>
        <v/>
      </c>
    </row>
    <row r="501" customFormat="false" ht="15" hidden="false" customHeight="false" outlineLevel="0" collapsed="false">
      <c r="Z501" s="38" t="str">
        <f aca="false">IF(ISNUMBER(A501),IF(COUNTIF(祝日!$A:$A,A501)&gt;0,"祝",CHOOSE(WEEKDAY(A501,2),"月","火","水","木","金","土","日")),"")</f>
        <v/>
      </c>
    </row>
    <row r="502" customFormat="false" ht="15" hidden="false" customHeight="false" outlineLevel="0" collapsed="false">
      <c r="Z502" s="38" t="str">
        <f aca="false">IF(ISNUMBER(A502),IF(COUNTIF(祝日!$A:$A,A502)&gt;0,"祝",CHOOSE(WEEKDAY(A502,2),"月","火","水","木","金","土","日")),"")</f>
        <v/>
      </c>
    </row>
    <row r="503" customFormat="false" ht="15" hidden="false" customHeight="false" outlineLevel="0" collapsed="false">
      <c r="Z503" s="38" t="str">
        <f aca="false">IF(ISNUMBER(A503),IF(COUNTIF(祝日!$A:$A,A503)&gt;0,"祝",CHOOSE(WEEKDAY(A503,2),"月","火","水","木","金","土","日")),"")</f>
        <v/>
      </c>
    </row>
    <row r="504" customFormat="false" ht="15" hidden="false" customHeight="false" outlineLevel="0" collapsed="false">
      <c r="Z504" s="38" t="str">
        <f aca="false">IF(ISNUMBER(A504),IF(COUNTIF(祝日!$A:$A,A504)&gt;0,"祝",CHOOSE(WEEKDAY(A504,2),"月","火","水","木","金","土","日")),"")</f>
        <v/>
      </c>
    </row>
    <row r="505" customFormat="false" ht="15" hidden="false" customHeight="false" outlineLevel="0" collapsed="false">
      <c r="Z505" s="38" t="str">
        <f aca="false">IF(ISNUMBER(A505),IF(COUNTIF(祝日!$A:$A,A505)&gt;0,"祝",CHOOSE(WEEKDAY(A505,2),"月","火","水","木","金","土","日")),"")</f>
        <v/>
      </c>
    </row>
    <row r="506" customFormat="false" ht="15" hidden="false" customHeight="false" outlineLevel="0" collapsed="false">
      <c r="Z506" s="38" t="str">
        <f aca="false">IF(ISNUMBER(A506),IF(COUNTIF(祝日!$A:$A,A506)&gt;0,"祝",CHOOSE(WEEKDAY(A506,2),"月","火","水","木","金","土","日")),"")</f>
        <v/>
      </c>
    </row>
    <row r="507" customFormat="false" ht="15" hidden="false" customHeight="false" outlineLevel="0" collapsed="false">
      <c r="Z507" s="38" t="str">
        <f aca="false">IF(ISNUMBER(A507),IF(COUNTIF(祝日!$A:$A,A507)&gt;0,"祝",CHOOSE(WEEKDAY(A507,2),"月","火","水","木","金","土","日")),"")</f>
        <v/>
      </c>
    </row>
    <row r="508" customFormat="false" ht="15" hidden="false" customHeight="false" outlineLevel="0" collapsed="false">
      <c r="Z508" s="38" t="str">
        <f aca="false">IF(ISNUMBER(A508),IF(COUNTIF(祝日!$A:$A,A508)&gt;0,"祝",CHOOSE(WEEKDAY(A508,2),"月","火","水","木","金","土","日")),"")</f>
        <v/>
      </c>
    </row>
    <row r="509" customFormat="false" ht="15" hidden="false" customHeight="false" outlineLevel="0" collapsed="false">
      <c r="Z509" s="38" t="str">
        <f aca="false">IF(ISNUMBER(A509),IF(COUNTIF(祝日!$A:$A,A509)&gt;0,"祝",CHOOSE(WEEKDAY(A509,2),"月","火","水","木","金","土","日")),"")</f>
        <v/>
      </c>
    </row>
    <row r="510" customFormat="false" ht="15" hidden="false" customHeight="false" outlineLevel="0" collapsed="false">
      <c r="Z510" s="38" t="str">
        <f aca="false">IF(ISNUMBER(A510),IF(COUNTIF(祝日!$A:$A,A510)&gt;0,"祝",CHOOSE(WEEKDAY(A510,2),"月","火","水","木","金","土","日")),"")</f>
        <v/>
      </c>
    </row>
    <row r="511" customFormat="false" ht="15" hidden="false" customHeight="false" outlineLevel="0" collapsed="false">
      <c r="Z511" s="38" t="str">
        <f aca="false">IF(ISNUMBER(A511),IF(COUNTIF(祝日!$A:$A,A511)&gt;0,"祝",CHOOSE(WEEKDAY(A511,2),"月","火","水","木","金","土","日")),"")</f>
        <v/>
      </c>
    </row>
    <row r="512" customFormat="false" ht="15" hidden="false" customHeight="false" outlineLevel="0" collapsed="false">
      <c r="Z512" s="38" t="str">
        <f aca="false">IF(ISNUMBER(A512),IF(COUNTIF(祝日!$A:$A,A512)&gt;0,"祝",CHOOSE(WEEKDAY(A512,2),"月","火","水","木","金","土","日")),"")</f>
        <v/>
      </c>
    </row>
    <row r="513" customFormat="false" ht="15" hidden="false" customHeight="false" outlineLevel="0" collapsed="false">
      <c r="Z513" s="38" t="str">
        <f aca="false">IF(ISNUMBER(A513),IF(COUNTIF(祝日!$A:$A,A513)&gt;0,"祝",CHOOSE(WEEKDAY(A513,2),"月","火","水","木","金","土","日")),"")</f>
        <v/>
      </c>
    </row>
    <row r="514" customFormat="false" ht="15" hidden="false" customHeight="false" outlineLevel="0" collapsed="false">
      <c r="Z514" s="38" t="str">
        <f aca="false">IF(ISNUMBER(A514),IF(COUNTIF(祝日!$A:$A,A514)&gt;0,"祝",CHOOSE(WEEKDAY(A514,2),"月","火","水","木","金","土","日")),"")</f>
        <v/>
      </c>
    </row>
    <row r="515" customFormat="false" ht="15" hidden="false" customHeight="false" outlineLevel="0" collapsed="false">
      <c r="Z515" s="38" t="str">
        <f aca="false">IF(ISNUMBER(A515),IF(COUNTIF(祝日!$A:$A,A515)&gt;0,"祝",CHOOSE(WEEKDAY(A515,2),"月","火","水","木","金","土","日")),"")</f>
        <v/>
      </c>
    </row>
    <row r="516" customFormat="false" ht="15" hidden="false" customHeight="false" outlineLevel="0" collapsed="false">
      <c r="Z516" s="38" t="str">
        <f aca="false">IF(ISNUMBER(A516),IF(COUNTIF(祝日!$A:$A,A516)&gt;0,"祝",CHOOSE(WEEKDAY(A516,2),"月","火","水","木","金","土","日")),"")</f>
        <v/>
      </c>
    </row>
    <row r="517" customFormat="false" ht="15" hidden="false" customHeight="false" outlineLevel="0" collapsed="false">
      <c r="Z517" s="38" t="str">
        <f aca="false">IF(ISNUMBER(A517),IF(COUNTIF(祝日!$A:$A,A517)&gt;0,"祝",CHOOSE(WEEKDAY(A517,2),"月","火","水","木","金","土","日")),"")</f>
        <v/>
      </c>
    </row>
    <row r="518" customFormat="false" ht="15" hidden="false" customHeight="false" outlineLevel="0" collapsed="false">
      <c r="Z518" s="38" t="str">
        <f aca="false">IF(ISNUMBER(A518),IF(COUNTIF(祝日!$A:$A,A518)&gt;0,"祝",CHOOSE(WEEKDAY(A518,2),"月","火","水","木","金","土","日")),"")</f>
        <v/>
      </c>
    </row>
    <row r="519" customFormat="false" ht="15" hidden="false" customHeight="false" outlineLevel="0" collapsed="false">
      <c r="Z519" s="38" t="str">
        <f aca="false">IF(ISNUMBER(A519),IF(COUNTIF(祝日!$A:$A,A519)&gt;0,"祝",CHOOSE(WEEKDAY(A519,2),"月","火","水","木","金","土","日")),"")</f>
        <v/>
      </c>
    </row>
    <row r="520" customFormat="false" ht="15" hidden="false" customHeight="false" outlineLevel="0" collapsed="false">
      <c r="Z520" s="38" t="str">
        <f aca="false">IF(ISNUMBER(A520),IF(COUNTIF(祝日!$A:$A,A520)&gt;0,"祝",CHOOSE(WEEKDAY(A520,2),"月","火","水","木","金","土","日")),"")</f>
        <v/>
      </c>
    </row>
    <row r="521" customFormat="false" ht="15" hidden="false" customHeight="false" outlineLevel="0" collapsed="false">
      <c r="Z521" s="38" t="str">
        <f aca="false">IF(ISNUMBER(A521),IF(COUNTIF(祝日!$A:$A,A521)&gt;0,"祝",CHOOSE(WEEKDAY(A521,2),"月","火","水","木","金","土","日")),"")</f>
        <v/>
      </c>
    </row>
    <row r="522" customFormat="false" ht="15" hidden="false" customHeight="false" outlineLevel="0" collapsed="false">
      <c r="Z522" s="38" t="str">
        <f aca="false">IF(ISNUMBER(A522),IF(COUNTIF(祝日!$A:$A,A522)&gt;0,"祝",CHOOSE(WEEKDAY(A522,2),"月","火","水","木","金","土","日")),"")</f>
        <v/>
      </c>
    </row>
    <row r="523" customFormat="false" ht="15" hidden="false" customHeight="false" outlineLevel="0" collapsed="false">
      <c r="Z523" s="38" t="str">
        <f aca="false">IF(ISNUMBER(A523),IF(COUNTIF(祝日!$A:$A,A523)&gt;0,"祝",CHOOSE(WEEKDAY(A523,2),"月","火","水","木","金","土","日")),"")</f>
        <v/>
      </c>
    </row>
    <row r="524" customFormat="false" ht="15" hidden="false" customHeight="false" outlineLevel="0" collapsed="false">
      <c r="Z524" s="38" t="str">
        <f aca="false">IF(ISNUMBER(A524),IF(COUNTIF(祝日!$A:$A,A524)&gt;0,"祝",CHOOSE(WEEKDAY(A524,2),"月","火","水","木","金","土","日")),"")</f>
        <v/>
      </c>
    </row>
    <row r="525" customFormat="false" ht="15" hidden="false" customHeight="false" outlineLevel="0" collapsed="false">
      <c r="Z525" s="38" t="str">
        <f aca="false">IF(ISNUMBER(A525),IF(COUNTIF(祝日!$A:$A,A525)&gt;0,"祝",CHOOSE(WEEKDAY(A525,2),"月","火","水","木","金","土","日")),"")</f>
        <v/>
      </c>
    </row>
    <row r="526" customFormat="false" ht="15" hidden="false" customHeight="false" outlineLevel="0" collapsed="false">
      <c r="Z526" s="38" t="str">
        <f aca="false">IF(ISNUMBER(A526),IF(COUNTIF(祝日!$A:$A,A526)&gt;0,"祝",CHOOSE(WEEKDAY(A526,2),"月","火","水","木","金","土","日")),"")</f>
        <v/>
      </c>
    </row>
    <row r="527" customFormat="false" ht="15" hidden="false" customHeight="false" outlineLevel="0" collapsed="false">
      <c r="Z527" s="38" t="str">
        <f aca="false">IF(ISNUMBER(A527),IF(COUNTIF(祝日!$A:$A,A527)&gt;0,"祝",CHOOSE(WEEKDAY(A527,2),"月","火","水","木","金","土","日")),"")</f>
        <v/>
      </c>
    </row>
    <row r="528" customFormat="false" ht="15" hidden="false" customHeight="false" outlineLevel="0" collapsed="false">
      <c r="Z528" s="38" t="str">
        <f aca="false">IF(ISNUMBER(A528),IF(COUNTIF(祝日!$A:$A,A528)&gt;0,"祝",CHOOSE(WEEKDAY(A528,2),"月","火","水","木","金","土","日")),"")</f>
        <v/>
      </c>
    </row>
    <row r="529" customFormat="false" ht="15" hidden="false" customHeight="false" outlineLevel="0" collapsed="false">
      <c r="Z529" s="38" t="str">
        <f aca="false">IF(ISNUMBER(A529),IF(COUNTIF(祝日!$A:$A,A529)&gt;0,"祝",CHOOSE(WEEKDAY(A529,2),"月","火","水","木","金","土","日")),"")</f>
        <v/>
      </c>
    </row>
    <row r="530" customFormat="false" ht="15" hidden="false" customHeight="false" outlineLevel="0" collapsed="false">
      <c r="Z530" s="38" t="str">
        <f aca="false">IF(ISNUMBER(A530),IF(COUNTIF(祝日!$A:$A,A530)&gt;0,"祝",CHOOSE(WEEKDAY(A530,2),"月","火","水","木","金","土","日")),"")</f>
        <v/>
      </c>
    </row>
    <row r="531" customFormat="false" ht="15" hidden="false" customHeight="false" outlineLevel="0" collapsed="false">
      <c r="Z531" s="38" t="str">
        <f aca="false">IF(ISNUMBER(A531),IF(COUNTIF(祝日!$A:$A,A531)&gt;0,"祝",CHOOSE(WEEKDAY(A531,2),"月","火","水","木","金","土","日")),"")</f>
        <v/>
      </c>
    </row>
    <row r="532" customFormat="false" ht="15" hidden="false" customHeight="false" outlineLevel="0" collapsed="false">
      <c r="Z532" s="38" t="str">
        <f aca="false">IF(ISNUMBER(A532),IF(COUNTIF(祝日!$A:$A,A532)&gt;0,"祝",CHOOSE(WEEKDAY(A532,2),"月","火","水","木","金","土","日")),"")</f>
        <v/>
      </c>
    </row>
    <row r="533" customFormat="false" ht="15" hidden="false" customHeight="false" outlineLevel="0" collapsed="false">
      <c r="Z533" s="38" t="str">
        <f aca="false">IF(ISNUMBER(A533),IF(COUNTIF(祝日!$A:$A,A533)&gt;0,"祝",CHOOSE(WEEKDAY(A533,2),"月","火","水","木","金","土","日")),"")</f>
        <v/>
      </c>
    </row>
    <row r="534" customFormat="false" ht="15" hidden="false" customHeight="false" outlineLevel="0" collapsed="false">
      <c r="Z534" s="38" t="str">
        <f aca="false">IF(ISNUMBER(A534),IF(COUNTIF(祝日!$A:$A,A534)&gt;0,"祝",CHOOSE(WEEKDAY(A534,2),"月","火","水","木","金","土","日")),"")</f>
        <v/>
      </c>
    </row>
    <row r="535" customFormat="false" ht="15" hidden="false" customHeight="false" outlineLevel="0" collapsed="false">
      <c r="Z535" s="38" t="str">
        <f aca="false">IF(ISNUMBER(A535),IF(COUNTIF(祝日!$A:$A,A535)&gt;0,"祝",CHOOSE(WEEKDAY(A535,2),"月","火","水","木","金","土","日")),"")</f>
        <v/>
      </c>
    </row>
    <row r="536" customFormat="false" ht="15" hidden="false" customHeight="false" outlineLevel="0" collapsed="false">
      <c r="Z536" s="38" t="str">
        <f aca="false">IF(ISNUMBER(A536),IF(COUNTIF(祝日!$A:$A,A536)&gt;0,"祝",CHOOSE(WEEKDAY(A536,2),"月","火","水","木","金","土","日")),"")</f>
        <v/>
      </c>
    </row>
    <row r="537" customFormat="false" ht="15" hidden="false" customHeight="false" outlineLevel="0" collapsed="false">
      <c r="Z537" s="38" t="str">
        <f aca="false">IF(ISNUMBER(A537),IF(COUNTIF(祝日!$A:$A,A537)&gt;0,"祝",CHOOSE(WEEKDAY(A537,2),"月","火","水","木","金","土","日")),"")</f>
        <v/>
      </c>
    </row>
    <row r="538" customFormat="false" ht="15" hidden="false" customHeight="false" outlineLevel="0" collapsed="false">
      <c r="Z538" s="38" t="str">
        <f aca="false">IF(ISNUMBER(A538),IF(COUNTIF(祝日!$A:$A,A538)&gt;0,"祝",CHOOSE(WEEKDAY(A538,2),"月","火","水","木","金","土","日")),"")</f>
        <v/>
      </c>
    </row>
    <row r="539" customFormat="false" ht="15" hidden="false" customHeight="false" outlineLevel="0" collapsed="false">
      <c r="Z539" s="38" t="str">
        <f aca="false">IF(ISNUMBER(A539),IF(COUNTIF(祝日!$A:$A,A539)&gt;0,"祝",CHOOSE(WEEKDAY(A539,2),"月","火","水","木","金","土","日")),"")</f>
        <v/>
      </c>
    </row>
    <row r="540" customFormat="false" ht="15" hidden="false" customHeight="false" outlineLevel="0" collapsed="false">
      <c r="Z540" s="38" t="str">
        <f aca="false">IF(ISNUMBER(A540),IF(COUNTIF(祝日!$A:$A,A540)&gt;0,"祝",CHOOSE(WEEKDAY(A540,2),"月","火","水","木","金","土","日")),"")</f>
        <v/>
      </c>
    </row>
    <row r="541" customFormat="false" ht="15" hidden="false" customHeight="false" outlineLevel="0" collapsed="false">
      <c r="Z541" s="38" t="str">
        <f aca="false">IF(ISNUMBER(A541),IF(COUNTIF(祝日!$A:$A,A541)&gt;0,"祝",CHOOSE(WEEKDAY(A541,2),"月","火","水","木","金","土","日")),"")</f>
        <v/>
      </c>
    </row>
    <row r="542" customFormat="false" ht="15" hidden="false" customHeight="false" outlineLevel="0" collapsed="false">
      <c r="Z542" s="38" t="str">
        <f aca="false">IF(ISNUMBER(A542),IF(COUNTIF(祝日!$A:$A,A542)&gt;0,"祝",CHOOSE(WEEKDAY(A542,2),"月","火","水","木","金","土","日")),"")</f>
        <v/>
      </c>
    </row>
    <row r="543" customFormat="false" ht="15" hidden="false" customHeight="false" outlineLevel="0" collapsed="false">
      <c r="Z543" s="38" t="str">
        <f aca="false">IF(ISNUMBER(A543),IF(COUNTIF(祝日!$A:$A,A543)&gt;0,"祝",CHOOSE(WEEKDAY(A543,2),"月","火","水","木","金","土","日")),"")</f>
        <v/>
      </c>
    </row>
    <row r="544" customFormat="false" ht="15" hidden="false" customHeight="false" outlineLevel="0" collapsed="false">
      <c r="Z544" s="38" t="str">
        <f aca="false">IF(ISNUMBER(A544),IF(COUNTIF(祝日!$A:$A,A544)&gt;0,"祝",CHOOSE(WEEKDAY(A544,2),"月","火","水","木","金","土","日")),"")</f>
        <v/>
      </c>
    </row>
    <row r="545" customFormat="false" ht="15" hidden="false" customHeight="false" outlineLevel="0" collapsed="false">
      <c r="Z545" s="38" t="str">
        <f aca="false">IF(ISNUMBER(A545),IF(COUNTIF(祝日!$A:$A,A545)&gt;0,"祝",CHOOSE(WEEKDAY(A545,2),"月","火","水","木","金","土","日")),"")</f>
        <v/>
      </c>
    </row>
    <row r="546" customFormat="false" ht="15" hidden="false" customHeight="false" outlineLevel="0" collapsed="false">
      <c r="Z546" s="38" t="str">
        <f aca="false">IF(ISNUMBER(A546),IF(COUNTIF(祝日!$A:$A,A546)&gt;0,"祝",CHOOSE(WEEKDAY(A546,2),"月","火","水","木","金","土","日")),"")</f>
        <v/>
      </c>
    </row>
    <row r="547" customFormat="false" ht="15" hidden="false" customHeight="false" outlineLevel="0" collapsed="false">
      <c r="Z547" s="38" t="str">
        <f aca="false">IF(ISNUMBER(A547),IF(COUNTIF(祝日!$A:$A,A547)&gt;0,"祝",CHOOSE(WEEKDAY(A547,2),"月","火","水","木","金","土","日")),"")</f>
        <v/>
      </c>
    </row>
    <row r="548" customFormat="false" ht="15" hidden="false" customHeight="false" outlineLevel="0" collapsed="false">
      <c r="Z548" s="38" t="str">
        <f aca="false">IF(ISNUMBER(A548),IF(COUNTIF(祝日!$A:$A,A548)&gt;0,"祝",CHOOSE(WEEKDAY(A548,2),"月","火","水","木","金","土","日")),"")</f>
        <v/>
      </c>
    </row>
    <row r="549" customFormat="false" ht="15" hidden="false" customHeight="false" outlineLevel="0" collapsed="false">
      <c r="Z549" s="38" t="str">
        <f aca="false">IF(ISNUMBER(A549),IF(COUNTIF(祝日!$A:$A,A549)&gt;0,"祝",CHOOSE(WEEKDAY(A549,2),"月","火","水","木","金","土","日")),"")</f>
        <v/>
      </c>
    </row>
    <row r="550" customFormat="false" ht="15" hidden="false" customHeight="false" outlineLevel="0" collapsed="false">
      <c r="Z550" s="38" t="str">
        <f aca="false">IF(ISNUMBER(A550),IF(COUNTIF(祝日!$A:$A,A550)&gt;0,"祝",CHOOSE(WEEKDAY(A550,2),"月","火","水","木","金","土","日")),"")</f>
        <v/>
      </c>
    </row>
    <row r="551" customFormat="false" ht="15" hidden="false" customHeight="false" outlineLevel="0" collapsed="false">
      <c r="Z551" s="38" t="str">
        <f aca="false">IF(ISNUMBER(A551),IF(COUNTIF(祝日!$A:$A,A551)&gt;0,"祝",CHOOSE(WEEKDAY(A551,2),"月","火","水","木","金","土","日")),"")</f>
        <v/>
      </c>
    </row>
    <row r="552" customFormat="false" ht="15" hidden="false" customHeight="false" outlineLevel="0" collapsed="false">
      <c r="Z552" s="38" t="str">
        <f aca="false">IF(ISNUMBER(A552),IF(COUNTIF(祝日!$A:$A,A552)&gt;0,"祝",CHOOSE(WEEKDAY(A552,2),"月","火","水","木","金","土","日")),"")</f>
        <v/>
      </c>
    </row>
    <row r="553" customFormat="false" ht="15" hidden="false" customHeight="false" outlineLevel="0" collapsed="false">
      <c r="Z553" s="38" t="str">
        <f aca="false">IF(ISNUMBER(A553),IF(COUNTIF(祝日!$A:$A,A553)&gt;0,"祝",CHOOSE(WEEKDAY(A553,2),"月","火","水","木","金","土","日")),"")</f>
        <v/>
      </c>
    </row>
    <row r="554" customFormat="false" ht="15" hidden="false" customHeight="false" outlineLevel="0" collapsed="false">
      <c r="Z554" s="38" t="str">
        <f aca="false">IF(ISNUMBER(A554),IF(COUNTIF(祝日!$A:$A,A554)&gt;0,"祝",CHOOSE(WEEKDAY(A554,2),"月","火","水","木","金","土","日")),"")</f>
        <v/>
      </c>
    </row>
    <row r="555" customFormat="false" ht="15" hidden="false" customHeight="false" outlineLevel="0" collapsed="false">
      <c r="Z555" s="38" t="str">
        <f aca="false">IF(ISNUMBER(A555),IF(COUNTIF(祝日!$A:$A,A555)&gt;0,"祝",CHOOSE(WEEKDAY(A555,2),"月","火","水","木","金","土","日")),"")</f>
        <v/>
      </c>
    </row>
    <row r="556" customFormat="false" ht="15" hidden="false" customHeight="false" outlineLevel="0" collapsed="false">
      <c r="Z556" s="38" t="str">
        <f aca="false">IF(ISNUMBER(A556),IF(COUNTIF(祝日!$A:$A,A556)&gt;0,"祝",CHOOSE(WEEKDAY(A556,2),"月","火","水","木","金","土","日")),"")</f>
        <v/>
      </c>
    </row>
    <row r="557" customFormat="false" ht="15" hidden="false" customHeight="false" outlineLevel="0" collapsed="false">
      <c r="Z557" s="38" t="str">
        <f aca="false">IF(ISNUMBER(A557),IF(COUNTIF(祝日!$A:$A,A557)&gt;0,"祝",CHOOSE(WEEKDAY(A557,2),"月","火","水","木","金","土","日")),"")</f>
        <v/>
      </c>
    </row>
    <row r="558" customFormat="false" ht="15" hidden="false" customHeight="false" outlineLevel="0" collapsed="false">
      <c r="Z558" s="38" t="str">
        <f aca="false">IF(ISNUMBER(A558),IF(COUNTIF(祝日!$A:$A,A558)&gt;0,"祝",CHOOSE(WEEKDAY(A558,2),"月","火","水","木","金","土","日")),"")</f>
        <v/>
      </c>
    </row>
    <row r="559" customFormat="false" ht="15" hidden="false" customHeight="false" outlineLevel="0" collapsed="false">
      <c r="Z559" s="38" t="str">
        <f aca="false">IF(ISNUMBER(A559),IF(COUNTIF(祝日!$A:$A,A559)&gt;0,"祝",CHOOSE(WEEKDAY(A559,2),"月","火","水","木","金","土","日")),"")</f>
        <v/>
      </c>
    </row>
    <row r="560" customFormat="false" ht="15" hidden="false" customHeight="false" outlineLevel="0" collapsed="false">
      <c r="Z560" s="38" t="str">
        <f aca="false">IF(ISNUMBER(A560),IF(COUNTIF(祝日!$A:$A,A560)&gt;0,"祝",CHOOSE(WEEKDAY(A560,2),"月","火","水","木","金","土","日")),"")</f>
        <v/>
      </c>
    </row>
    <row r="561" customFormat="false" ht="15" hidden="false" customHeight="false" outlineLevel="0" collapsed="false">
      <c r="Z561" s="38" t="str">
        <f aca="false">IF(ISNUMBER(A561),IF(COUNTIF(祝日!$A:$A,A561)&gt;0,"祝",CHOOSE(WEEKDAY(A561,2),"月","火","水","木","金","土","日")),"")</f>
        <v/>
      </c>
    </row>
    <row r="562" customFormat="false" ht="15" hidden="false" customHeight="false" outlineLevel="0" collapsed="false">
      <c r="Z562" s="38" t="str">
        <f aca="false">IF(ISNUMBER(A562),IF(COUNTIF(祝日!$A:$A,A562)&gt;0,"祝",CHOOSE(WEEKDAY(A562,2),"月","火","水","木","金","土","日")),"")</f>
        <v/>
      </c>
    </row>
    <row r="563" customFormat="false" ht="15" hidden="false" customHeight="false" outlineLevel="0" collapsed="false">
      <c r="Z563" s="38" t="str">
        <f aca="false">IF(ISNUMBER(A563),IF(COUNTIF(祝日!$A:$A,A563)&gt;0,"祝",CHOOSE(WEEKDAY(A563,2),"月","火","水","木","金","土","日")),"")</f>
        <v/>
      </c>
    </row>
    <row r="564" customFormat="false" ht="15" hidden="false" customHeight="false" outlineLevel="0" collapsed="false">
      <c r="Z564" s="38" t="str">
        <f aca="false">IF(ISNUMBER(A564),IF(COUNTIF(祝日!$A:$A,A564)&gt;0,"祝",CHOOSE(WEEKDAY(A564,2),"月","火","水","木","金","土","日")),"")</f>
        <v/>
      </c>
    </row>
    <row r="565" customFormat="false" ht="15" hidden="false" customHeight="false" outlineLevel="0" collapsed="false">
      <c r="Z565" s="38" t="str">
        <f aca="false">IF(ISNUMBER(A565),IF(COUNTIF(祝日!$A:$A,A565)&gt;0,"祝",CHOOSE(WEEKDAY(A565,2),"月","火","水","木","金","土","日")),"")</f>
        <v/>
      </c>
    </row>
    <row r="566" customFormat="false" ht="15" hidden="false" customHeight="false" outlineLevel="0" collapsed="false">
      <c r="Z566" s="38" t="str">
        <f aca="false">IF(ISNUMBER(A566),IF(COUNTIF(祝日!$A:$A,A566)&gt;0,"祝",CHOOSE(WEEKDAY(A566,2),"月","火","水","木","金","土","日")),"")</f>
        <v/>
      </c>
    </row>
    <row r="567" customFormat="false" ht="15" hidden="false" customHeight="false" outlineLevel="0" collapsed="false">
      <c r="Z567" s="38" t="str">
        <f aca="false">IF(ISNUMBER(A567),IF(COUNTIF(祝日!$A:$A,A567)&gt;0,"祝",CHOOSE(WEEKDAY(A567,2),"月","火","水","木","金","土","日")),"")</f>
        <v/>
      </c>
    </row>
    <row r="568" customFormat="false" ht="15" hidden="false" customHeight="false" outlineLevel="0" collapsed="false">
      <c r="Z568" s="38" t="str">
        <f aca="false">IF(ISNUMBER(A568),IF(COUNTIF(祝日!$A:$A,A568)&gt;0,"祝",CHOOSE(WEEKDAY(A568,2),"月","火","水","木","金","土","日")),"")</f>
        <v/>
      </c>
    </row>
    <row r="569" customFormat="false" ht="15" hidden="false" customHeight="false" outlineLevel="0" collapsed="false">
      <c r="Z569" s="38" t="str">
        <f aca="false">IF(ISNUMBER(A569),IF(COUNTIF(祝日!$A:$A,A569)&gt;0,"祝",CHOOSE(WEEKDAY(A569,2),"月","火","水","木","金","土","日")),"")</f>
        <v/>
      </c>
    </row>
    <row r="570" customFormat="false" ht="15" hidden="false" customHeight="false" outlineLevel="0" collapsed="false">
      <c r="Z570" s="38" t="str">
        <f aca="false">IF(ISNUMBER(A570),IF(COUNTIF(祝日!$A:$A,A570)&gt;0,"祝",CHOOSE(WEEKDAY(A570,2),"月","火","水","木","金","土","日")),"")</f>
        <v/>
      </c>
    </row>
    <row r="571" customFormat="false" ht="15" hidden="false" customHeight="false" outlineLevel="0" collapsed="false">
      <c r="Z571" s="38" t="str">
        <f aca="false">IF(ISNUMBER(A571),IF(COUNTIF(祝日!$A:$A,A571)&gt;0,"祝",CHOOSE(WEEKDAY(A571,2),"月","火","水","木","金","土","日")),"")</f>
        <v/>
      </c>
    </row>
    <row r="572" customFormat="false" ht="15" hidden="false" customHeight="false" outlineLevel="0" collapsed="false">
      <c r="Z572" s="38" t="str">
        <f aca="false">IF(ISNUMBER(A572),IF(COUNTIF(祝日!$A:$A,A572)&gt;0,"祝",CHOOSE(WEEKDAY(A572,2),"月","火","水","木","金","土","日")),"")</f>
        <v/>
      </c>
    </row>
    <row r="573" customFormat="false" ht="15" hidden="false" customHeight="false" outlineLevel="0" collapsed="false">
      <c r="Z573" s="38" t="str">
        <f aca="false">IF(ISNUMBER(A573),IF(COUNTIF(祝日!$A:$A,A573)&gt;0,"祝",CHOOSE(WEEKDAY(A573,2),"月","火","水","木","金","土","日")),"")</f>
        <v/>
      </c>
    </row>
    <row r="574" customFormat="false" ht="15" hidden="false" customHeight="false" outlineLevel="0" collapsed="false">
      <c r="Z574" s="38" t="str">
        <f aca="false">IF(ISNUMBER(A574),IF(COUNTIF(祝日!$A:$A,A574)&gt;0,"祝",CHOOSE(WEEKDAY(A574,2),"月","火","水","木","金","土","日")),"")</f>
        <v/>
      </c>
    </row>
    <row r="575" customFormat="false" ht="15" hidden="false" customHeight="false" outlineLevel="0" collapsed="false">
      <c r="Z575" s="38" t="str">
        <f aca="false">IF(ISNUMBER(A575),IF(COUNTIF(祝日!$A:$A,A575)&gt;0,"祝",CHOOSE(WEEKDAY(A575,2),"月","火","水","木","金","土","日")),"")</f>
        <v/>
      </c>
    </row>
    <row r="576" customFormat="false" ht="15" hidden="false" customHeight="false" outlineLevel="0" collapsed="false">
      <c r="Z576" s="38" t="str">
        <f aca="false">IF(ISNUMBER(A576),IF(COUNTIF(祝日!$A:$A,A576)&gt;0,"祝",CHOOSE(WEEKDAY(A576,2),"月","火","水","木","金","土","日")),"")</f>
        <v/>
      </c>
    </row>
    <row r="577" customFormat="false" ht="15" hidden="false" customHeight="false" outlineLevel="0" collapsed="false">
      <c r="Z577" s="38" t="str">
        <f aca="false">IF(ISNUMBER(A577),IF(COUNTIF(祝日!$A:$A,A577)&gt;0,"祝",CHOOSE(WEEKDAY(A577,2),"月","火","水","木","金","土","日")),"")</f>
        <v/>
      </c>
    </row>
    <row r="578" customFormat="false" ht="15" hidden="false" customHeight="false" outlineLevel="0" collapsed="false">
      <c r="Z578" s="38" t="str">
        <f aca="false">IF(ISNUMBER(A578),IF(COUNTIF(祝日!$A:$A,A578)&gt;0,"祝",CHOOSE(WEEKDAY(A578,2),"月","火","水","木","金","土","日")),"")</f>
        <v/>
      </c>
    </row>
    <row r="579" customFormat="false" ht="15" hidden="false" customHeight="false" outlineLevel="0" collapsed="false">
      <c r="Z579" s="38" t="str">
        <f aca="false">IF(ISNUMBER(A579),IF(COUNTIF(祝日!$A:$A,A579)&gt;0,"祝",CHOOSE(WEEKDAY(A579,2),"月","火","水","木","金","土","日")),"")</f>
        <v/>
      </c>
    </row>
    <row r="580" customFormat="false" ht="15" hidden="false" customHeight="false" outlineLevel="0" collapsed="false">
      <c r="Z580" s="38" t="str">
        <f aca="false">IF(ISNUMBER(A580),IF(COUNTIF(祝日!$A:$A,A580)&gt;0,"祝",CHOOSE(WEEKDAY(A580,2),"月","火","水","木","金","土","日")),"")</f>
        <v/>
      </c>
    </row>
    <row r="581" customFormat="false" ht="15" hidden="false" customHeight="false" outlineLevel="0" collapsed="false">
      <c r="Z581" s="38" t="str">
        <f aca="false">IF(ISNUMBER(A581),IF(COUNTIF(祝日!$A:$A,A581)&gt;0,"祝",CHOOSE(WEEKDAY(A581,2),"月","火","水","木","金","土","日")),"")</f>
        <v/>
      </c>
    </row>
    <row r="582" customFormat="false" ht="15" hidden="false" customHeight="false" outlineLevel="0" collapsed="false">
      <c r="Z582" s="38" t="str">
        <f aca="false">IF(ISNUMBER(A582),IF(COUNTIF(祝日!$A:$A,A582)&gt;0,"祝",CHOOSE(WEEKDAY(A582,2),"月","火","水","木","金","土","日")),"")</f>
        <v/>
      </c>
    </row>
    <row r="583" customFormat="false" ht="15" hidden="false" customHeight="false" outlineLevel="0" collapsed="false">
      <c r="Z583" s="38" t="str">
        <f aca="false">IF(ISNUMBER(A583),IF(COUNTIF(祝日!$A:$A,A583)&gt;0,"祝",CHOOSE(WEEKDAY(A583,2),"月","火","水","木","金","土","日")),"")</f>
        <v/>
      </c>
    </row>
    <row r="584" customFormat="false" ht="15" hidden="false" customHeight="false" outlineLevel="0" collapsed="false">
      <c r="Z584" s="38" t="str">
        <f aca="false">IF(ISNUMBER(A584),IF(COUNTIF(祝日!$A:$A,A584)&gt;0,"祝",CHOOSE(WEEKDAY(A584,2),"月","火","水","木","金","土","日")),"")</f>
        <v/>
      </c>
    </row>
    <row r="585" customFormat="false" ht="15" hidden="false" customHeight="false" outlineLevel="0" collapsed="false">
      <c r="Z585" s="38" t="str">
        <f aca="false">IF(ISNUMBER(A585),IF(COUNTIF(祝日!$A:$A,A585)&gt;0,"祝",CHOOSE(WEEKDAY(A585,2),"月","火","水","木","金","土","日")),"")</f>
        <v/>
      </c>
    </row>
    <row r="586" customFormat="false" ht="15" hidden="false" customHeight="false" outlineLevel="0" collapsed="false">
      <c r="Z586" s="38" t="str">
        <f aca="false">IF(ISNUMBER(A586),IF(COUNTIF(祝日!$A:$A,A586)&gt;0,"祝",CHOOSE(WEEKDAY(A586,2),"月","火","水","木","金","土","日")),"")</f>
        <v/>
      </c>
    </row>
    <row r="587" customFormat="false" ht="15" hidden="false" customHeight="false" outlineLevel="0" collapsed="false">
      <c r="Z587" s="38" t="str">
        <f aca="false">IF(ISNUMBER(A587),IF(COUNTIF(祝日!$A:$A,A587)&gt;0,"祝",CHOOSE(WEEKDAY(A587,2),"月","火","水","木","金","土","日")),"")</f>
        <v/>
      </c>
    </row>
    <row r="588" customFormat="false" ht="15" hidden="false" customHeight="false" outlineLevel="0" collapsed="false">
      <c r="Z588" s="38" t="str">
        <f aca="false">IF(ISNUMBER(A588),IF(COUNTIF(祝日!$A:$A,A588)&gt;0,"祝",CHOOSE(WEEKDAY(A588,2),"月","火","水","木","金","土","日")),"")</f>
        <v/>
      </c>
    </row>
    <row r="589" customFormat="false" ht="15" hidden="false" customHeight="false" outlineLevel="0" collapsed="false">
      <c r="Z589" s="38" t="str">
        <f aca="false">IF(ISNUMBER(A589),IF(COUNTIF(祝日!$A:$A,A589)&gt;0,"祝",CHOOSE(WEEKDAY(A589,2),"月","火","水","木","金","土","日")),"")</f>
        <v/>
      </c>
    </row>
    <row r="590" customFormat="false" ht="15" hidden="false" customHeight="false" outlineLevel="0" collapsed="false">
      <c r="Z590" s="38" t="str">
        <f aca="false">IF(ISNUMBER(A590),IF(COUNTIF(祝日!$A:$A,A590)&gt;0,"祝",CHOOSE(WEEKDAY(A590,2),"月","火","水","木","金","土","日")),"")</f>
        <v/>
      </c>
    </row>
    <row r="591" customFormat="false" ht="15" hidden="false" customHeight="false" outlineLevel="0" collapsed="false">
      <c r="Z591" s="38" t="str">
        <f aca="false">IF(ISNUMBER(A591),IF(COUNTIF(祝日!$A:$A,A591)&gt;0,"祝",CHOOSE(WEEKDAY(A591,2),"月","火","水","木","金","土","日")),"")</f>
        <v/>
      </c>
    </row>
    <row r="592" customFormat="false" ht="15" hidden="false" customHeight="false" outlineLevel="0" collapsed="false">
      <c r="Z592" s="38" t="str">
        <f aca="false">IF(ISNUMBER(A592),IF(COUNTIF(祝日!$A:$A,A592)&gt;0,"祝",CHOOSE(WEEKDAY(A592,2),"月","火","水","木","金","土","日")),"")</f>
        <v/>
      </c>
    </row>
    <row r="593" customFormat="false" ht="15" hidden="false" customHeight="false" outlineLevel="0" collapsed="false">
      <c r="Z593" s="38" t="str">
        <f aca="false">IF(ISNUMBER(A593),IF(COUNTIF(祝日!$A:$A,A593)&gt;0,"祝",CHOOSE(WEEKDAY(A593,2),"月","火","水","木","金","土","日")),"")</f>
        <v/>
      </c>
    </row>
    <row r="594" customFormat="false" ht="15" hidden="false" customHeight="false" outlineLevel="0" collapsed="false">
      <c r="Z594" s="38" t="str">
        <f aca="false">IF(ISNUMBER(A594),IF(COUNTIF(祝日!$A:$A,A594)&gt;0,"祝",CHOOSE(WEEKDAY(A594,2),"月","火","水","木","金","土","日")),"")</f>
        <v/>
      </c>
    </row>
    <row r="595" customFormat="false" ht="15" hidden="false" customHeight="false" outlineLevel="0" collapsed="false">
      <c r="Z595" s="38" t="str">
        <f aca="false">IF(ISNUMBER(A595),IF(COUNTIF(祝日!$A:$A,A595)&gt;0,"祝",CHOOSE(WEEKDAY(A595,2),"月","火","水","木","金","土","日")),"")</f>
        <v/>
      </c>
    </row>
    <row r="596" customFormat="false" ht="15" hidden="false" customHeight="false" outlineLevel="0" collapsed="false">
      <c r="Z596" s="38" t="str">
        <f aca="false">IF(ISNUMBER(A596),IF(COUNTIF(祝日!$A:$A,A596)&gt;0,"祝",CHOOSE(WEEKDAY(A596,2),"月","火","水","木","金","土","日")),"")</f>
        <v/>
      </c>
    </row>
    <row r="597" customFormat="false" ht="15" hidden="false" customHeight="false" outlineLevel="0" collapsed="false">
      <c r="Z597" s="38" t="str">
        <f aca="false">IF(ISNUMBER(A597),IF(COUNTIF(祝日!$A:$A,A597)&gt;0,"祝",CHOOSE(WEEKDAY(A597,2),"月","火","水","木","金","土","日")),"")</f>
        <v/>
      </c>
    </row>
    <row r="598" customFormat="false" ht="15" hidden="false" customHeight="false" outlineLevel="0" collapsed="false">
      <c r="Z598" s="38" t="str">
        <f aca="false">IF(ISNUMBER(A598),IF(COUNTIF(祝日!$A:$A,A598)&gt;0,"祝",CHOOSE(WEEKDAY(A598,2),"月","火","水","木","金","土","日")),"")</f>
        <v/>
      </c>
    </row>
    <row r="599" customFormat="false" ht="15" hidden="false" customHeight="false" outlineLevel="0" collapsed="false">
      <c r="Z599" s="38" t="str">
        <f aca="false">IF(ISNUMBER(A599),IF(COUNTIF(祝日!$A:$A,A599)&gt;0,"祝",CHOOSE(WEEKDAY(A599,2),"月","火","水","木","金","土","日")),"")</f>
        <v/>
      </c>
    </row>
    <row r="600" customFormat="false" ht="15" hidden="false" customHeight="false" outlineLevel="0" collapsed="false">
      <c r="Z600" s="38" t="str">
        <f aca="false">IF(ISNUMBER(A600),IF(COUNTIF(祝日!$A:$A,A600)&gt;0,"祝",CHOOSE(WEEKDAY(A600,2),"月","火","水","木","金","土","日")),"")</f>
        <v/>
      </c>
    </row>
    <row r="601" customFormat="false" ht="15" hidden="false" customHeight="false" outlineLevel="0" collapsed="false">
      <c r="Z601" s="38" t="str">
        <f aca="false">IF(ISNUMBER(A601),IF(COUNTIF(祝日!$A:$A,A601)&gt;0,"祝",CHOOSE(WEEKDAY(A601,2),"月","火","水","木","金","土","日")),"")</f>
        <v/>
      </c>
    </row>
    <row r="602" customFormat="false" ht="15" hidden="false" customHeight="false" outlineLevel="0" collapsed="false">
      <c r="Z602" s="38" t="str">
        <f aca="false">IF(ISNUMBER(A602),IF(COUNTIF(祝日!$A:$A,A602)&gt;0,"祝",CHOOSE(WEEKDAY(A602,2),"月","火","水","木","金","土","日")),"")</f>
        <v/>
      </c>
    </row>
    <row r="603" customFormat="false" ht="15" hidden="false" customHeight="false" outlineLevel="0" collapsed="false">
      <c r="Z603" s="38" t="str">
        <f aca="false">IF(ISNUMBER(A603),IF(COUNTIF(祝日!$A:$A,A603)&gt;0,"祝",CHOOSE(WEEKDAY(A603,2),"月","火","水","木","金","土","日")),"")</f>
        <v/>
      </c>
    </row>
    <row r="604" customFormat="false" ht="15" hidden="false" customHeight="false" outlineLevel="0" collapsed="false">
      <c r="Z604" s="38" t="str">
        <f aca="false">IF(ISNUMBER(A604),IF(COUNTIF(祝日!$A:$A,A604)&gt;0,"祝",CHOOSE(WEEKDAY(A604,2),"月","火","水","木","金","土","日")),"")</f>
        <v/>
      </c>
    </row>
    <row r="605" customFormat="false" ht="15" hidden="false" customHeight="false" outlineLevel="0" collapsed="false">
      <c r="Z605" s="38" t="str">
        <f aca="false">IF(ISNUMBER(A605),IF(COUNTIF(祝日!$A:$A,A605)&gt;0,"祝",CHOOSE(WEEKDAY(A605,2),"月","火","水","木","金","土","日")),"")</f>
        <v/>
      </c>
    </row>
    <row r="606" customFormat="false" ht="15" hidden="false" customHeight="false" outlineLevel="0" collapsed="false">
      <c r="Z606" s="38" t="str">
        <f aca="false">IF(ISNUMBER(A606),IF(COUNTIF(祝日!$A:$A,A606)&gt;0,"祝",CHOOSE(WEEKDAY(A606,2),"月","火","水","木","金","土","日")),"")</f>
        <v/>
      </c>
    </row>
    <row r="607" customFormat="false" ht="15" hidden="false" customHeight="false" outlineLevel="0" collapsed="false">
      <c r="Z607" s="38" t="str">
        <f aca="false">IF(ISNUMBER(A607),IF(COUNTIF(祝日!$A:$A,A607)&gt;0,"祝",CHOOSE(WEEKDAY(A607,2),"月","火","水","木","金","土","日")),"")</f>
        <v/>
      </c>
    </row>
    <row r="608" customFormat="false" ht="15" hidden="false" customHeight="false" outlineLevel="0" collapsed="false">
      <c r="Z608" s="38" t="str">
        <f aca="false">IF(ISNUMBER(A608),IF(COUNTIF(祝日!$A:$A,A608)&gt;0,"祝",CHOOSE(WEEKDAY(A608,2),"月","火","水","木","金","土","日")),"")</f>
        <v/>
      </c>
    </row>
    <row r="609" customFormat="false" ht="15" hidden="false" customHeight="false" outlineLevel="0" collapsed="false">
      <c r="Z609" s="38" t="str">
        <f aca="false">IF(ISNUMBER(A609),IF(COUNTIF(祝日!$A:$A,A609)&gt;0,"祝",CHOOSE(WEEKDAY(A609,2),"月","火","水","木","金","土","日")),"")</f>
        <v/>
      </c>
    </row>
    <row r="610" customFormat="false" ht="15" hidden="false" customHeight="false" outlineLevel="0" collapsed="false">
      <c r="Z610" s="38" t="str">
        <f aca="false">IF(ISNUMBER(A610),IF(COUNTIF(祝日!$A:$A,A610)&gt;0,"祝",CHOOSE(WEEKDAY(A610,2),"月","火","水","木","金","土","日")),"")</f>
        <v/>
      </c>
    </row>
    <row r="611" customFormat="false" ht="15" hidden="false" customHeight="false" outlineLevel="0" collapsed="false">
      <c r="Z611" s="38" t="str">
        <f aca="false">IF(ISNUMBER(A611),IF(COUNTIF(祝日!$A:$A,A611)&gt;0,"祝",CHOOSE(WEEKDAY(A611,2),"月","火","水","木","金","土","日")),"")</f>
        <v/>
      </c>
    </row>
    <row r="612" customFormat="false" ht="15" hidden="false" customHeight="false" outlineLevel="0" collapsed="false">
      <c r="Z612" s="38" t="str">
        <f aca="false">IF(ISNUMBER(A612),IF(COUNTIF(祝日!$A:$A,A612)&gt;0,"祝",CHOOSE(WEEKDAY(A612,2),"月","火","水","木","金","土","日")),"")</f>
        <v/>
      </c>
    </row>
    <row r="613" customFormat="false" ht="15" hidden="false" customHeight="false" outlineLevel="0" collapsed="false">
      <c r="Z613" s="38" t="str">
        <f aca="false">IF(ISNUMBER(A613),IF(COUNTIF(祝日!$A:$A,A613)&gt;0,"祝",CHOOSE(WEEKDAY(A613,2),"月","火","水","木","金","土","日")),"")</f>
        <v/>
      </c>
    </row>
    <row r="614" customFormat="false" ht="15" hidden="false" customHeight="false" outlineLevel="0" collapsed="false">
      <c r="Z614" s="38" t="str">
        <f aca="false">IF(ISNUMBER(A614),IF(COUNTIF(祝日!$A:$A,A614)&gt;0,"祝",CHOOSE(WEEKDAY(A614,2),"月","火","水","木","金","土","日")),"")</f>
        <v/>
      </c>
    </row>
    <row r="615" customFormat="false" ht="15" hidden="false" customHeight="false" outlineLevel="0" collapsed="false">
      <c r="Z615" s="38" t="str">
        <f aca="false">IF(ISNUMBER(A615),IF(COUNTIF(祝日!$A:$A,A615)&gt;0,"祝",CHOOSE(WEEKDAY(A615,2),"月","火","水","木","金","土","日")),"")</f>
        <v/>
      </c>
    </row>
    <row r="616" customFormat="false" ht="15" hidden="false" customHeight="false" outlineLevel="0" collapsed="false">
      <c r="Z616" s="38" t="str">
        <f aca="false">IF(ISNUMBER(A616),IF(COUNTIF(祝日!$A:$A,A616)&gt;0,"祝",CHOOSE(WEEKDAY(A616,2),"月","火","水","木","金","土","日")),"")</f>
        <v/>
      </c>
    </row>
    <row r="617" customFormat="false" ht="15" hidden="false" customHeight="false" outlineLevel="0" collapsed="false">
      <c r="Z617" s="38" t="str">
        <f aca="false">IF(ISNUMBER(A617),IF(COUNTIF(祝日!$A:$A,A617)&gt;0,"祝",CHOOSE(WEEKDAY(A617,2),"月","火","水","木","金","土","日")),"")</f>
        <v/>
      </c>
    </row>
    <row r="618" customFormat="false" ht="15" hidden="false" customHeight="false" outlineLevel="0" collapsed="false">
      <c r="Z618" s="38" t="str">
        <f aca="false">IF(ISNUMBER(A618),IF(COUNTIF(祝日!$A:$A,A618)&gt;0,"祝",CHOOSE(WEEKDAY(A618,2),"月","火","水","木","金","土","日")),"")</f>
        <v/>
      </c>
    </row>
    <row r="619" customFormat="false" ht="15" hidden="false" customHeight="false" outlineLevel="0" collapsed="false">
      <c r="Z619" s="38" t="str">
        <f aca="false">IF(ISNUMBER(A619),IF(COUNTIF(祝日!$A:$A,A619)&gt;0,"祝",CHOOSE(WEEKDAY(A619,2),"月","火","水","木","金","土","日")),"")</f>
        <v/>
      </c>
    </row>
    <row r="620" customFormat="false" ht="15" hidden="false" customHeight="false" outlineLevel="0" collapsed="false">
      <c r="Z620" s="38" t="str">
        <f aca="false">IF(ISNUMBER(A620),IF(COUNTIF(祝日!$A:$A,A620)&gt;0,"祝",CHOOSE(WEEKDAY(A620,2),"月","火","水","木","金","土","日")),"")</f>
        <v/>
      </c>
    </row>
    <row r="621" customFormat="false" ht="15" hidden="false" customHeight="false" outlineLevel="0" collapsed="false">
      <c r="Z621" s="38" t="str">
        <f aca="false">IF(ISNUMBER(A621),IF(COUNTIF(祝日!$A:$A,A621)&gt;0,"祝",CHOOSE(WEEKDAY(A621,2),"月","火","水","木","金","土","日")),"")</f>
        <v/>
      </c>
    </row>
    <row r="622" customFormat="false" ht="15" hidden="false" customHeight="false" outlineLevel="0" collapsed="false">
      <c r="Z622" s="38" t="str">
        <f aca="false">IF(ISNUMBER(A622),IF(COUNTIF(祝日!$A:$A,A622)&gt;0,"祝",CHOOSE(WEEKDAY(A622,2),"月","火","水","木","金","土","日")),"")</f>
        <v/>
      </c>
    </row>
    <row r="623" customFormat="false" ht="15" hidden="false" customHeight="false" outlineLevel="0" collapsed="false">
      <c r="Z623" s="38" t="str">
        <f aca="false">IF(ISNUMBER(A623),IF(COUNTIF(祝日!$A:$A,A623)&gt;0,"祝",CHOOSE(WEEKDAY(A623,2),"月","火","水","木","金","土","日")),"")</f>
        <v/>
      </c>
    </row>
    <row r="624" customFormat="false" ht="15" hidden="false" customHeight="false" outlineLevel="0" collapsed="false">
      <c r="Z624" s="38" t="str">
        <f aca="false">IF(ISNUMBER(A624),IF(COUNTIF(祝日!$A:$A,A624)&gt;0,"祝",CHOOSE(WEEKDAY(A624,2),"月","火","水","木","金","土","日")),"")</f>
        <v/>
      </c>
    </row>
    <row r="625" customFormat="false" ht="15" hidden="false" customHeight="false" outlineLevel="0" collapsed="false">
      <c r="Z625" s="38" t="str">
        <f aca="false">IF(ISNUMBER(A625),IF(COUNTIF(祝日!$A:$A,A625)&gt;0,"祝",CHOOSE(WEEKDAY(A625,2),"月","火","水","木","金","土","日")),"")</f>
        <v/>
      </c>
    </row>
    <row r="626" customFormat="false" ht="15" hidden="false" customHeight="false" outlineLevel="0" collapsed="false">
      <c r="Z626" s="38" t="str">
        <f aca="false">IF(ISNUMBER(A626),IF(COUNTIF(祝日!$A:$A,A626)&gt;0,"祝",CHOOSE(WEEKDAY(A626,2),"月","火","水","木","金","土","日")),"")</f>
        <v/>
      </c>
    </row>
    <row r="627" customFormat="false" ht="15" hidden="false" customHeight="false" outlineLevel="0" collapsed="false">
      <c r="Z627" s="38" t="str">
        <f aca="false">IF(ISNUMBER(A627),IF(COUNTIF(祝日!$A:$A,A627)&gt;0,"祝",CHOOSE(WEEKDAY(A627,2),"月","火","水","木","金","土","日")),"")</f>
        <v/>
      </c>
    </row>
    <row r="628" customFormat="false" ht="15" hidden="false" customHeight="false" outlineLevel="0" collapsed="false">
      <c r="Z628" s="38" t="str">
        <f aca="false">IF(ISNUMBER(A628),IF(COUNTIF(祝日!$A:$A,A628)&gt;0,"祝",CHOOSE(WEEKDAY(A628,2),"月","火","水","木","金","土","日")),"")</f>
        <v/>
      </c>
    </row>
    <row r="629" customFormat="false" ht="15" hidden="false" customHeight="false" outlineLevel="0" collapsed="false">
      <c r="Z629" s="38" t="str">
        <f aca="false">IF(ISNUMBER(A629),IF(COUNTIF(祝日!$A:$A,A629)&gt;0,"祝",CHOOSE(WEEKDAY(A629,2),"月","火","水","木","金","土","日")),"")</f>
        <v/>
      </c>
    </row>
    <row r="630" customFormat="false" ht="15" hidden="false" customHeight="false" outlineLevel="0" collapsed="false">
      <c r="Z630" s="38" t="str">
        <f aca="false">IF(ISNUMBER(A630),IF(COUNTIF(祝日!$A:$A,A630)&gt;0,"祝",CHOOSE(WEEKDAY(A630,2),"月","火","水","木","金","土","日")),"")</f>
        <v/>
      </c>
    </row>
    <row r="631" customFormat="false" ht="15" hidden="false" customHeight="false" outlineLevel="0" collapsed="false">
      <c r="Z631" s="38" t="str">
        <f aca="false">IF(ISNUMBER(A631),IF(COUNTIF(祝日!$A:$A,A631)&gt;0,"祝",CHOOSE(WEEKDAY(A631,2),"月","火","水","木","金","土","日")),"")</f>
        <v/>
      </c>
    </row>
    <row r="632" customFormat="false" ht="15" hidden="false" customHeight="false" outlineLevel="0" collapsed="false">
      <c r="Z632" s="38" t="str">
        <f aca="false">IF(ISNUMBER(A632),IF(COUNTIF(祝日!$A:$A,A632)&gt;0,"祝",CHOOSE(WEEKDAY(A632,2),"月","火","水","木","金","土","日")),"")</f>
        <v/>
      </c>
    </row>
    <row r="633" customFormat="false" ht="15" hidden="false" customHeight="false" outlineLevel="0" collapsed="false">
      <c r="Z633" s="38" t="str">
        <f aca="false">IF(ISNUMBER(A633),IF(COUNTIF(祝日!$A:$A,A633)&gt;0,"祝",CHOOSE(WEEKDAY(A633,2),"月","火","水","木","金","土","日")),"")</f>
        <v/>
      </c>
    </row>
    <row r="634" customFormat="false" ht="15" hidden="false" customHeight="false" outlineLevel="0" collapsed="false">
      <c r="Z634" s="38" t="str">
        <f aca="false">IF(ISNUMBER(A634),IF(COUNTIF(祝日!$A:$A,A634)&gt;0,"祝",CHOOSE(WEEKDAY(A634,2),"月","火","水","木","金","土","日")),"")</f>
        <v/>
      </c>
    </row>
    <row r="635" customFormat="false" ht="15" hidden="false" customHeight="false" outlineLevel="0" collapsed="false">
      <c r="Z635" s="38" t="str">
        <f aca="false">IF(ISNUMBER(A635),IF(COUNTIF(祝日!$A:$A,A635)&gt;0,"祝",CHOOSE(WEEKDAY(A635,2),"月","火","水","木","金","土","日")),"")</f>
        <v/>
      </c>
    </row>
    <row r="636" customFormat="false" ht="15" hidden="false" customHeight="false" outlineLevel="0" collapsed="false">
      <c r="Z636" s="38" t="str">
        <f aca="false">IF(ISNUMBER(A636),IF(COUNTIF(祝日!$A:$A,A636)&gt;0,"祝",CHOOSE(WEEKDAY(A636,2),"月","火","水","木","金","土","日")),"")</f>
        <v/>
      </c>
    </row>
    <row r="637" customFormat="false" ht="15" hidden="false" customHeight="false" outlineLevel="0" collapsed="false">
      <c r="Z637" s="38" t="str">
        <f aca="false">IF(ISNUMBER(A637),IF(COUNTIF(祝日!$A:$A,A637)&gt;0,"祝",CHOOSE(WEEKDAY(A637,2),"月","火","水","木","金","土","日")),"")</f>
        <v/>
      </c>
    </row>
    <row r="638" customFormat="false" ht="15" hidden="false" customHeight="false" outlineLevel="0" collapsed="false">
      <c r="Z638" s="38" t="str">
        <f aca="false">IF(ISNUMBER(A638),IF(COUNTIF(祝日!$A:$A,A638)&gt;0,"祝",CHOOSE(WEEKDAY(A638,2),"月","火","水","木","金","土","日")),"")</f>
        <v/>
      </c>
    </row>
    <row r="639" customFormat="false" ht="15" hidden="false" customHeight="false" outlineLevel="0" collapsed="false">
      <c r="Z639" s="38" t="str">
        <f aca="false">IF(ISNUMBER(A639),IF(COUNTIF(祝日!$A:$A,A639)&gt;0,"祝",CHOOSE(WEEKDAY(A639,2),"月","火","水","木","金","土","日")),"")</f>
        <v/>
      </c>
    </row>
    <row r="640" customFormat="false" ht="15" hidden="false" customHeight="false" outlineLevel="0" collapsed="false">
      <c r="Z640" s="38" t="str">
        <f aca="false">IF(ISNUMBER(A640),IF(COUNTIF(祝日!$A:$A,A640)&gt;0,"祝",CHOOSE(WEEKDAY(A640,2),"月","火","水","木","金","土","日")),"")</f>
        <v/>
      </c>
    </row>
    <row r="641" customFormat="false" ht="15" hidden="false" customHeight="false" outlineLevel="0" collapsed="false">
      <c r="Z641" s="38" t="str">
        <f aca="false">IF(ISNUMBER(A641),IF(COUNTIF(祝日!$A:$A,A641)&gt;0,"祝",CHOOSE(WEEKDAY(A641,2),"月","火","水","木","金","土","日")),"")</f>
        <v/>
      </c>
    </row>
    <row r="642" customFormat="false" ht="15" hidden="false" customHeight="false" outlineLevel="0" collapsed="false">
      <c r="Z642" s="38" t="str">
        <f aca="false">IF(ISNUMBER(A642),IF(COUNTIF(祝日!$A:$A,A642)&gt;0,"祝",CHOOSE(WEEKDAY(A642,2),"月","火","水","木","金","土","日")),"")</f>
        <v/>
      </c>
    </row>
    <row r="643" customFormat="false" ht="15" hidden="false" customHeight="false" outlineLevel="0" collapsed="false">
      <c r="Z643" s="38" t="str">
        <f aca="false">IF(ISNUMBER(A643),IF(COUNTIF(祝日!$A:$A,A643)&gt;0,"祝",CHOOSE(WEEKDAY(A643,2),"月","火","水","木","金","土","日")),"")</f>
        <v/>
      </c>
    </row>
    <row r="644" customFormat="false" ht="15" hidden="false" customHeight="false" outlineLevel="0" collapsed="false">
      <c r="Z644" s="38" t="str">
        <f aca="false">IF(ISNUMBER(A644),IF(COUNTIF(祝日!$A:$A,A644)&gt;0,"祝",CHOOSE(WEEKDAY(A644,2),"月","火","水","木","金","土","日")),"")</f>
        <v/>
      </c>
    </row>
    <row r="645" customFormat="false" ht="15" hidden="false" customHeight="false" outlineLevel="0" collapsed="false">
      <c r="Z645" s="38" t="str">
        <f aca="false">IF(ISNUMBER(A645),IF(COUNTIF(祝日!$A:$A,A645)&gt;0,"祝",CHOOSE(WEEKDAY(A645,2),"月","火","水","木","金","土","日")),"")</f>
        <v/>
      </c>
    </row>
    <row r="646" customFormat="false" ht="15" hidden="false" customHeight="false" outlineLevel="0" collapsed="false">
      <c r="Z646" s="38" t="str">
        <f aca="false">IF(ISNUMBER(A646),IF(COUNTIF(祝日!$A:$A,A646)&gt;0,"祝",CHOOSE(WEEKDAY(A646,2),"月","火","水","木","金","土","日")),"")</f>
        <v/>
      </c>
    </row>
    <row r="647" customFormat="false" ht="15" hidden="false" customHeight="false" outlineLevel="0" collapsed="false">
      <c r="Z647" s="38" t="str">
        <f aca="false">IF(ISNUMBER(A647),IF(COUNTIF(祝日!$A:$A,A647)&gt;0,"祝",CHOOSE(WEEKDAY(A647,2),"月","火","水","木","金","土","日")),"")</f>
        <v/>
      </c>
    </row>
    <row r="648" customFormat="false" ht="15" hidden="false" customHeight="false" outlineLevel="0" collapsed="false">
      <c r="Z648" s="38" t="str">
        <f aca="false">IF(ISNUMBER(A648),IF(COUNTIF(祝日!$A:$A,A648)&gt;0,"祝",CHOOSE(WEEKDAY(A648,2),"月","火","水","木","金","土","日")),"")</f>
        <v/>
      </c>
    </row>
    <row r="649" customFormat="false" ht="15" hidden="false" customHeight="false" outlineLevel="0" collapsed="false">
      <c r="Z649" s="38" t="str">
        <f aca="false">IF(ISNUMBER(A649),IF(COUNTIF(祝日!$A:$A,A649)&gt;0,"祝",CHOOSE(WEEKDAY(A649,2),"月","火","水","木","金","土","日")),"")</f>
        <v/>
      </c>
    </row>
    <row r="650" customFormat="false" ht="15" hidden="false" customHeight="false" outlineLevel="0" collapsed="false">
      <c r="Z650" s="38" t="str">
        <f aca="false">IF(ISNUMBER(A650),IF(COUNTIF(祝日!$A:$A,A650)&gt;0,"祝",CHOOSE(WEEKDAY(A650,2),"月","火","水","木","金","土","日")),"")</f>
        <v/>
      </c>
    </row>
    <row r="651" customFormat="false" ht="15" hidden="false" customHeight="false" outlineLevel="0" collapsed="false">
      <c r="Z651" s="38" t="str">
        <f aca="false">IF(ISNUMBER(A651),IF(COUNTIF(祝日!$A:$A,A651)&gt;0,"祝",CHOOSE(WEEKDAY(A651,2),"月","火","水","木","金","土","日")),"")</f>
        <v/>
      </c>
    </row>
    <row r="652" customFormat="false" ht="15" hidden="false" customHeight="false" outlineLevel="0" collapsed="false">
      <c r="Z652" s="38" t="str">
        <f aca="false">IF(ISNUMBER(A652),IF(COUNTIF(祝日!$A:$A,A652)&gt;0,"祝",CHOOSE(WEEKDAY(A652,2),"月","火","水","木","金","土","日")),"")</f>
        <v/>
      </c>
    </row>
    <row r="653" customFormat="false" ht="15" hidden="false" customHeight="false" outlineLevel="0" collapsed="false">
      <c r="Z653" s="38" t="str">
        <f aca="false">IF(ISNUMBER(A653),IF(COUNTIF(祝日!$A:$A,A653)&gt;0,"祝",CHOOSE(WEEKDAY(A653,2),"月","火","水","木","金","土","日")),"")</f>
        <v/>
      </c>
    </row>
    <row r="654" customFormat="false" ht="15" hidden="false" customHeight="false" outlineLevel="0" collapsed="false">
      <c r="Z654" s="38" t="str">
        <f aca="false">IF(ISNUMBER(A654),IF(COUNTIF(祝日!$A:$A,A654)&gt;0,"祝",CHOOSE(WEEKDAY(A654,2),"月","火","水","木","金","土","日")),"")</f>
        <v/>
      </c>
    </row>
    <row r="655" customFormat="false" ht="15" hidden="false" customHeight="false" outlineLevel="0" collapsed="false">
      <c r="Z655" s="38" t="str">
        <f aca="false">IF(ISNUMBER(A655),IF(COUNTIF(祝日!$A:$A,A655)&gt;0,"祝",CHOOSE(WEEKDAY(A655,2),"月","火","水","木","金","土","日")),"")</f>
        <v/>
      </c>
    </row>
    <row r="656" customFormat="false" ht="15" hidden="false" customHeight="false" outlineLevel="0" collapsed="false">
      <c r="Z656" s="38" t="str">
        <f aca="false">IF(ISNUMBER(A656),IF(COUNTIF(祝日!$A:$A,A656)&gt;0,"祝",CHOOSE(WEEKDAY(A656,2),"月","火","水","木","金","土","日")),"")</f>
        <v/>
      </c>
    </row>
    <row r="657" customFormat="false" ht="15" hidden="false" customHeight="false" outlineLevel="0" collapsed="false">
      <c r="Z657" s="38" t="str">
        <f aca="false">IF(ISNUMBER(A657),IF(COUNTIF(祝日!$A:$A,A657)&gt;0,"祝",CHOOSE(WEEKDAY(A657,2),"月","火","水","木","金","土","日")),"")</f>
        <v/>
      </c>
    </row>
    <row r="658" customFormat="false" ht="15" hidden="false" customHeight="false" outlineLevel="0" collapsed="false">
      <c r="Z658" s="38" t="str">
        <f aca="false">IF(ISNUMBER(A658),IF(COUNTIF(祝日!$A:$A,A658)&gt;0,"祝",CHOOSE(WEEKDAY(A658,2),"月","火","水","木","金","土","日")),"")</f>
        <v/>
      </c>
    </row>
    <row r="659" customFormat="false" ht="15" hidden="false" customHeight="false" outlineLevel="0" collapsed="false">
      <c r="Z659" s="38" t="str">
        <f aca="false">IF(ISNUMBER(A659),IF(COUNTIF(祝日!$A:$A,A659)&gt;0,"祝",CHOOSE(WEEKDAY(A659,2),"月","火","水","木","金","土","日")),"")</f>
        <v/>
      </c>
    </row>
    <row r="660" customFormat="false" ht="15" hidden="false" customHeight="false" outlineLevel="0" collapsed="false">
      <c r="Z660" s="38" t="str">
        <f aca="false">IF(ISNUMBER(A660),IF(COUNTIF(祝日!$A:$A,A660)&gt;0,"祝",CHOOSE(WEEKDAY(A660,2),"月","火","水","木","金","土","日")),"")</f>
        <v/>
      </c>
    </row>
    <row r="661" customFormat="false" ht="15" hidden="false" customHeight="false" outlineLevel="0" collapsed="false">
      <c r="Z661" s="38" t="str">
        <f aca="false">IF(ISNUMBER(A661),IF(COUNTIF(祝日!$A:$A,A661)&gt;0,"祝",CHOOSE(WEEKDAY(A661,2),"月","火","水","木","金","土","日")),"")</f>
        <v/>
      </c>
    </row>
    <row r="662" customFormat="false" ht="15" hidden="false" customHeight="false" outlineLevel="0" collapsed="false">
      <c r="Z662" s="38" t="str">
        <f aca="false">IF(ISNUMBER(A662),IF(COUNTIF(祝日!$A:$A,A662)&gt;0,"祝",CHOOSE(WEEKDAY(A662,2),"月","火","水","木","金","土","日")),"")</f>
        <v/>
      </c>
    </row>
    <row r="663" customFormat="false" ht="15" hidden="false" customHeight="false" outlineLevel="0" collapsed="false">
      <c r="Z663" s="38" t="str">
        <f aca="false">IF(ISNUMBER(A663),IF(COUNTIF(祝日!$A:$A,A663)&gt;0,"祝",CHOOSE(WEEKDAY(A663,2),"月","火","水","木","金","土","日")),"")</f>
        <v/>
      </c>
    </row>
    <row r="664" customFormat="false" ht="15" hidden="false" customHeight="false" outlineLevel="0" collapsed="false">
      <c r="Z664" s="38" t="str">
        <f aca="false">IF(ISNUMBER(A664),IF(COUNTIF(祝日!$A:$A,A664)&gt;0,"祝",CHOOSE(WEEKDAY(A664,2),"月","火","水","木","金","土","日")),"")</f>
        <v/>
      </c>
    </row>
    <row r="665" customFormat="false" ht="15" hidden="false" customHeight="false" outlineLevel="0" collapsed="false">
      <c r="Z665" s="38" t="str">
        <f aca="false">IF(ISNUMBER(A665),IF(COUNTIF(祝日!$A:$A,A665)&gt;0,"祝",CHOOSE(WEEKDAY(A665,2),"月","火","水","木","金","土","日")),"")</f>
        <v/>
      </c>
    </row>
    <row r="666" customFormat="false" ht="15" hidden="false" customHeight="false" outlineLevel="0" collapsed="false">
      <c r="Z666" s="38" t="str">
        <f aca="false">IF(ISNUMBER(A666),IF(COUNTIF(祝日!$A:$A,A666)&gt;0,"祝",CHOOSE(WEEKDAY(A666,2),"月","火","水","木","金","土","日")),"")</f>
        <v/>
      </c>
    </row>
    <row r="667" customFormat="false" ht="15" hidden="false" customHeight="false" outlineLevel="0" collapsed="false">
      <c r="Z667" s="38" t="str">
        <f aca="false">IF(ISNUMBER(A667),IF(COUNTIF(祝日!$A:$A,A667)&gt;0,"祝",CHOOSE(WEEKDAY(A667,2),"月","火","水","木","金","土","日")),"")</f>
        <v/>
      </c>
    </row>
    <row r="668" customFormat="false" ht="15" hidden="false" customHeight="false" outlineLevel="0" collapsed="false">
      <c r="Z668" s="38" t="str">
        <f aca="false">IF(ISNUMBER(A668),IF(COUNTIF(祝日!$A:$A,A668)&gt;0,"祝",CHOOSE(WEEKDAY(A668,2),"月","火","水","木","金","土","日")),"")</f>
        <v/>
      </c>
    </row>
    <row r="669" customFormat="false" ht="15" hidden="false" customHeight="false" outlineLevel="0" collapsed="false">
      <c r="Z669" s="38" t="str">
        <f aca="false">IF(ISNUMBER(A669),IF(COUNTIF(祝日!$A:$A,A669)&gt;0,"祝",CHOOSE(WEEKDAY(A669,2),"月","火","水","木","金","土","日")),"")</f>
        <v/>
      </c>
    </row>
    <row r="670" customFormat="false" ht="15" hidden="false" customHeight="false" outlineLevel="0" collapsed="false">
      <c r="Z670" s="38" t="str">
        <f aca="false">IF(ISNUMBER(A670),IF(COUNTIF(祝日!$A:$A,A670)&gt;0,"祝",CHOOSE(WEEKDAY(A670,2),"月","火","水","木","金","土","日")),"")</f>
        <v/>
      </c>
    </row>
    <row r="671" customFormat="false" ht="15" hidden="false" customHeight="false" outlineLevel="0" collapsed="false">
      <c r="Z671" s="38" t="str">
        <f aca="false">IF(ISNUMBER(A671),IF(COUNTIF(祝日!$A:$A,A671)&gt;0,"祝",CHOOSE(WEEKDAY(A671,2),"月","火","水","木","金","土","日")),"")</f>
        <v/>
      </c>
    </row>
    <row r="672" customFormat="false" ht="15" hidden="false" customHeight="false" outlineLevel="0" collapsed="false">
      <c r="Z672" s="38" t="str">
        <f aca="false">IF(ISNUMBER(A672),IF(COUNTIF(祝日!$A:$A,A672)&gt;0,"祝",CHOOSE(WEEKDAY(A672,2),"月","火","水","木","金","土","日")),"")</f>
        <v/>
      </c>
    </row>
    <row r="673" customFormat="false" ht="15" hidden="false" customHeight="false" outlineLevel="0" collapsed="false">
      <c r="Z673" s="38" t="str">
        <f aca="false">IF(ISNUMBER(A673),IF(COUNTIF(祝日!$A:$A,A673)&gt;0,"祝",CHOOSE(WEEKDAY(A673,2),"月","火","水","木","金","土","日")),"")</f>
        <v/>
      </c>
    </row>
    <row r="674" customFormat="false" ht="15" hidden="false" customHeight="false" outlineLevel="0" collapsed="false">
      <c r="Z674" s="38" t="str">
        <f aca="false">IF(ISNUMBER(A674),IF(COUNTIF(祝日!$A:$A,A674)&gt;0,"祝",CHOOSE(WEEKDAY(A674,2),"月","火","水","木","金","土","日")),"")</f>
        <v/>
      </c>
    </row>
    <row r="675" customFormat="false" ht="15" hidden="false" customHeight="false" outlineLevel="0" collapsed="false">
      <c r="Z675" s="38" t="str">
        <f aca="false">IF(ISNUMBER(A675),IF(COUNTIF(祝日!$A:$A,A675)&gt;0,"祝",CHOOSE(WEEKDAY(A675,2),"月","火","水","木","金","土","日")),"")</f>
        <v/>
      </c>
    </row>
    <row r="676" customFormat="false" ht="15" hidden="false" customHeight="false" outlineLevel="0" collapsed="false">
      <c r="Z676" s="38" t="str">
        <f aca="false">IF(ISNUMBER(A676),IF(COUNTIF(祝日!$A:$A,A676)&gt;0,"祝",CHOOSE(WEEKDAY(A676,2),"月","火","水","木","金","土","日")),"")</f>
        <v/>
      </c>
    </row>
    <row r="677" customFormat="false" ht="15" hidden="false" customHeight="false" outlineLevel="0" collapsed="false">
      <c r="Z677" s="38" t="str">
        <f aca="false">IF(ISNUMBER(A677),IF(COUNTIF(祝日!$A:$A,A677)&gt;0,"祝",CHOOSE(WEEKDAY(A677,2),"月","火","水","木","金","土","日")),"")</f>
        <v/>
      </c>
    </row>
    <row r="678" customFormat="false" ht="15" hidden="false" customHeight="false" outlineLevel="0" collapsed="false">
      <c r="Z678" s="38" t="str">
        <f aca="false">IF(ISNUMBER(A678),IF(COUNTIF(祝日!$A:$A,A678)&gt;0,"祝",CHOOSE(WEEKDAY(A678,2),"月","火","水","木","金","土","日")),"")</f>
        <v/>
      </c>
    </row>
    <row r="679" customFormat="false" ht="15" hidden="false" customHeight="false" outlineLevel="0" collapsed="false">
      <c r="Z679" s="38" t="str">
        <f aca="false">IF(ISNUMBER(A679),IF(COUNTIF(祝日!$A:$A,A679)&gt;0,"祝",CHOOSE(WEEKDAY(A679,2),"月","火","水","木","金","土","日")),"")</f>
        <v/>
      </c>
    </row>
    <row r="680" customFormat="false" ht="15" hidden="false" customHeight="false" outlineLevel="0" collapsed="false">
      <c r="Z680" s="38" t="str">
        <f aca="false">IF(ISNUMBER(A680),IF(COUNTIF(祝日!$A:$A,A680)&gt;0,"祝",CHOOSE(WEEKDAY(A680,2),"月","火","水","木","金","土","日")),"")</f>
        <v/>
      </c>
    </row>
    <row r="681" customFormat="false" ht="15" hidden="false" customHeight="false" outlineLevel="0" collapsed="false">
      <c r="Z681" s="38" t="str">
        <f aca="false">IF(ISNUMBER(A681),IF(COUNTIF(祝日!$A:$A,A681)&gt;0,"祝",CHOOSE(WEEKDAY(A681,2),"月","火","水","木","金","土","日")),"")</f>
        <v/>
      </c>
    </row>
    <row r="682" customFormat="false" ht="15" hidden="false" customHeight="false" outlineLevel="0" collapsed="false">
      <c r="Z682" s="38" t="str">
        <f aca="false">IF(ISNUMBER(A682),IF(COUNTIF(祝日!$A:$A,A682)&gt;0,"祝",CHOOSE(WEEKDAY(A682,2),"月","火","水","木","金","土","日")),"")</f>
        <v/>
      </c>
    </row>
    <row r="683" customFormat="false" ht="15" hidden="false" customHeight="false" outlineLevel="0" collapsed="false">
      <c r="Z683" s="38" t="str">
        <f aca="false">IF(ISNUMBER(A683),IF(COUNTIF(祝日!$A:$A,A683)&gt;0,"祝",CHOOSE(WEEKDAY(A683,2),"月","火","水","木","金","土","日")),"")</f>
        <v/>
      </c>
    </row>
    <row r="684" customFormat="false" ht="15" hidden="false" customHeight="false" outlineLevel="0" collapsed="false">
      <c r="Z684" s="38" t="str">
        <f aca="false">IF(ISNUMBER(A684),IF(COUNTIF(祝日!$A:$A,A684)&gt;0,"祝",CHOOSE(WEEKDAY(A684,2),"月","火","水","木","金","土","日")),"")</f>
        <v/>
      </c>
    </row>
    <row r="685" customFormat="false" ht="15" hidden="false" customHeight="false" outlineLevel="0" collapsed="false">
      <c r="Z685" s="38" t="str">
        <f aca="false">IF(ISNUMBER(A685),IF(COUNTIF(祝日!$A:$A,A685)&gt;0,"祝",CHOOSE(WEEKDAY(A685,2),"月","火","水","木","金","土","日")),"")</f>
        <v/>
      </c>
    </row>
    <row r="686" customFormat="false" ht="15" hidden="false" customHeight="false" outlineLevel="0" collapsed="false">
      <c r="Z686" s="38" t="str">
        <f aca="false">IF(ISNUMBER(A686),IF(COUNTIF(祝日!$A:$A,A686)&gt;0,"祝",CHOOSE(WEEKDAY(A686,2),"月","火","水","木","金","土","日")),"")</f>
        <v/>
      </c>
    </row>
    <row r="687" customFormat="false" ht="15" hidden="false" customHeight="false" outlineLevel="0" collapsed="false">
      <c r="Z687" s="38" t="str">
        <f aca="false">IF(ISNUMBER(A687),IF(COUNTIF(祝日!$A:$A,A687)&gt;0,"祝",CHOOSE(WEEKDAY(A687,2),"月","火","水","木","金","土","日")),"")</f>
        <v/>
      </c>
    </row>
    <row r="688" customFormat="false" ht="15" hidden="false" customHeight="false" outlineLevel="0" collapsed="false">
      <c r="Z688" s="38" t="str">
        <f aca="false">IF(ISNUMBER(A688),IF(COUNTIF(祝日!$A:$A,A688)&gt;0,"祝",CHOOSE(WEEKDAY(A688,2),"月","火","水","木","金","土","日")),"")</f>
        <v/>
      </c>
    </row>
    <row r="689" customFormat="false" ht="15" hidden="false" customHeight="false" outlineLevel="0" collapsed="false">
      <c r="Z689" s="38" t="str">
        <f aca="false">IF(ISNUMBER(A689),IF(COUNTIF(祝日!$A:$A,A689)&gt;0,"祝",CHOOSE(WEEKDAY(A689,2),"月","火","水","木","金","土","日")),"")</f>
        <v/>
      </c>
    </row>
    <row r="690" customFormat="false" ht="15" hidden="false" customHeight="false" outlineLevel="0" collapsed="false">
      <c r="Z690" s="38" t="str">
        <f aca="false">IF(ISNUMBER(A690),IF(COUNTIF(祝日!$A:$A,A690)&gt;0,"祝",CHOOSE(WEEKDAY(A690,2),"月","火","水","木","金","土","日")),"")</f>
        <v/>
      </c>
    </row>
    <row r="691" customFormat="false" ht="15" hidden="false" customHeight="false" outlineLevel="0" collapsed="false">
      <c r="Z691" s="38" t="str">
        <f aca="false">IF(ISNUMBER(A691),IF(COUNTIF(祝日!$A:$A,A691)&gt;0,"祝",CHOOSE(WEEKDAY(A691,2),"月","火","水","木","金","土","日")),"")</f>
        <v/>
      </c>
    </row>
    <row r="692" customFormat="false" ht="15" hidden="false" customHeight="false" outlineLevel="0" collapsed="false">
      <c r="Z692" s="38" t="str">
        <f aca="false">IF(ISNUMBER(A692),IF(COUNTIF(祝日!$A:$A,A692)&gt;0,"祝",CHOOSE(WEEKDAY(A692,2),"月","火","水","木","金","土","日")),"")</f>
        <v/>
      </c>
    </row>
    <row r="693" customFormat="false" ht="15" hidden="false" customHeight="false" outlineLevel="0" collapsed="false">
      <c r="Z693" s="38" t="str">
        <f aca="false">IF(ISNUMBER(A693),IF(COUNTIF(祝日!$A:$A,A693)&gt;0,"祝",CHOOSE(WEEKDAY(A693,2),"月","火","水","木","金","土","日")),"")</f>
        <v/>
      </c>
    </row>
    <row r="694" customFormat="false" ht="15" hidden="false" customHeight="false" outlineLevel="0" collapsed="false">
      <c r="Z694" s="38" t="str">
        <f aca="false">IF(ISNUMBER(A694),IF(COUNTIF(祝日!$A:$A,A694)&gt;0,"祝",CHOOSE(WEEKDAY(A694,2),"月","火","水","木","金","土","日")),"")</f>
        <v/>
      </c>
    </row>
    <row r="695" customFormat="false" ht="15" hidden="false" customHeight="false" outlineLevel="0" collapsed="false">
      <c r="Z695" s="38" t="str">
        <f aca="false">IF(ISNUMBER(A695),IF(COUNTIF(祝日!$A:$A,A695)&gt;0,"祝",CHOOSE(WEEKDAY(A695,2),"月","火","水","木","金","土","日")),"")</f>
        <v/>
      </c>
    </row>
    <row r="696" customFormat="false" ht="15" hidden="false" customHeight="false" outlineLevel="0" collapsed="false">
      <c r="Z696" s="38" t="str">
        <f aca="false">IF(ISNUMBER(A696),IF(COUNTIF(祝日!$A:$A,A696)&gt;0,"祝",CHOOSE(WEEKDAY(A696,2),"月","火","水","木","金","土","日")),"")</f>
        <v/>
      </c>
    </row>
    <row r="697" customFormat="false" ht="15" hidden="false" customHeight="false" outlineLevel="0" collapsed="false">
      <c r="Z697" s="38" t="str">
        <f aca="false">IF(ISNUMBER(A697),IF(COUNTIF(祝日!$A:$A,A697)&gt;0,"祝",CHOOSE(WEEKDAY(A697,2),"月","火","水","木","金","土","日")),"")</f>
        <v/>
      </c>
    </row>
    <row r="698" customFormat="false" ht="15" hidden="false" customHeight="false" outlineLevel="0" collapsed="false">
      <c r="Z698" s="38" t="str">
        <f aca="false">IF(ISNUMBER(A698),IF(COUNTIF(祝日!$A:$A,A698)&gt;0,"祝",CHOOSE(WEEKDAY(A698,2),"月","火","水","木","金","土","日")),"")</f>
        <v/>
      </c>
    </row>
    <row r="699" customFormat="false" ht="15" hidden="false" customHeight="false" outlineLevel="0" collapsed="false">
      <c r="Z699" s="38" t="str">
        <f aca="false">IF(ISNUMBER(A699),IF(COUNTIF(祝日!$A:$A,A699)&gt;0,"祝",CHOOSE(WEEKDAY(A699,2),"月","火","水","木","金","土","日")),"")</f>
        <v/>
      </c>
    </row>
    <row r="700" customFormat="false" ht="15" hidden="false" customHeight="false" outlineLevel="0" collapsed="false">
      <c r="Z700" s="38" t="str">
        <f aca="false">IF(ISNUMBER(A700),IF(COUNTIF(祝日!$A:$A,A700)&gt;0,"祝",CHOOSE(WEEKDAY(A700,2),"月","火","水","木","金","土","日")),"")</f>
        <v/>
      </c>
    </row>
    <row r="701" customFormat="false" ht="15" hidden="false" customHeight="false" outlineLevel="0" collapsed="false">
      <c r="Z701" s="38" t="str">
        <f aca="false">IF(ISNUMBER(A701),IF(COUNTIF(祝日!$A:$A,A701)&gt;0,"祝",CHOOSE(WEEKDAY(A701,2),"月","火","水","木","金","土","日")),"")</f>
        <v/>
      </c>
    </row>
    <row r="702" customFormat="false" ht="15" hidden="false" customHeight="false" outlineLevel="0" collapsed="false">
      <c r="Z702" s="38" t="str">
        <f aca="false">IF(ISNUMBER(A702),IF(COUNTIF(祝日!$A:$A,A702)&gt;0,"祝",CHOOSE(WEEKDAY(A702,2),"月","火","水","木","金","土","日")),"")</f>
        <v/>
      </c>
    </row>
    <row r="703" customFormat="false" ht="15" hidden="false" customHeight="false" outlineLevel="0" collapsed="false">
      <c r="Z703" s="38" t="str">
        <f aca="false">IF(ISNUMBER(A703),IF(COUNTIF(祝日!$A:$A,A703)&gt;0,"祝",CHOOSE(WEEKDAY(A703,2),"月","火","水","木","金","土","日")),"")</f>
        <v/>
      </c>
    </row>
    <row r="704" customFormat="false" ht="15" hidden="false" customHeight="false" outlineLevel="0" collapsed="false">
      <c r="Z704" s="38" t="str">
        <f aca="false">IF(ISNUMBER(A704),IF(COUNTIF(祝日!$A:$A,A704)&gt;0,"祝",CHOOSE(WEEKDAY(A704,2),"月","火","水","木","金","土","日")),"")</f>
        <v/>
      </c>
    </row>
    <row r="705" customFormat="false" ht="15" hidden="false" customHeight="false" outlineLevel="0" collapsed="false">
      <c r="Z705" s="38" t="str">
        <f aca="false">IF(ISNUMBER(A705),IF(COUNTIF(祝日!$A:$A,A705)&gt;0,"祝",CHOOSE(WEEKDAY(A705,2),"月","火","水","木","金","土","日")),"")</f>
        <v/>
      </c>
    </row>
    <row r="706" customFormat="false" ht="15" hidden="false" customHeight="false" outlineLevel="0" collapsed="false">
      <c r="Z706" s="38" t="str">
        <f aca="false">IF(ISNUMBER(A706),IF(COUNTIF(祝日!$A:$A,A706)&gt;0,"祝",CHOOSE(WEEKDAY(A706,2),"月","火","水","木","金","土","日")),"")</f>
        <v/>
      </c>
    </row>
    <row r="707" customFormat="false" ht="15" hidden="false" customHeight="false" outlineLevel="0" collapsed="false">
      <c r="Z707" s="38" t="str">
        <f aca="false">IF(ISNUMBER(A707),IF(COUNTIF(祝日!$A:$A,A707)&gt;0,"祝",CHOOSE(WEEKDAY(A707,2),"月","火","水","木","金","土","日")),"")</f>
        <v/>
      </c>
    </row>
    <row r="708" customFormat="false" ht="15" hidden="false" customHeight="false" outlineLevel="0" collapsed="false">
      <c r="Z708" s="38" t="str">
        <f aca="false">IF(ISNUMBER(A708),IF(COUNTIF(祝日!$A:$A,A708)&gt;0,"祝",CHOOSE(WEEKDAY(A708,2),"月","火","水","木","金","土","日")),"")</f>
        <v/>
      </c>
    </row>
    <row r="709" customFormat="false" ht="15" hidden="false" customHeight="false" outlineLevel="0" collapsed="false">
      <c r="Z709" s="38" t="str">
        <f aca="false">IF(ISNUMBER(A709),IF(COUNTIF(祝日!$A:$A,A709)&gt;0,"祝",CHOOSE(WEEKDAY(A709,2),"月","火","水","木","金","土","日")),"")</f>
        <v/>
      </c>
    </row>
    <row r="710" customFormat="false" ht="15" hidden="false" customHeight="false" outlineLevel="0" collapsed="false">
      <c r="Z710" s="38" t="str">
        <f aca="false">IF(ISNUMBER(A710),IF(COUNTIF(祝日!$A:$A,A710)&gt;0,"祝",CHOOSE(WEEKDAY(A710,2),"月","火","水","木","金","土","日")),"")</f>
        <v/>
      </c>
    </row>
    <row r="711" customFormat="false" ht="15" hidden="false" customHeight="false" outlineLevel="0" collapsed="false">
      <c r="Z711" s="38" t="str">
        <f aca="false">IF(ISNUMBER(A711),IF(COUNTIF(祝日!$A:$A,A711)&gt;0,"祝",CHOOSE(WEEKDAY(A711,2),"月","火","水","木","金","土","日")),"")</f>
        <v/>
      </c>
    </row>
    <row r="712" customFormat="false" ht="15" hidden="false" customHeight="false" outlineLevel="0" collapsed="false">
      <c r="Z712" s="38" t="str">
        <f aca="false">IF(ISNUMBER(A712),IF(COUNTIF(祝日!$A:$A,A712)&gt;0,"祝",CHOOSE(WEEKDAY(A712,2),"月","火","水","木","金","土","日")),"")</f>
        <v/>
      </c>
    </row>
    <row r="713" customFormat="false" ht="15" hidden="false" customHeight="false" outlineLevel="0" collapsed="false">
      <c r="Z713" s="38" t="str">
        <f aca="false">IF(ISNUMBER(A713),IF(COUNTIF(祝日!$A:$A,A713)&gt;0,"祝",CHOOSE(WEEKDAY(A713,2),"月","火","水","木","金","土","日")),"")</f>
        <v/>
      </c>
    </row>
    <row r="714" customFormat="false" ht="15" hidden="false" customHeight="false" outlineLevel="0" collapsed="false">
      <c r="Z714" s="38" t="str">
        <f aca="false">IF(ISNUMBER(A714),IF(COUNTIF(祝日!$A:$A,A714)&gt;0,"祝",CHOOSE(WEEKDAY(A714,2),"月","火","水","木","金","土","日")),"")</f>
        <v/>
      </c>
    </row>
    <row r="715" customFormat="false" ht="15" hidden="false" customHeight="false" outlineLevel="0" collapsed="false">
      <c r="Z715" s="38" t="str">
        <f aca="false">IF(ISNUMBER(A715),IF(COUNTIF(祝日!$A:$A,A715)&gt;0,"祝",CHOOSE(WEEKDAY(A715,2),"月","火","水","木","金","土","日")),"")</f>
        <v/>
      </c>
    </row>
    <row r="716" customFormat="false" ht="15" hidden="false" customHeight="false" outlineLevel="0" collapsed="false">
      <c r="Z716" s="38" t="str">
        <f aca="false">IF(ISNUMBER(A716),IF(COUNTIF(祝日!$A:$A,A716)&gt;0,"祝",CHOOSE(WEEKDAY(A716,2),"月","火","水","木","金","土","日")),"")</f>
        <v/>
      </c>
    </row>
    <row r="717" customFormat="false" ht="15" hidden="false" customHeight="false" outlineLevel="0" collapsed="false">
      <c r="Z717" s="38" t="str">
        <f aca="false">IF(ISNUMBER(A717),IF(COUNTIF(祝日!$A:$A,A717)&gt;0,"祝",CHOOSE(WEEKDAY(A717,2),"月","火","水","木","金","土","日")),"")</f>
        <v/>
      </c>
    </row>
    <row r="718" customFormat="false" ht="15" hidden="false" customHeight="false" outlineLevel="0" collapsed="false">
      <c r="Z718" s="38" t="str">
        <f aca="false">IF(ISNUMBER(A718),IF(COUNTIF(祝日!$A:$A,A718)&gt;0,"祝",CHOOSE(WEEKDAY(A718,2),"月","火","水","木","金","土","日")),"")</f>
        <v/>
      </c>
    </row>
    <row r="719" customFormat="false" ht="15" hidden="false" customHeight="false" outlineLevel="0" collapsed="false">
      <c r="Z719" s="38" t="str">
        <f aca="false">IF(ISNUMBER(A719),IF(COUNTIF(祝日!$A:$A,A719)&gt;0,"祝",CHOOSE(WEEKDAY(A719,2),"月","火","水","木","金","土","日")),"")</f>
        <v/>
      </c>
    </row>
    <row r="720" customFormat="false" ht="15" hidden="false" customHeight="false" outlineLevel="0" collapsed="false">
      <c r="Z720" s="38" t="str">
        <f aca="false">IF(ISNUMBER(A720),IF(COUNTIF(祝日!$A:$A,A720)&gt;0,"祝",CHOOSE(WEEKDAY(A720,2),"月","火","水","木","金","土","日")),"")</f>
        <v/>
      </c>
    </row>
    <row r="721" customFormat="false" ht="15" hidden="false" customHeight="false" outlineLevel="0" collapsed="false">
      <c r="Z721" s="38" t="str">
        <f aca="false">IF(ISNUMBER(A721),IF(COUNTIF(祝日!$A:$A,A721)&gt;0,"祝",CHOOSE(WEEKDAY(A721,2),"月","火","水","木","金","土","日")),"")</f>
        <v/>
      </c>
    </row>
    <row r="722" customFormat="false" ht="15" hidden="false" customHeight="false" outlineLevel="0" collapsed="false">
      <c r="Z722" s="38" t="str">
        <f aca="false">IF(ISNUMBER(A722),IF(COUNTIF(祝日!$A:$A,A722)&gt;0,"祝",CHOOSE(WEEKDAY(A722,2),"月","火","水","木","金","土","日")),"")</f>
        <v/>
      </c>
    </row>
    <row r="723" customFormat="false" ht="15" hidden="false" customHeight="false" outlineLevel="0" collapsed="false">
      <c r="Z723" s="38" t="str">
        <f aca="false">IF(ISNUMBER(A723),IF(COUNTIF(祝日!$A:$A,A723)&gt;0,"祝",CHOOSE(WEEKDAY(A723,2),"月","火","水","木","金","土","日")),"")</f>
        <v/>
      </c>
    </row>
    <row r="724" customFormat="false" ht="15" hidden="false" customHeight="false" outlineLevel="0" collapsed="false">
      <c r="Z724" s="38" t="str">
        <f aca="false">IF(ISNUMBER(A724),IF(COUNTIF(祝日!$A:$A,A724)&gt;0,"祝",CHOOSE(WEEKDAY(A724,2),"月","火","水","木","金","土","日")),"")</f>
        <v/>
      </c>
    </row>
    <row r="725" customFormat="false" ht="15" hidden="false" customHeight="false" outlineLevel="0" collapsed="false">
      <c r="Z725" s="38" t="str">
        <f aca="false">IF(ISNUMBER(A725),IF(COUNTIF(祝日!$A:$A,A725)&gt;0,"祝",CHOOSE(WEEKDAY(A725,2),"月","火","水","木","金","土","日")),"")</f>
        <v/>
      </c>
    </row>
    <row r="726" customFormat="false" ht="15" hidden="false" customHeight="false" outlineLevel="0" collapsed="false">
      <c r="Z726" s="38" t="str">
        <f aca="false">IF(ISNUMBER(A726),IF(COUNTIF(祝日!$A:$A,A726)&gt;0,"祝",CHOOSE(WEEKDAY(A726,2),"月","火","水","木","金","土","日")),"")</f>
        <v/>
      </c>
    </row>
    <row r="727" customFormat="false" ht="15" hidden="false" customHeight="false" outlineLevel="0" collapsed="false">
      <c r="Z727" s="38" t="str">
        <f aca="false">IF(ISNUMBER(A727),IF(COUNTIF(祝日!$A:$A,A727)&gt;0,"祝",CHOOSE(WEEKDAY(A727,2),"月","火","水","木","金","土","日")),"")</f>
        <v/>
      </c>
    </row>
    <row r="728" customFormat="false" ht="15" hidden="false" customHeight="false" outlineLevel="0" collapsed="false">
      <c r="Z728" s="38" t="str">
        <f aca="false">IF(ISNUMBER(A728),IF(COUNTIF(祝日!$A:$A,A728)&gt;0,"祝",CHOOSE(WEEKDAY(A728,2),"月","火","水","木","金","土","日")),"")</f>
        <v/>
      </c>
    </row>
    <row r="729" customFormat="false" ht="15" hidden="false" customHeight="false" outlineLevel="0" collapsed="false">
      <c r="Z729" s="38" t="str">
        <f aca="false">IF(ISNUMBER(A729),IF(COUNTIF(祝日!$A:$A,A729)&gt;0,"祝",CHOOSE(WEEKDAY(A729,2),"月","火","水","木","金","土","日")),"")</f>
        <v/>
      </c>
    </row>
    <row r="730" customFormat="false" ht="15" hidden="false" customHeight="false" outlineLevel="0" collapsed="false">
      <c r="Z730" s="38" t="str">
        <f aca="false">IF(ISNUMBER(A730),IF(COUNTIF(祝日!$A:$A,A730)&gt;0,"祝",CHOOSE(WEEKDAY(A730,2),"月","火","水","木","金","土","日")),"")</f>
        <v/>
      </c>
    </row>
    <row r="731" customFormat="false" ht="15" hidden="false" customHeight="false" outlineLevel="0" collapsed="false">
      <c r="Z731" s="38" t="str">
        <f aca="false">IF(ISNUMBER(A731),IF(COUNTIF(祝日!$A:$A,A731)&gt;0,"祝",CHOOSE(WEEKDAY(A731,2),"月","火","水","木","金","土","日")),"")</f>
        <v/>
      </c>
    </row>
    <row r="732" customFormat="false" ht="15" hidden="false" customHeight="false" outlineLevel="0" collapsed="false">
      <c r="Z732" s="38" t="str">
        <f aca="false">IF(ISNUMBER(A732),IF(COUNTIF(祝日!$A:$A,A732)&gt;0,"祝",CHOOSE(WEEKDAY(A732,2),"月","火","水","木","金","土","日")),"")</f>
        <v/>
      </c>
    </row>
    <row r="733" customFormat="false" ht="15" hidden="false" customHeight="false" outlineLevel="0" collapsed="false">
      <c r="Z733" s="38" t="str">
        <f aca="false">IF(ISNUMBER(A733),IF(COUNTIF(祝日!$A:$A,A733)&gt;0,"祝",CHOOSE(WEEKDAY(A733,2),"月","火","水","木","金","土","日")),"")</f>
        <v/>
      </c>
    </row>
    <row r="734" customFormat="false" ht="15" hidden="false" customHeight="false" outlineLevel="0" collapsed="false">
      <c r="Z734" s="38" t="str">
        <f aca="false">IF(ISNUMBER(A734),IF(COUNTIF(祝日!$A:$A,A734)&gt;0,"祝",CHOOSE(WEEKDAY(A734,2),"月","火","水","木","金","土","日")),"")</f>
        <v/>
      </c>
    </row>
    <row r="735" customFormat="false" ht="15" hidden="false" customHeight="false" outlineLevel="0" collapsed="false">
      <c r="Z735" s="38" t="str">
        <f aca="false">IF(ISNUMBER(A735),IF(COUNTIF(祝日!$A:$A,A735)&gt;0,"祝",CHOOSE(WEEKDAY(A735,2),"月","火","水","木","金","土","日")),"")</f>
        <v/>
      </c>
    </row>
    <row r="736" customFormat="false" ht="15" hidden="false" customHeight="false" outlineLevel="0" collapsed="false">
      <c r="Z736" s="38" t="str">
        <f aca="false">IF(ISNUMBER(A736),IF(COUNTIF(祝日!$A:$A,A736)&gt;0,"祝",CHOOSE(WEEKDAY(A736,2),"月","火","水","木","金","土","日")),"")</f>
        <v/>
      </c>
    </row>
    <row r="737" customFormat="false" ht="15" hidden="false" customHeight="false" outlineLevel="0" collapsed="false">
      <c r="Z737" s="38" t="str">
        <f aca="false">IF(ISNUMBER(A737),IF(COUNTIF(祝日!$A:$A,A737)&gt;0,"祝",CHOOSE(WEEKDAY(A737,2),"月","火","水","木","金","土","日")),"")</f>
        <v/>
      </c>
    </row>
    <row r="738" customFormat="false" ht="15" hidden="false" customHeight="false" outlineLevel="0" collapsed="false">
      <c r="Z738" s="38" t="str">
        <f aca="false">IF(ISNUMBER(A738),IF(COUNTIF(祝日!$A:$A,A738)&gt;0,"祝",CHOOSE(WEEKDAY(A738,2),"月","火","水","木","金","土","日")),"")</f>
        <v/>
      </c>
    </row>
    <row r="739" customFormat="false" ht="15" hidden="false" customHeight="false" outlineLevel="0" collapsed="false">
      <c r="Z739" s="38" t="str">
        <f aca="false">IF(ISNUMBER(A739),IF(COUNTIF(祝日!$A:$A,A739)&gt;0,"祝",CHOOSE(WEEKDAY(A739,2),"月","火","水","木","金","土","日")),"")</f>
        <v/>
      </c>
    </row>
    <row r="740" customFormat="false" ht="15" hidden="false" customHeight="false" outlineLevel="0" collapsed="false">
      <c r="Z740" s="38" t="str">
        <f aca="false">IF(ISNUMBER(A740),IF(COUNTIF(祝日!$A:$A,A740)&gt;0,"祝",CHOOSE(WEEKDAY(A740,2),"月","火","水","木","金","土","日")),"")</f>
        <v/>
      </c>
    </row>
    <row r="741" customFormat="false" ht="15" hidden="false" customHeight="false" outlineLevel="0" collapsed="false">
      <c r="Z741" s="38" t="str">
        <f aca="false">IF(ISNUMBER(A741),IF(COUNTIF(祝日!$A:$A,A741)&gt;0,"祝",CHOOSE(WEEKDAY(A741,2),"月","火","水","木","金","土","日")),"")</f>
        <v/>
      </c>
    </row>
    <row r="742" customFormat="false" ht="15" hidden="false" customHeight="false" outlineLevel="0" collapsed="false">
      <c r="Z742" s="38" t="str">
        <f aca="false">IF(ISNUMBER(A742),IF(COUNTIF(祝日!$A:$A,A742)&gt;0,"祝",CHOOSE(WEEKDAY(A742,2),"月","火","水","木","金","土","日")),"")</f>
        <v/>
      </c>
    </row>
    <row r="743" customFormat="false" ht="15" hidden="false" customHeight="false" outlineLevel="0" collapsed="false">
      <c r="Z743" s="38" t="str">
        <f aca="false">IF(ISNUMBER(A743),IF(COUNTIF(祝日!$A:$A,A743)&gt;0,"祝",CHOOSE(WEEKDAY(A743,2),"月","火","水","木","金","土","日")),"")</f>
        <v/>
      </c>
    </row>
    <row r="744" customFormat="false" ht="15" hidden="false" customHeight="false" outlineLevel="0" collapsed="false">
      <c r="Z744" s="38" t="str">
        <f aca="false">IF(ISNUMBER(A744),IF(COUNTIF(祝日!$A:$A,A744)&gt;0,"祝",CHOOSE(WEEKDAY(A744,2),"月","火","水","木","金","土","日")),"")</f>
        <v/>
      </c>
    </row>
    <row r="745" customFormat="false" ht="15" hidden="false" customHeight="false" outlineLevel="0" collapsed="false">
      <c r="Z745" s="38" t="str">
        <f aca="false">IF(ISNUMBER(A745),IF(COUNTIF(祝日!$A:$A,A745)&gt;0,"祝",CHOOSE(WEEKDAY(A745,2),"月","火","水","木","金","土","日")),"")</f>
        <v/>
      </c>
    </row>
    <row r="746" customFormat="false" ht="15" hidden="false" customHeight="false" outlineLevel="0" collapsed="false">
      <c r="Z746" s="38" t="str">
        <f aca="false">IF(ISNUMBER(A746),IF(COUNTIF(祝日!$A:$A,A746)&gt;0,"祝",CHOOSE(WEEKDAY(A746,2),"月","火","水","木","金","土","日")),"")</f>
        <v/>
      </c>
    </row>
    <row r="747" customFormat="false" ht="15" hidden="false" customHeight="false" outlineLevel="0" collapsed="false">
      <c r="Z747" s="38" t="str">
        <f aca="false">IF(ISNUMBER(A747),IF(COUNTIF(祝日!$A:$A,A747)&gt;0,"祝",CHOOSE(WEEKDAY(A747,2),"月","火","水","木","金","土","日")),"")</f>
        <v/>
      </c>
    </row>
    <row r="748" customFormat="false" ht="15" hidden="false" customHeight="false" outlineLevel="0" collapsed="false">
      <c r="Z748" s="38" t="str">
        <f aca="false">IF(ISNUMBER(A748),IF(COUNTIF(祝日!$A:$A,A748)&gt;0,"祝",CHOOSE(WEEKDAY(A748,2),"月","火","水","木","金","土","日")),"")</f>
        <v/>
      </c>
    </row>
    <row r="749" customFormat="false" ht="15" hidden="false" customHeight="false" outlineLevel="0" collapsed="false">
      <c r="Z749" s="38" t="str">
        <f aca="false">IF(ISNUMBER(A749),IF(COUNTIF(祝日!$A:$A,A749)&gt;0,"祝",CHOOSE(WEEKDAY(A749,2),"月","火","水","木","金","土","日")),"")</f>
        <v/>
      </c>
    </row>
    <row r="750" customFormat="false" ht="15" hidden="false" customHeight="false" outlineLevel="0" collapsed="false">
      <c r="Z750" s="38" t="str">
        <f aca="false">IF(ISNUMBER(A750),IF(COUNTIF(祝日!$A:$A,A750)&gt;0,"祝",CHOOSE(WEEKDAY(A750,2),"月","火","水","木","金","土","日")),"")</f>
        <v/>
      </c>
    </row>
    <row r="751" customFormat="false" ht="15" hidden="false" customHeight="false" outlineLevel="0" collapsed="false">
      <c r="Z751" s="38" t="str">
        <f aca="false">IF(ISNUMBER(A751),IF(COUNTIF(祝日!$A:$A,A751)&gt;0,"祝",CHOOSE(WEEKDAY(A751,2),"月","火","水","木","金","土","日")),"")</f>
        <v/>
      </c>
    </row>
    <row r="752" customFormat="false" ht="15" hidden="false" customHeight="false" outlineLevel="0" collapsed="false">
      <c r="Z752" s="38" t="str">
        <f aca="false">IF(ISNUMBER(A752),IF(COUNTIF(祝日!$A:$A,A752)&gt;0,"祝",CHOOSE(WEEKDAY(A752,2),"月","火","水","木","金","土","日")),"")</f>
        <v/>
      </c>
    </row>
    <row r="753" customFormat="false" ht="15" hidden="false" customHeight="false" outlineLevel="0" collapsed="false">
      <c r="Z753" s="38" t="str">
        <f aca="false">IF(ISNUMBER(A753),IF(COUNTIF(祝日!$A:$A,A753)&gt;0,"祝",CHOOSE(WEEKDAY(A753,2),"月","火","水","木","金","土","日")),"")</f>
        <v/>
      </c>
    </row>
    <row r="754" customFormat="false" ht="15" hidden="false" customHeight="false" outlineLevel="0" collapsed="false">
      <c r="Z754" s="38" t="str">
        <f aca="false">IF(ISNUMBER(A754),IF(COUNTIF(祝日!$A:$A,A754)&gt;0,"祝",CHOOSE(WEEKDAY(A754,2),"月","火","水","木","金","土","日")),"")</f>
        <v/>
      </c>
    </row>
    <row r="755" customFormat="false" ht="15" hidden="false" customHeight="false" outlineLevel="0" collapsed="false">
      <c r="Z755" s="38" t="str">
        <f aca="false">IF(ISNUMBER(A755),IF(COUNTIF(祝日!$A:$A,A755)&gt;0,"祝",CHOOSE(WEEKDAY(A755,2),"月","火","水","木","金","土","日")),"")</f>
        <v/>
      </c>
    </row>
    <row r="756" customFormat="false" ht="15" hidden="false" customHeight="false" outlineLevel="0" collapsed="false">
      <c r="Z756" s="38" t="str">
        <f aca="false">IF(ISNUMBER(A756),IF(COUNTIF(祝日!$A:$A,A756)&gt;0,"祝",CHOOSE(WEEKDAY(A756,2),"月","火","水","木","金","土","日")),"")</f>
        <v/>
      </c>
    </row>
    <row r="757" customFormat="false" ht="15" hidden="false" customHeight="false" outlineLevel="0" collapsed="false">
      <c r="Z757" s="38" t="str">
        <f aca="false">IF(ISNUMBER(A757),IF(COUNTIF(祝日!$A:$A,A757)&gt;0,"祝",CHOOSE(WEEKDAY(A757,2),"月","火","水","木","金","土","日")),"")</f>
        <v/>
      </c>
    </row>
    <row r="758" customFormat="false" ht="15" hidden="false" customHeight="false" outlineLevel="0" collapsed="false">
      <c r="Z758" s="38" t="str">
        <f aca="false">IF(ISNUMBER(A758),IF(COUNTIF(祝日!$A:$A,A758)&gt;0,"祝",CHOOSE(WEEKDAY(A758,2),"月","火","水","木","金","土","日")),"")</f>
        <v/>
      </c>
    </row>
    <row r="759" customFormat="false" ht="15" hidden="false" customHeight="false" outlineLevel="0" collapsed="false">
      <c r="Z759" s="38" t="str">
        <f aca="false">IF(ISNUMBER(A759),IF(COUNTIF(祝日!$A:$A,A759)&gt;0,"祝",CHOOSE(WEEKDAY(A759,2),"月","火","水","木","金","土","日")),"")</f>
        <v/>
      </c>
    </row>
    <row r="760" customFormat="false" ht="15" hidden="false" customHeight="false" outlineLevel="0" collapsed="false">
      <c r="Z760" s="38" t="str">
        <f aca="false">IF(ISNUMBER(A760),IF(COUNTIF(祝日!$A:$A,A760)&gt;0,"祝",CHOOSE(WEEKDAY(A760,2),"月","火","水","木","金","土","日")),"")</f>
        <v/>
      </c>
    </row>
    <row r="761" customFormat="false" ht="15" hidden="false" customHeight="false" outlineLevel="0" collapsed="false">
      <c r="Z761" s="38" t="str">
        <f aca="false">IF(ISNUMBER(A761),IF(COUNTIF(祝日!$A:$A,A761)&gt;0,"祝",CHOOSE(WEEKDAY(A761,2),"月","火","水","木","金","土","日")),"")</f>
        <v/>
      </c>
    </row>
    <row r="762" customFormat="false" ht="15" hidden="false" customHeight="false" outlineLevel="0" collapsed="false">
      <c r="Z762" s="38" t="str">
        <f aca="false">IF(ISNUMBER(A762),IF(COUNTIF(祝日!$A:$A,A762)&gt;0,"祝",CHOOSE(WEEKDAY(A762,2),"月","火","水","木","金","土","日")),"")</f>
        <v/>
      </c>
    </row>
    <row r="763" customFormat="false" ht="15" hidden="false" customHeight="false" outlineLevel="0" collapsed="false">
      <c r="Z763" s="38" t="str">
        <f aca="false">IF(ISNUMBER(A763),IF(COUNTIF(祝日!$A:$A,A763)&gt;0,"祝",CHOOSE(WEEKDAY(A763,2),"月","火","水","木","金","土","日")),"")</f>
        <v/>
      </c>
    </row>
    <row r="764" customFormat="false" ht="15" hidden="false" customHeight="false" outlineLevel="0" collapsed="false">
      <c r="Z764" s="38" t="str">
        <f aca="false">IF(ISNUMBER(A764),IF(COUNTIF(祝日!$A:$A,A764)&gt;0,"祝",CHOOSE(WEEKDAY(A764,2),"月","火","水","木","金","土","日")),"")</f>
        <v/>
      </c>
    </row>
    <row r="765" customFormat="false" ht="15" hidden="false" customHeight="false" outlineLevel="0" collapsed="false">
      <c r="Z765" s="38" t="str">
        <f aca="false">IF(ISNUMBER(A765),IF(COUNTIF(祝日!$A:$A,A765)&gt;0,"祝",CHOOSE(WEEKDAY(A765,2),"月","火","水","木","金","土","日")),"")</f>
        <v/>
      </c>
    </row>
    <row r="766" customFormat="false" ht="15" hidden="false" customHeight="false" outlineLevel="0" collapsed="false">
      <c r="Z766" s="38" t="str">
        <f aca="false">IF(ISNUMBER(A766),IF(COUNTIF(祝日!$A:$A,A766)&gt;0,"祝",CHOOSE(WEEKDAY(A766,2),"月","火","水","木","金","土","日")),"")</f>
        <v/>
      </c>
    </row>
    <row r="767" customFormat="false" ht="15" hidden="false" customHeight="false" outlineLevel="0" collapsed="false">
      <c r="Z767" s="38" t="str">
        <f aca="false">IF(ISNUMBER(A767),IF(COUNTIF(祝日!$A:$A,A767)&gt;0,"祝",CHOOSE(WEEKDAY(A767,2),"月","火","水","木","金","土","日")),"")</f>
        <v/>
      </c>
    </row>
    <row r="768" customFormat="false" ht="15" hidden="false" customHeight="false" outlineLevel="0" collapsed="false">
      <c r="Z768" s="38" t="str">
        <f aca="false">IF(ISNUMBER(A768),IF(COUNTIF(祝日!$A:$A,A768)&gt;0,"祝",CHOOSE(WEEKDAY(A768,2),"月","火","水","木","金","土","日")),"")</f>
        <v/>
      </c>
    </row>
    <row r="769" customFormat="false" ht="15" hidden="false" customHeight="false" outlineLevel="0" collapsed="false">
      <c r="Z769" s="38" t="str">
        <f aca="false">IF(ISNUMBER(A769),IF(COUNTIF(祝日!$A:$A,A769)&gt;0,"祝",CHOOSE(WEEKDAY(A769,2),"月","火","水","木","金","土","日")),"")</f>
        <v/>
      </c>
    </row>
    <row r="770" customFormat="false" ht="15" hidden="false" customHeight="false" outlineLevel="0" collapsed="false">
      <c r="Z770" s="38" t="str">
        <f aca="false">IF(ISNUMBER(A770),IF(COUNTIF(祝日!$A:$A,A770)&gt;0,"祝",CHOOSE(WEEKDAY(A770,2),"月","火","水","木","金","土","日")),"")</f>
        <v/>
      </c>
    </row>
    <row r="771" customFormat="false" ht="15" hidden="false" customHeight="false" outlineLevel="0" collapsed="false">
      <c r="Z771" s="38" t="str">
        <f aca="false">IF(ISNUMBER(A771),IF(COUNTIF(祝日!$A:$A,A771)&gt;0,"祝",CHOOSE(WEEKDAY(A771,2),"月","火","水","木","金","土","日")),"")</f>
        <v/>
      </c>
    </row>
    <row r="772" customFormat="false" ht="15" hidden="false" customHeight="false" outlineLevel="0" collapsed="false">
      <c r="Z772" s="38" t="str">
        <f aca="false">IF(ISNUMBER(A772),IF(COUNTIF(祝日!$A:$A,A772)&gt;0,"祝",CHOOSE(WEEKDAY(A772,2),"月","火","水","木","金","土","日")),"")</f>
        <v/>
      </c>
    </row>
    <row r="773" customFormat="false" ht="15" hidden="false" customHeight="false" outlineLevel="0" collapsed="false">
      <c r="Z773" s="38" t="str">
        <f aca="false">IF(ISNUMBER(A773),IF(COUNTIF(祝日!$A:$A,A773)&gt;0,"祝",CHOOSE(WEEKDAY(A773,2),"月","火","水","木","金","土","日")),"")</f>
        <v/>
      </c>
    </row>
    <row r="774" customFormat="false" ht="15" hidden="false" customHeight="false" outlineLevel="0" collapsed="false">
      <c r="Z774" s="38" t="str">
        <f aca="false">IF(ISNUMBER(A774),IF(COUNTIF(祝日!$A:$A,A774)&gt;0,"祝",CHOOSE(WEEKDAY(A774,2),"月","火","水","木","金","土","日")),"")</f>
        <v/>
      </c>
    </row>
    <row r="775" customFormat="false" ht="15" hidden="false" customHeight="false" outlineLevel="0" collapsed="false">
      <c r="Z775" s="38" t="str">
        <f aca="false">IF(ISNUMBER(A775),IF(COUNTIF(祝日!$A:$A,A775)&gt;0,"祝",CHOOSE(WEEKDAY(A775,2),"月","火","水","木","金","土","日")),"")</f>
        <v/>
      </c>
    </row>
    <row r="776" customFormat="false" ht="15" hidden="false" customHeight="false" outlineLevel="0" collapsed="false">
      <c r="Z776" s="38" t="str">
        <f aca="false">IF(ISNUMBER(A776),IF(COUNTIF(祝日!$A:$A,A776)&gt;0,"祝",CHOOSE(WEEKDAY(A776,2),"月","火","水","木","金","土","日")),"")</f>
        <v/>
      </c>
    </row>
    <row r="777" customFormat="false" ht="15" hidden="false" customHeight="false" outlineLevel="0" collapsed="false">
      <c r="Z777" s="38" t="str">
        <f aca="false">IF(ISNUMBER(A777),IF(COUNTIF(祝日!$A:$A,A777)&gt;0,"祝",CHOOSE(WEEKDAY(A777,2),"月","火","水","木","金","土","日")),"")</f>
        <v/>
      </c>
    </row>
    <row r="778" customFormat="false" ht="15" hidden="false" customHeight="false" outlineLevel="0" collapsed="false">
      <c r="Z778" s="38" t="str">
        <f aca="false">IF(ISNUMBER(A778),IF(COUNTIF(祝日!$A:$A,A778)&gt;0,"祝",CHOOSE(WEEKDAY(A778,2),"月","火","水","木","金","土","日")),"")</f>
        <v/>
      </c>
    </row>
    <row r="779" customFormat="false" ht="15" hidden="false" customHeight="false" outlineLevel="0" collapsed="false">
      <c r="Z779" s="38" t="str">
        <f aca="false">IF(ISNUMBER(A779),IF(COUNTIF(祝日!$A:$A,A779)&gt;0,"祝",CHOOSE(WEEKDAY(A779,2),"月","火","水","木","金","土","日")),"")</f>
        <v/>
      </c>
    </row>
    <row r="780" customFormat="false" ht="15" hidden="false" customHeight="false" outlineLevel="0" collapsed="false">
      <c r="Z780" s="38" t="str">
        <f aca="false">IF(ISNUMBER(A780),IF(COUNTIF(祝日!$A:$A,A780)&gt;0,"祝",CHOOSE(WEEKDAY(A780,2),"月","火","水","木","金","土","日")),"")</f>
        <v/>
      </c>
    </row>
    <row r="781" customFormat="false" ht="15" hidden="false" customHeight="false" outlineLevel="0" collapsed="false">
      <c r="Z781" s="38" t="str">
        <f aca="false">IF(ISNUMBER(A781),IF(COUNTIF(祝日!$A:$A,A781)&gt;0,"祝",CHOOSE(WEEKDAY(A781,2),"月","火","水","木","金","土","日")),"")</f>
        <v/>
      </c>
    </row>
    <row r="782" customFormat="false" ht="15" hidden="false" customHeight="false" outlineLevel="0" collapsed="false">
      <c r="Z782" s="38" t="str">
        <f aca="false">IF(ISNUMBER(A782),IF(COUNTIF(祝日!$A:$A,A782)&gt;0,"祝",CHOOSE(WEEKDAY(A782,2),"月","火","水","木","金","土","日")),"")</f>
        <v/>
      </c>
    </row>
    <row r="783" customFormat="false" ht="15" hidden="false" customHeight="false" outlineLevel="0" collapsed="false">
      <c r="Z783" s="38" t="str">
        <f aca="false">IF(ISNUMBER(A783),IF(COUNTIF(祝日!$A:$A,A783)&gt;0,"祝",CHOOSE(WEEKDAY(A783,2),"月","火","水","木","金","土","日")),"")</f>
        <v/>
      </c>
    </row>
    <row r="784" customFormat="false" ht="15" hidden="false" customHeight="false" outlineLevel="0" collapsed="false">
      <c r="Z784" s="38" t="str">
        <f aca="false">IF(ISNUMBER(A784),IF(COUNTIF(祝日!$A:$A,A784)&gt;0,"祝",CHOOSE(WEEKDAY(A784,2),"月","火","水","木","金","土","日")),"")</f>
        <v/>
      </c>
    </row>
    <row r="785" customFormat="false" ht="15" hidden="false" customHeight="false" outlineLevel="0" collapsed="false">
      <c r="Z785" s="38" t="str">
        <f aca="false">IF(ISNUMBER(A785),IF(COUNTIF(祝日!$A:$A,A785)&gt;0,"祝",CHOOSE(WEEKDAY(A785,2),"月","火","水","木","金","土","日")),"")</f>
        <v/>
      </c>
    </row>
    <row r="786" customFormat="false" ht="15" hidden="false" customHeight="false" outlineLevel="0" collapsed="false">
      <c r="Z786" s="38" t="str">
        <f aca="false">IF(ISNUMBER(A786),IF(COUNTIF(祝日!$A:$A,A786)&gt;0,"祝",CHOOSE(WEEKDAY(A786,2),"月","火","水","木","金","土","日")),"")</f>
        <v/>
      </c>
    </row>
    <row r="787" customFormat="false" ht="15" hidden="false" customHeight="false" outlineLevel="0" collapsed="false">
      <c r="Z787" s="38" t="str">
        <f aca="false">IF(ISNUMBER(A787),IF(COUNTIF(祝日!$A:$A,A787)&gt;0,"祝",CHOOSE(WEEKDAY(A787,2),"月","火","水","木","金","土","日")),"")</f>
        <v/>
      </c>
    </row>
    <row r="788" customFormat="false" ht="15" hidden="false" customHeight="false" outlineLevel="0" collapsed="false">
      <c r="Z788" s="38" t="str">
        <f aca="false">IF(ISNUMBER(A788),IF(COUNTIF(祝日!$A:$A,A788)&gt;0,"祝",CHOOSE(WEEKDAY(A788,2),"月","火","水","木","金","土","日")),"")</f>
        <v/>
      </c>
    </row>
    <row r="789" customFormat="false" ht="15" hidden="false" customHeight="false" outlineLevel="0" collapsed="false">
      <c r="Z789" s="38" t="str">
        <f aca="false">IF(ISNUMBER(A789),IF(COUNTIF(祝日!$A:$A,A789)&gt;0,"祝",CHOOSE(WEEKDAY(A789,2),"月","火","水","木","金","土","日")),"")</f>
        <v/>
      </c>
    </row>
    <row r="790" customFormat="false" ht="15" hidden="false" customHeight="false" outlineLevel="0" collapsed="false">
      <c r="Z790" s="38" t="str">
        <f aca="false">IF(ISNUMBER(A790),IF(COUNTIF(祝日!$A:$A,A790)&gt;0,"祝",CHOOSE(WEEKDAY(A790,2),"月","火","水","木","金","土","日")),"")</f>
        <v/>
      </c>
    </row>
    <row r="791" customFormat="false" ht="15" hidden="false" customHeight="false" outlineLevel="0" collapsed="false">
      <c r="Z791" s="38" t="str">
        <f aca="false">IF(ISNUMBER(A791),IF(COUNTIF(祝日!$A:$A,A791)&gt;0,"祝",CHOOSE(WEEKDAY(A791,2),"月","火","水","木","金","土","日")),"")</f>
        <v/>
      </c>
    </row>
    <row r="792" customFormat="false" ht="15" hidden="false" customHeight="false" outlineLevel="0" collapsed="false">
      <c r="Z792" s="38" t="str">
        <f aca="false">IF(ISNUMBER(A792),IF(COUNTIF(祝日!$A:$A,A792)&gt;0,"祝",CHOOSE(WEEKDAY(A792,2),"月","火","水","木","金","土","日")),"")</f>
        <v/>
      </c>
    </row>
    <row r="793" customFormat="false" ht="15" hidden="false" customHeight="false" outlineLevel="0" collapsed="false">
      <c r="Z793" s="38" t="str">
        <f aca="false">IF(ISNUMBER(A793),IF(COUNTIF(祝日!$A:$A,A793)&gt;0,"祝",CHOOSE(WEEKDAY(A793,2),"月","火","水","木","金","土","日")),"")</f>
        <v/>
      </c>
    </row>
    <row r="794" customFormat="false" ht="15" hidden="false" customHeight="false" outlineLevel="0" collapsed="false">
      <c r="Z794" s="38" t="str">
        <f aca="false">IF(ISNUMBER(A794),IF(COUNTIF(祝日!$A:$A,A794)&gt;0,"祝",CHOOSE(WEEKDAY(A794,2),"月","火","水","木","金","土","日")),"")</f>
        <v/>
      </c>
    </row>
    <row r="795" customFormat="false" ht="15" hidden="false" customHeight="false" outlineLevel="0" collapsed="false">
      <c r="Z795" s="38" t="str">
        <f aca="false">IF(ISNUMBER(A795),IF(COUNTIF(祝日!$A:$A,A795)&gt;0,"祝",CHOOSE(WEEKDAY(A795,2),"月","火","水","木","金","土","日")),"")</f>
        <v/>
      </c>
    </row>
    <row r="796" customFormat="false" ht="15" hidden="false" customHeight="false" outlineLevel="0" collapsed="false">
      <c r="Z796" s="38" t="str">
        <f aca="false">IF(ISNUMBER(A796),IF(COUNTIF(祝日!$A:$A,A796)&gt;0,"祝",CHOOSE(WEEKDAY(A796,2),"月","火","水","木","金","土","日")),"")</f>
        <v/>
      </c>
    </row>
    <row r="797" customFormat="false" ht="15" hidden="false" customHeight="false" outlineLevel="0" collapsed="false">
      <c r="Z797" s="38" t="str">
        <f aca="false">IF(ISNUMBER(A797),IF(COUNTIF(祝日!$A:$A,A797)&gt;0,"祝",CHOOSE(WEEKDAY(A797,2),"月","火","水","木","金","土","日")),"")</f>
        <v/>
      </c>
    </row>
    <row r="798" customFormat="false" ht="15" hidden="false" customHeight="false" outlineLevel="0" collapsed="false">
      <c r="Z798" s="38" t="str">
        <f aca="false">IF(ISNUMBER(A798),IF(COUNTIF(祝日!$A:$A,A798)&gt;0,"祝",CHOOSE(WEEKDAY(A798,2),"月","火","水","木","金","土","日")),"")</f>
        <v/>
      </c>
    </row>
    <row r="799" customFormat="false" ht="15" hidden="false" customHeight="false" outlineLevel="0" collapsed="false">
      <c r="Z799" s="38" t="str">
        <f aca="false">IF(ISNUMBER(A799),IF(COUNTIF(祝日!$A:$A,A799)&gt;0,"祝",CHOOSE(WEEKDAY(A799,2),"月","火","水","木","金","土","日")),"")</f>
        <v/>
      </c>
    </row>
    <row r="800" customFormat="false" ht="15" hidden="false" customHeight="false" outlineLevel="0" collapsed="false">
      <c r="Z800" s="38" t="str">
        <f aca="false">IF(ISNUMBER(A800),IF(COUNTIF(祝日!$A:$A,A800)&gt;0,"祝",CHOOSE(WEEKDAY(A800,2),"月","火","水","木","金","土","日")),"")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Z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6" min="26" style="0" width="14"/>
  </cols>
  <sheetData>
    <row r="1" customFormat="false" ht="15" hidden="false" customHeight="false" outlineLevel="0" collapsed="false">
      <c r="A1" s="36" t="s">
        <v>67</v>
      </c>
      <c r="Z1" s="37" t="s">
        <v>66</v>
      </c>
    </row>
    <row r="2" customFormat="false" ht="15" hidden="false" customHeight="false" outlineLevel="0" collapsed="false">
      <c r="Z2" s="38" t="str">
        <f aca="false">IF(ISNUMBER(A2),IF(COUNTIF(祝日!$A:$A,A2)&gt;0,"祝",CHOOSE(WEEKDAY(A2,2),"月","火","水","木","金","土","日")),"")</f>
        <v/>
      </c>
    </row>
    <row r="3" customFormat="false" ht="15" hidden="false" customHeight="false" outlineLevel="0" collapsed="false">
      <c r="Z3" s="38" t="str">
        <f aca="false">IF(ISNUMBER(A3),IF(COUNTIF(祝日!$A:$A,A3)&gt;0,"祝",CHOOSE(WEEKDAY(A3,2),"月","火","水","木","金","土","日")),"")</f>
        <v/>
      </c>
    </row>
    <row r="4" customFormat="false" ht="15" hidden="false" customHeight="false" outlineLevel="0" collapsed="false">
      <c r="Z4" s="38" t="str">
        <f aca="false">IF(ISNUMBER(A4),IF(COUNTIF(祝日!$A:$A,A4)&gt;0,"祝",CHOOSE(WEEKDAY(A4,2),"月","火","水","木","金","土","日")),"")</f>
        <v/>
      </c>
    </row>
    <row r="5" customFormat="false" ht="15" hidden="false" customHeight="false" outlineLevel="0" collapsed="false">
      <c r="Z5" s="38" t="str">
        <f aca="false">IF(ISNUMBER(A5),IF(COUNTIF(祝日!$A:$A,A5)&gt;0,"祝",CHOOSE(WEEKDAY(A5,2),"月","火","水","木","金","土","日")),"")</f>
        <v/>
      </c>
    </row>
    <row r="6" customFormat="false" ht="15" hidden="false" customHeight="false" outlineLevel="0" collapsed="false">
      <c r="Z6" s="38" t="str">
        <f aca="false">IF(ISNUMBER(A6),IF(COUNTIF(祝日!$A:$A,A6)&gt;0,"祝",CHOOSE(WEEKDAY(A6,2),"月","火","水","木","金","土","日")),"")</f>
        <v/>
      </c>
    </row>
    <row r="7" customFormat="false" ht="15" hidden="false" customHeight="false" outlineLevel="0" collapsed="false">
      <c r="Z7" s="38" t="str">
        <f aca="false">IF(ISNUMBER(A7),IF(COUNTIF(祝日!$A:$A,A7)&gt;0,"祝",CHOOSE(WEEKDAY(A7,2),"月","火","水","木","金","土","日")),"")</f>
        <v/>
      </c>
    </row>
    <row r="8" customFormat="false" ht="15" hidden="false" customHeight="false" outlineLevel="0" collapsed="false">
      <c r="Z8" s="38" t="str">
        <f aca="false">IF(ISNUMBER(A8),IF(COUNTIF(祝日!$A:$A,A8)&gt;0,"祝",CHOOSE(WEEKDAY(A8,2),"月","火","水","木","金","土","日")),"")</f>
        <v/>
      </c>
    </row>
    <row r="9" customFormat="false" ht="15" hidden="false" customHeight="false" outlineLevel="0" collapsed="false">
      <c r="Z9" s="38" t="str">
        <f aca="false">IF(ISNUMBER(A9),IF(COUNTIF(祝日!$A:$A,A9)&gt;0,"祝",CHOOSE(WEEKDAY(A9,2),"月","火","水","木","金","土","日")),"")</f>
        <v/>
      </c>
    </row>
    <row r="10" customFormat="false" ht="15" hidden="false" customHeight="false" outlineLevel="0" collapsed="false">
      <c r="Z10" s="38" t="str">
        <f aca="false">IF(ISNUMBER(A10),IF(COUNTIF(祝日!$A:$A,A10)&gt;0,"祝",CHOOSE(WEEKDAY(A10,2),"月","火","水","木","金","土","日")),"")</f>
        <v/>
      </c>
    </row>
    <row r="11" customFormat="false" ht="15" hidden="false" customHeight="false" outlineLevel="0" collapsed="false">
      <c r="Z11" s="38" t="str">
        <f aca="false">IF(ISNUMBER(A11),IF(COUNTIF(祝日!$A:$A,A11)&gt;0,"祝",CHOOSE(WEEKDAY(A11,2),"月","火","水","木","金","土","日")),"")</f>
        <v/>
      </c>
    </row>
    <row r="12" customFormat="false" ht="15" hidden="false" customHeight="false" outlineLevel="0" collapsed="false">
      <c r="Z12" s="38" t="str">
        <f aca="false">IF(ISNUMBER(A12),IF(COUNTIF(祝日!$A:$A,A12)&gt;0,"祝",CHOOSE(WEEKDAY(A12,2),"月","火","水","木","金","土","日")),"")</f>
        <v/>
      </c>
    </row>
    <row r="13" customFormat="false" ht="15" hidden="false" customHeight="false" outlineLevel="0" collapsed="false">
      <c r="Z13" s="38" t="str">
        <f aca="false">IF(ISNUMBER(A13),IF(COUNTIF(祝日!$A:$A,A13)&gt;0,"祝",CHOOSE(WEEKDAY(A13,2),"月","火","水","木","金","土","日")),"")</f>
        <v/>
      </c>
    </row>
    <row r="14" customFormat="false" ht="15" hidden="false" customHeight="false" outlineLevel="0" collapsed="false">
      <c r="Z14" s="38" t="str">
        <f aca="false">IF(ISNUMBER(A14),IF(COUNTIF(祝日!$A:$A,A14)&gt;0,"祝",CHOOSE(WEEKDAY(A14,2),"月","火","水","木","金","土","日")),"")</f>
        <v/>
      </c>
    </row>
    <row r="15" customFormat="false" ht="15" hidden="false" customHeight="false" outlineLevel="0" collapsed="false">
      <c r="Z15" s="38" t="str">
        <f aca="false">IF(ISNUMBER(A15),IF(COUNTIF(祝日!$A:$A,A15)&gt;0,"祝",CHOOSE(WEEKDAY(A15,2),"月","火","水","木","金","土","日")),"")</f>
        <v/>
      </c>
    </row>
    <row r="16" customFormat="false" ht="15" hidden="false" customHeight="false" outlineLevel="0" collapsed="false">
      <c r="Z16" s="38" t="str">
        <f aca="false">IF(ISNUMBER(A16),IF(COUNTIF(祝日!$A:$A,A16)&gt;0,"祝",CHOOSE(WEEKDAY(A16,2),"月","火","水","木","金","土","日")),"")</f>
        <v/>
      </c>
    </row>
    <row r="17" customFormat="false" ht="15" hidden="false" customHeight="false" outlineLevel="0" collapsed="false">
      <c r="Z17" s="38" t="str">
        <f aca="false">IF(ISNUMBER(A17),IF(COUNTIF(祝日!$A:$A,A17)&gt;0,"祝",CHOOSE(WEEKDAY(A17,2),"月","火","水","木","金","土","日")),"")</f>
        <v/>
      </c>
    </row>
    <row r="18" customFormat="false" ht="15" hidden="false" customHeight="false" outlineLevel="0" collapsed="false">
      <c r="Z18" s="38" t="str">
        <f aca="false">IF(ISNUMBER(A18),IF(COUNTIF(祝日!$A:$A,A18)&gt;0,"祝",CHOOSE(WEEKDAY(A18,2),"月","火","水","木","金","土","日")),"")</f>
        <v/>
      </c>
    </row>
    <row r="19" customFormat="false" ht="15" hidden="false" customHeight="false" outlineLevel="0" collapsed="false">
      <c r="Z19" s="38" t="str">
        <f aca="false">IF(ISNUMBER(A19),IF(COUNTIF(祝日!$A:$A,A19)&gt;0,"祝",CHOOSE(WEEKDAY(A19,2),"月","火","水","木","金","土","日")),"")</f>
        <v/>
      </c>
    </row>
    <row r="20" customFormat="false" ht="15" hidden="false" customHeight="false" outlineLevel="0" collapsed="false">
      <c r="Z20" s="38" t="str">
        <f aca="false">IF(ISNUMBER(A20),IF(COUNTIF(祝日!$A:$A,A20)&gt;0,"祝",CHOOSE(WEEKDAY(A20,2),"月","火","水","木","金","土","日")),"")</f>
        <v/>
      </c>
    </row>
    <row r="21" customFormat="false" ht="15" hidden="false" customHeight="false" outlineLevel="0" collapsed="false">
      <c r="Z21" s="38" t="str">
        <f aca="false">IF(ISNUMBER(A21),IF(COUNTIF(祝日!$A:$A,A21)&gt;0,"祝",CHOOSE(WEEKDAY(A21,2),"月","火","水","木","金","土","日")),"")</f>
        <v/>
      </c>
    </row>
    <row r="22" customFormat="false" ht="15" hidden="false" customHeight="false" outlineLevel="0" collapsed="false">
      <c r="Z22" s="38" t="str">
        <f aca="false">IF(ISNUMBER(A22),IF(COUNTIF(祝日!$A:$A,A22)&gt;0,"祝",CHOOSE(WEEKDAY(A22,2),"月","火","水","木","金","土","日")),"")</f>
        <v/>
      </c>
    </row>
    <row r="23" customFormat="false" ht="15" hidden="false" customHeight="false" outlineLevel="0" collapsed="false">
      <c r="Z23" s="38" t="str">
        <f aca="false">IF(ISNUMBER(A23),IF(COUNTIF(祝日!$A:$A,A23)&gt;0,"祝",CHOOSE(WEEKDAY(A23,2),"月","火","水","木","金","土","日")),"")</f>
        <v/>
      </c>
    </row>
    <row r="24" customFormat="false" ht="15" hidden="false" customHeight="false" outlineLevel="0" collapsed="false">
      <c r="Z24" s="38" t="str">
        <f aca="false">IF(ISNUMBER(A24),IF(COUNTIF(祝日!$A:$A,A24)&gt;0,"祝",CHOOSE(WEEKDAY(A24,2),"月","火","水","木","金","土","日")),"")</f>
        <v/>
      </c>
    </row>
    <row r="25" customFormat="false" ht="15" hidden="false" customHeight="false" outlineLevel="0" collapsed="false">
      <c r="Z25" s="38" t="str">
        <f aca="false">IF(ISNUMBER(A25),IF(COUNTIF(祝日!$A:$A,A25)&gt;0,"祝",CHOOSE(WEEKDAY(A25,2),"月","火","水","木","金","土","日")),"")</f>
        <v/>
      </c>
    </row>
    <row r="26" customFormat="false" ht="15" hidden="false" customHeight="false" outlineLevel="0" collapsed="false">
      <c r="Z26" s="38" t="str">
        <f aca="false">IF(ISNUMBER(A26),IF(COUNTIF(祝日!$A:$A,A26)&gt;0,"祝",CHOOSE(WEEKDAY(A26,2),"月","火","水","木","金","土","日")),"")</f>
        <v/>
      </c>
    </row>
    <row r="27" customFormat="false" ht="15" hidden="false" customHeight="false" outlineLevel="0" collapsed="false">
      <c r="Z27" s="38" t="str">
        <f aca="false">IF(ISNUMBER(A27),IF(COUNTIF(祝日!$A:$A,A27)&gt;0,"祝",CHOOSE(WEEKDAY(A27,2),"月","火","水","木","金","土","日")),"")</f>
        <v/>
      </c>
    </row>
    <row r="28" customFormat="false" ht="15" hidden="false" customHeight="false" outlineLevel="0" collapsed="false">
      <c r="Z28" s="38" t="str">
        <f aca="false">IF(ISNUMBER(A28),IF(COUNTIF(祝日!$A:$A,A28)&gt;0,"祝",CHOOSE(WEEKDAY(A28,2),"月","火","水","木","金","土","日")),"")</f>
        <v/>
      </c>
    </row>
    <row r="29" customFormat="false" ht="15" hidden="false" customHeight="false" outlineLevel="0" collapsed="false">
      <c r="Z29" s="38" t="str">
        <f aca="false">IF(ISNUMBER(A29),IF(COUNTIF(祝日!$A:$A,A29)&gt;0,"祝",CHOOSE(WEEKDAY(A29,2),"月","火","水","木","金","土","日")),"")</f>
        <v/>
      </c>
    </row>
    <row r="30" customFormat="false" ht="15" hidden="false" customHeight="false" outlineLevel="0" collapsed="false">
      <c r="Z30" s="38" t="str">
        <f aca="false">IF(ISNUMBER(A30),IF(COUNTIF(祝日!$A:$A,A30)&gt;0,"祝",CHOOSE(WEEKDAY(A30,2),"月","火","水","木","金","土","日")),"")</f>
        <v/>
      </c>
    </row>
    <row r="31" customFormat="false" ht="15" hidden="false" customHeight="false" outlineLevel="0" collapsed="false">
      <c r="Z31" s="38" t="str">
        <f aca="false">IF(ISNUMBER(A31),IF(COUNTIF(祝日!$A:$A,A31)&gt;0,"祝",CHOOSE(WEEKDAY(A31,2),"月","火","水","木","金","土","日")),"")</f>
        <v/>
      </c>
    </row>
    <row r="32" customFormat="false" ht="15" hidden="false" customHeight="false" outlineLevel="0" collapsed="false">
      <c r="Z32" s="38" t="str">
        <f aca="false">IF(ISNUMBER(A32),IF(COUNTIF(祝日!$A:$A,A32)&gt;0,"祝",CHOOSE(WEEKDAY(A32,2),"月","火","水","木","金","土","日")),"")</f>
        <v/>
      </c>
    </row>
    <row r="33" customFormat="false" ht="15" hidden="false" customHeight="false" outlineLevel="0" collapsed="false">
      <c r="Z33" s="38" t="str">
        <f aca="false">IF(ISNUMBER(A33),IF(COUNTIF(祝日!$A:$A,A33)&gt;0,"祝",CHOOSE(WEEKDAY(A33,2),"月","火","水","木","金","土","日")),"")</f>
        <v/>
      </c>
    </row>
    <row r="34" customFormat="false" ht="15" hidden="false" customHeight="false" outlineLevel="0" collapsed="false">
      <c r="Z34" s="38" t="str">
        <f aca="false">IF(ISNUMBER(A34),IF(COUNTIF(祝日!$A:$A,A34)&gt;0,"祝",CHOOSE(WEEKDAY(A34,2),"月","火","水","木","金","土","日")),"")</f>
        <v/>
      </c>
    </row>
    <row r="35" customFormat="false" ht="15" hidden="false" customHeight="false" outlineLevel="0" collapsed="false">
      <c r="Z35" s="38" t="str">
        <f aca="false">IF(ISNUMBER(A35),IF(COUNTIF(祝日!$A:$A,A35)&gt;0,"祝",CHOOSE(WEEKDAY(A35,2),"月","火","水","木","金","土","日")),"")</f>
        <v/>
      </c>
    </row>
    <row r="36" customFormat="false" ht="15" hidden="false" customHeight="false" outlineLevel="0" collapsed="false">
      <c r="Z36" s="38" t="str">
        <f aca="false">IF(ISNUMBER(A36),IF(COUNTIF(祝日!$A:$A,A36)&gt;0,"祝",CHOOSE(WEEKDAY(A36,2),"月","火","水","木","金","土","日")),"")</f>
        <v/>
      </c>
    </row>
    <row r="37" customFormat="false" ht="15" hidden="false" customHeight="false" outlineLevel="0" collapsed="false">
      <c r="Z37" s="38" t="str">
        <f aca="false">IF(ISNUMBER(A37),IF(COUNTIF(祝日!$A:$A,A37)&gt;0,"祝",CHOOSE(WEEKDAY(A37,2),"月","火","水","木","金","土","日")),"")</f>
        <v/>
      </c>
    </row>
    <row r="38" customFormat="false" ht="15" hidden="false" customHeight="false" outlineLevel="0" collapsed="false">
      <c r="Z38" s="38" t="str">
        <f aca="false">IF(ISNUMBER(A38),IF(COUNTIF(祝日!$A:$A,A38)&gt;0,"祝",CHOOSE(WEEKDAY(A38,2),"月","火","水","木","金","土","日")),"")</f>
        <v/>
      </c>
    </row>
    <row r="39" customFormat="false" ht="15" hidden="false" customHeight="false" outlineLevel="0" collapsed="false">
      <c r="Z39" s="38" t="str">
        <f aca="false">IF(ISNUMBER(A39),IF(COUNTIF(祝日!$A:$A,A39)&gt;0,"祝",CHOOSE(WEEKDAY(A39,2),"月","火","水","木","金","土","日")),"")</f>
        <v/>
      </c>
    </row>
    <row r="40" customFormat="false" ht="15" hidden="false" customHeight="false" outlineLevel="0" collapsed="false">
      <c r="Z40" s="38" t="str">
        <f aca="false">IF(ISNUMBER(A40),IF(COUNTIF(祝日!$A:$A,A40)&gt;0,"祝",CHOOSE(WEEKDAY(A40,2),"月","火","水","木","金","土","日")),"")</f>
        <v/>
      </c>
    </row>
    <row r="41" customFormat="false" ht="15" hidden="false" customHeight="false" outlineLevel="0" collapsed="false">
      <c r="Z41" s="38" t="str">
        <f aca="false">IF(ISNUMBER(A41),IF(COUNTIF(祝日!$A:$A,A41)&gt;0,"祝",CHOOSE(WEEKDAY(A41,2),"月","火","水","木","金","土","日")),"")</f>
        <v/>
      </c>
    </row>
    <row r="42" customFormat="false" ht="15" hidden="false" customHeight="false" outlineLevel="0" collapsed="false">
      <c r="Z42" s="38" t="str">
        <f aca="false">IF(ISNUMBER(A42),IF(COUNTIF(祝日!$A:$A,A42)&gt;0,"祝",CHOOSE(WEEKDAY(A42,2),"月","火","水","木","金","土","日")),"")</f>
        <v/>
      </c>
    </row>
    <row r="43" customFormat="false" ht="15" hidden="false" customHeight="false" outlineLevel="0" collapsed="false">
      <c r="Z43" s="38" t="str">
        <f aca="false">IF(ISNUMBER(A43),IF(COUNTIF(祝日!$A:$A,A43)&gt;0,"祝",CHOOSE(WEEKDAY(A43,2),"月","火","水","木","金","土","日")),"")</f>
        <v/>
      </c>
    </row>
    <row r="44" customFormat="false" ht="15" hidden="false" customHeight="false" outlineLevel="0" collapsed="false">
      <c r="Z44" s="38" t="str">
        <f aca="false">IF(ISNUMBER(A44),IF(COUNTIF(祝日!$A:$A,A44)&gt;0,"祝",CHOOSE(WEEKDAY(A44,2),"月","火","水","木","金","土","日")),"")</f>
        <v/>
      </c>
    </row>
    <row r="45" customFormat="false" ht="15" hidden="false" customHeight="false" outlineLevel="0" collapsed="false">
      <c r="Z45" s="38" t="str">
        <f aca="false">IF(ISNUMBER(A45),IF(COUNTIF(祝日!$A:$A,A45)&gt;0,"祝",CHOOSE(WEEKDAY(A45,2),"月","火","水","木","金","土","日")),"")</f>
        <v/>
      </c>
    </row>
    <row r="46" customFormat="false" ht="15" hidden="false" customHeight="false" outlineLevel="0" collapsed="false">
      <c r="Z46" s="38" t="str">
        <f aca="false">IF(ISNUMBER(A46),IF(COUNTIF(祝日!$A:$A,A46)&gt;0,"祝",CHOOSE(WEEKDAY(A46,2),"月","火","水","木","金","土","日")),"")</f>
        <v/>
      </c>
    </row>
    <row r="47" customFormat="false" ht="15" hidden="false" customHeight="false" outlineLevel="0" collapsed="false">
      <c r="Z47" s="38" t="str">
        <f aca="false">IF(ISNUMBER(A47),IF(COUNTIF(祝日!$A:$A,A47)&gt;0,"祝",CHOOSE(WEEKDAY(A47,2),"月","火","水","木","金","土","日")),"")</f>
        <v/>
      </c>
    </row>
    <row r="48" customFormat="false" ht="15" hidden="false" customHeight="false" outlineLevel="0" collapsed="false">
      <c r="Z48" s="38" t="str">
        <f aca="false">IF(ISNUMBER(A48),IF(COUNTIF(祝日!$A:$A,A48)&gt;0,"祝",CHOOSE(WEEKDAY(A48,2),"月","火","水","木","金","土","日")),"")</f>
        <v/>
      </c>
    </row>
    <row r="49" customFormat="false" ht="15" hidden="false" customHeight="false" outlineLevel="0" collapsed="false">
      <c r="Z49" s="38" t="str">
        <f aca="false">IF(ISNUMBER(A49),IF(COUNTIF(祝日!$A:$A,A49)&gt;0,"祝",CHOOSE(WEEKDAY(A49,2),"月","火","水","木","金","土","日")),"")</f>
        <v/>
      </c>
    </row>
    <row r="50" customFormat="false" ht="15" hidden="false" customHeight="false" outlineLevel="0" collapsed="false">
      <c r="Z50" s="38" t="str">
        <f aca="false">IF(ISNUMBER(A50),IF(COUNTIF(祝日!$A:$A,A50)&gt;0,"祝",CHOOSE(WEEKDAY(A50,2),"月","火","水","木","金","土","日")),"")</f>
        <v/>
      </c>
    </row>
    <row r="51" customFormat="false" ht="15" hidden="false" customHeight="false" outlineLevel="0" collapsed="false">
      <c r="Z51" s="38" t="str">
        <f aca="false">IF(ISNUMBER(A51),IF(COUNTIF(祝日!$A:$A,A51)&gt;0,"祝",CHOOSE(WEEKDAY(A51,2),"月","火","水","木","金","土","日")),"")</f>
        <v/>
      </c>
    </row>
    <row r="52" customFormat="false" ht="15" hidden="false" customHeight="false" outlineLevel="0" collapsed="false">
      <c r="Z52" s="38" t="str">
        <f aca="false">IF(ISNUMBER(A52),IF(COUNTIF(祝日!$A:$A,A52)&gt;0,"祝",CHOOSE(WEEKDAY(A52,2),"月","火","水","木","金","土","日")),"")</f>
        <v/>
      </c>
    </row>
    <row r="53" customFormat="false" ht="15" hidden="false" customHeight="false" outlineLevel="0" collapsed="false">
      <c r="Z53" s="38" t="str">
        <f aca="false">IF(ISNUMBER(A53),IF(COUNTIF(祝日!$A:$A,A53)&gt;0,"祝",CHOOSE(WEEKDAY(A53,2),"月","火","水","木","金","土","日")),"")</f>
        <v/>
      </c>
    </row>
    <row r="54" customFormat="false" ht="15" hidden="false" customHeight="false" outlineLevel="0" collapsed="false">
      <c r="Z54" s="38" t="str">
        <f aca="false">IF(ISNUMBER(A54),IF(COUNTIF(祝日!$A:$A,A54)&gt;0,"祝",CHOOSE(WEEKDAY(A54,2),"月","火","水","木","金","土","日")),"")</f>
        <v/>
      </c>
    </row>
    <row r="55" customFormat="false" ht="15" hidden="false" customHeight="false" outlineLevel="0" collapsed="false">
      <c r="Z55" s="38" t="str">
        <f aca="false">IF(ISNUMBER(A55),IF(COUNTIF(祝日!$A:$A,A55)&gt;0,"祝",CHOOSE(WEEKDAY(A55,2),"月","火","水","木","金","土","日")),"")</f>
        <v/>
      </c>
    </row>
    <row r="56" customFormat="false" ht="15" hidden="false" customHeight="false" outlineLevel="0" collapsed="false">
      <c r="Z56" s="38" t="str">
        <f aca="false">IF(ISNUMBER(A56),IF(COUNTIF(祝日!$A:$A,A56)&gt;0,"祝",CHOOSE(WEEKDAY(A56,2),"月","火","水","木","金","土","日")),"")</f>
        <v/>
      </c>
    </row>
    <row r="57" customFormat="false" ht="15" hidden="false" customHeight="false" outlineLevel="0" collapsed="false">
      <c r="Z57" s="38" t="str">
        <f aca="false">IF(ISNUMBER(A57),IF(COUNTIF(祝日!$A:$A,A57)&gt;0,"祝",CHOOSE(WEEKDAY(A57,2),"月","火","水","木","金","土","日")),"")</f>
        <v/>
      </c>
    </row>
    <row r="58" customFormat="false" ht="15" hidden="false" customHeight="false" outlineLevel="0" collapsed="false">
      <c r="Z58" s="38" t="str">
        <f aca="false">IF(ISNUMBER(A58),IF(COUNTIF(祝日!$A:$A,A58)&gt;0,"祝",CHOOSE(WEEKDAY(A58,2),"月","火","水","木","金","土","日")),"")</f>
        <v/>
      </c>
    </row>
    <row r="59" customFormat="false" ht="15" hidden="false" customHeight="false" outlineLevel="0" collapsed="false">
      <c r="Z59" s="38" t="str">
        <f aca="false">IF(ISNUMBER(A59),IF(COUNTIF(祝日!$A:$A,A59)&gt;0,"祝",CHOOSE(WEEKDAY(A59,2),"月","火","水","木","金","土","日")),"")</f>
        <v/>
      </c>
    </row>
    <row r="60" customFormat="false" ht="15" hidden="false" customHeight="false" outlineLevel="0" collapsed="false">
      <c r="Z60" s="38" t="str">
        <f aca="false">IF(ISNUMBER(A60),IF(COUNTIF(祝日!$A:$A,A60)&gt;0,"祝",CHOOSE(WEEKDAY(A60,2),"月","火","水","木","金","土","日")),"")</f>
        <v/>
      </c>
    </row>
    <row r="61" customFormat="false" ht="15" hidden="false" customHeight="false" outlineLevel="0" collapsed="false">
      <c r="Z61" s="38" t="str">
        <f aca="false">IF(ISNUMBER(A61),IF(COUNTIF(祝日!$A:$A,A61)&gt;0,"祝",CHOOSE(WEEKDAY(A61,2),"月","火","水","木","金","土","日")),"")</f>
        <v/>
      </c>
    </row>
    <row r="62" customFormat="false" ht="15" hidden="false" customHeight="false" outlineLevel="0" collapsed="false">
      <c r="Z62" s="38" t="str">
        <f aca="false">IF(ISNUMBER(A62),IF(COUNTIF(祝日!$A:$A,A62)&gt;0,"祝",CHOOSE(WEEKDAY(A62,2),"月","火","水","木","金","土","日")),"")</f>
        <v/>
      </c>
    </row>
    <row r="63" customFormat="false" ht="15" hidden="false" customHeight="false" outlineLevel="0" collapsed="false">
      <c r="Z63" s="38" t="str">
        <f aca="false">IF(ISNUMBER(A63),IF(COUNTIF(祝日!$A:$A,A63)&gt;0,"祝",CHOOSE(WEEKDAY(A63,2),"月","火","水","木","金","土","日")),"")</f>
        <v/>
      </c>
    </row>
    <row r="64" customFormat="false" ht="15" hidden="false" customHeight="false" outlineLevel="0" collapsed="false">
      <c r="Z64" s="38" t="str">
        <f aca="false">IF(ISNUMBER(A64),IF(COUNTIF(祝日!$A:$A,A64)&gt;0,"祝",CHOOSE(WEEKDAY(A64,2),"月","火","水","木","金","土","日")),"")</f>
        <v/>
      </c>
    </row>
    <row r="65" customFormat="false" ht="15" hidden="false" customHeight="false" outlineLevel="0" collapsed="false">
      <c r="Z65" s="38" t="str">
        <f aca="false">IF(ISNUMBER(A65),IF(COUNTIF(祝日!$A:$A,A65)&gt;0,"祝",CHOOSE(WEEKDAY(A65,2),"月","火","水","木","金","土","日")),"")</f>
        <v/>
      </c>
    </row>
    <row r="66" customFormat="false" ht="15" hidden="false" customHeight="false" outlineLevel="0" collapsed="false">
      <c r="Z66" s="38" t="str">
        <f aca="false">IF(ISNUMBER(A66),IF(COUNTIF(祝日!$A:$A,A66)&gt;0,"祝",CHOOSE(WEEKDAY(A66,2),"月","火","水","木","金","土","日")),"")</f>
        <v/>
      </c>
    </row>
    <row r="67" customFormat="false" ht="15" hidden="false" customHeight="false" outlineLevel="0" collapsed="false">
      <c r="Z67" s="38" t="str">
        <f aca="false">IF(ISNUMBER(A67),IF(COUNTIF(祝日!$A:$A,A67)&gt;0,"祝",CHOOSE(WEEKDAY(A67,2),"月","火","水","木","金","土","日")),"")</f>
        <v/>
      </c>
    </row>
    <row r="68" customFormat="false" ht="15" hidden="false" customHeight="false" outlineLevel="0" collapsed="false">
      <c r="Z68" s="38" t="str">
        <f aca="false">IF(ISNUMBER(A68),IF(COUNTIF(祝日!$A:$A,A68)&gt;0,"祝",CHOOSE(WEEKDAY(A68,2),"月","火","水","木","金","土","日")),"")</f>
        <v/>
      </c>
    </row>
    <row r="69" customFormat="false" ht="15" hidden="false" customHeight="false" outlineLevel="0" collapsed="false">
      <c r="Z69" s="38" t="str">
        <f aca="false">IF(ISNUMBER(A69),IF(COUNTIF(祝日!$A:$A,A69)&gt;0,"祝",CHOOSE(WEEKDAY(A69,2),"月","火","水","木","金","土","日")),"")</f>
        <v/>
      </c>
    </row>
    <row r="70" customFormat="false" ht="15" hidden="false" customHeight="false" outlineLevel="0" collapsed="false">
      <c r="Z70" s="38" t="str">
        <f aca="false">IF(ISNUMBER(A70),IF(COUNTIF(祝日!$A:$A,A70)&gt;0,"祝",CHOOSE(WEEKDAY(A70,2),"月","火","水","木","金","土","日")),"")</f>
        <v/>
      </c>
    </row>
    <row r="71" customFormat="false" ht="15" hidden="false" customHeight="false" outlineLevel="0" collapsed="false">
      <c r="Z71" s="38" t="str">
        <f aca="false">IF(ISNUMBER(A71),IF(COUNTIF(祝日!$A:$A,A71)&gt;0,"祝",CHOOSE(WEEKDAY(A71,2),"月","火","水","木","金","土","日")),"")</f>
        <v/>
      </c>
    </row>
    <row r="72" customFormat="false" ht="15" hidden="false" customHeight="false" outlineLevel="0" collapsed="false">
      <c r="Z72" s="38" t="str">
        <f aca="false">IF(ISNUMBER(A72),IF(COUNTIF(祝日!$A:$A,A72)&gt;0,"祝",CHOOSE(WEEKDAY(A72,2),"月","火","水","木","金","土","日")),"")</f>
        <v/>
      </c>
    </row>
    <row r="73" customFormat="false" ht="15" hidden="false" customHeight="false" outlineLevel="0" collapsed="false">
      <c r="Z73" s="38" t="str">
        <f aca="false">IF(ISNUMBER(A73),IF(COUNTIF(祝日!$A:$A,A73)&gt;0,"祝",CHOOSE(WEEKDAY(A73,2),"月","火","水","木","金","土","日")),"")</f>
        <v/>
      </c>
    </row>
    <row r="74" customFormat="false" ht="15" hidden="false" customHeight="false" outlineLevel="0" collapsed="false">
      <c r="Z74" s="38" t="str">
        <f aca="false">IF(ISNUMBER(A74),IF(COUNTIF(祝日!$A:$A,A74)&gt;0,"祝",CHOOSE(WEEKDAY(A74,2),"月","火","水","木","金","土","日")),"")</f>
        <v/>
      </c>
    </row>
    <row r="75" customFormat="false" ht="15" hidden="false" customHeight="false" outlineLevel="0" collapsed="false">
      <c r="Z75" s="38" t="str">
        <f aca="false">IF(ISNUMBER(A75),IF(COUNTIF(祝日!$A:$A,A75)&gt;0,"祝",CHOOSE(WEEKDAY(A75,2),"月","火","水","木","金","土","日")),"")</f>
        <v/>
      </c>
    </row>
    <row r="76" customFormat="false" ht="15" hidden="false" customHeight="false" outlineLevel="0" collapsed="false">
      <c r="Z76" s="38" t="str">
        <f aca="false">IF(ISNUMBER(A76),IF(COUNTIF(祝日!$A:$A,A76)&gt;0,"祝",CHOOSE(WEEKDAY(A76,2),"月","火","水","木","金","土","日")),"")</f>
        <v/>
      </c>
    </row>
    <row r="77" customFormat="false" ht="15" hidden="false" customHeight="false" outlineLevel="0" collapsed="false">
      <c r="Z77" s="38" t="str">
        <f aca="false">IF(ISNUMBER(A77),IF(COUNTIF(祝日!$A:$A,A77)&gt;0,"祝",CHOOSE(WEEKDAY(A77,2),"月","火","水","木","金","土","日")),"")</f>
        <v/>
      </c>
    </row>
    <row r="78" customFormat="false" ht="15" hidden="false" customHeight="false" outlineLevel="0" collapsed="false">
      <c r="Z78" s="38" t="str">
        <f aca="false">IF(ISNUMBER(A78),IF(COUNTIF(祝日!$A:$A,A78)&gt;0,"祝",CHOOSE(WEEKDAY(A78,2),"月","火","水","木","金","土","日")),"")</f>
        <v/>
      </c>
    </row>
    <row r="79" customFormat="false" ht="15" hidden="false" customHeight="false" outlineLevel="0" collapsed="false">
      <c r="Z79" s="38" t="str">
        <f aca="false">IF(ISNUMBER(A79),IF(COUNTIF(祝日!$A:$A,A79)&gt;0,"祝",CHOOSE(WEEKDAY(A79,2),"月","火","水","木","金","土","日")),"")</f>
        <v/>
      </c>
    </row>
    <row r="80" customFormat="false" ht="15" hidden="false" customHeight="false" outlineLevel="0" collapsed="false">
      <c r="Z80" s="38" t="str">
        <f aca="false">IF(ISNUMBER(A80),IF(COUNTIF(祝日!$A:$A,A80)&gt;0,"祝",CHOOSE(WEEKDAY(A80,2),"月","火","水","木","金","土","日")),"")</f>
        <v/>
      </c>
    </row>
    <row r="81" customFormat="false" ht="15" hidden="false" customHeight="false" outlineLevel="0" collapsed="false">
      <c r="Z81" s="38" t="str">
        <f aca="false">IF(ISNUMBER(A81),IF(COUNTIF(祝日!$A:$A,A81)&gt;0,"祝",CHOOSE(WEEKDAY(A81,2),"月","火","水","木","金","土","日")),"")</f>
        <v/>
      </c>
    </row>
    <row r="82" customFormat="false" ht="15" hidden="false" customHeight="false" outlineLevel="0" collapsed="false">
      <c r="Z82" s="38" t="str">
        <f aca="false">IF(ISNUMBER(A82),IF(COUNTIF(祝日!$A:$A,A82)&gt;0,"祝",CHOOSE(WEEKDAY(A82,2),"月","火","水","木","金","土","日")),"")</f>
        <v/>
      </c>
    </row>
    <row r="83" customFormat="false" ht="15" hidden="false" customHeight="false" outlineLevel="0" collapsed="false">
      <c r="Z83" s="38" t="str">
        <f aca="false">IF(ISNUMBER(A83),IF(COUNTIF(祝日!$A:$A,A83)&gt;0,"祝",CHOOSE(WEEKDAY(A83,2),"月","火","水","木","金","土","日")),"")</f>
        <v/>
      </c>
    </row>
    <row r="84" customFormat="false" ht="15" hidden="false" customHeight="false" outlineLevel="0" collapsed="false">
      <c r="Z84" s="38" t="str">
        <f aca="false">IF(ISNUMBER(A84),IF(COUNTIF(祝日!$A:$A,A84)&gt;0,"祝",CHOOSE(WEEKDAY(A84,2),"月","火","水","木","金","土","日")),"")</f>
        <v/>
      </c>
    </row>
    <row r="85" customFormat="false" ht="15" hidden="false" customHeight="false" outlineLevel="0" collapsed="false">
      <c r="Z85" s="38" t="str">
        <f aca="false">IF(ISNUMBER(A85),IF(COUNTIF(祝日!$A:$A,A85)&gt;0,"祝",CHOOSE(WEEKDAY(A85,2),"月","火","水","木","金","土","日")),"")</f>
        <v/>
      </c>
    </row>
    <row r="86" customFormat="false" ht="15" hidden="false" customHeight="false" outlineLevel="0" collapsed="false">
      <c r="Z86" s="38" t="str">
        <f aca="false">IF(ISNUMBER(A86),IF(COUNTIF(祝日!$A:$A,A86)&gt;0,"祝",CHOOSE(WEEKDAY(A86,2),"月","火","水","木","金","土","日")),"")</f>
        <v/>
      </c>
    </row>
    <row r="87" customFormat="false" ht="15" hidden="false" customHeight="false" outlineLevel="0" collapsed="false">
      <c r="Z87" s="38" t="str">
        <f aca="false">IF(ISNUMBER(A87),IF(COUNTIF(祝日!$A:$A,A87)&gt;0,"祝",CHOOSE(WEEKDAY(A87,2),"月","火","水","木","金","土","日")),"")</f>
        <v/>
      </c>
    </row>
    <row r="88" customFormat="false" ht="15" hidden="false" customHeight="false" outlineLevel="0" collapsed="false">
      <c r="Z88" s="38" t="str">
        <f aca="false">IF(ISNUMBER(A88),IF(COUNTIF(祝日!$A:$A,A88)&gt;0,"祝",CHOOSE(WEEKDAY(A88,2),"月","火","水","木","金","土","日")),"")</f>
        <v/>
      </c>
    </row>
    <row r="89" customFormat="false" ht="15" hidden="false" customHeight="false" outlineLevel="0" collapsed="false">
      <c r="Z89" s="38" t="str">
        <f aca="false">IF(ISNUMBER(A89),IF(COUNTIF(祝日!$A:$A,A89)&gt;0,"祝",CHOOSE(WEEKDAY(A89,2),"月","火","水","木","金","土","日")),"")</f>
        <v/>
      </c>
    </row>
    <row r="90" customFormat="false" ht="15" hidden="false" customHeight="false" outlineLevel="0" collapsed="false">
      <c r="Z90" s="38" t="str">
        <f aca="false">IF(ISNUMBER(A90),IF(COUNTIF(祝日!$A:$A,A90)&gt;0,"祝",CHOOSE(WEEKDAY(A90,2),"月","火","水","木","金","土","日")),"")</f>
        <v/>
      </c>
    </row>
    <row r="91" customFormat="false" ht="15" hidden="false" customHeight="false" outlineLevel="0" collapsed="false">
      <c r="Z91" s="38" t="str">
        <f aca="false">IF(ISNUMBER(A91),IF(COUNTIF(祝日!$A:$A,A91)&gt;0,"祝",CHOOSE(WEEKDAY(A91,2),"月","火","水","木","金","土","日")),"")</f>
        <v/>
      </c>
    </row>
    <row r="92" customFormat="false" ht="15" hidden="false" customHeight="false" outlineLevel="0" collapsed="false">
      <c r="Z92" s="38" t="str">
        <f aca="false">IF(ISNUMBER(A92),IF(COUNTIF(祝日!$A:$A,A92)&gt;0,"祝",CHOOSE(WEEKDAY(A92,2),"月","火","水","木","金","土","日")),"")</f>
        <v/>
      </c>
    </row>
    <row r="93" customFormat="false" ht="15" hidden="false" customHeight="false" outlineLevel="0" collapsed="false">
      <c r="Z93" s="38" t="str">
        <f aca="false">IF(ISNUMBER(A93),IF(COUNTIF(祝日!$A:$A,A93)&gt;0,"祝",CHOOSE(WEEKDAY(A93,2),"月","火","水","木","金","土","日")),"")</f>
        <v/>
      </c>
    </row>
    <row r="94" customFormat="false" ht="15" hidden="false" customHeight="false" outlineLevel="0" collapsed="false">
      <c r="Z94" s="38" t="str">
        <f aca="false">IF(ISNUMBER(A94),IF(COUNTIF(祝日!$A:$A,A94)&gt;0,"祝",CHOOSE(WEEKDAY(A94,2),"月","火","水","木","金","土","日")),"")</f>
        <v/>
      </c>
    </row>
    <row r="95" customFormat="false" ht="15" hidden="false" customHeight="false" outlineLevel="0" collapsed="false">
      <c r="Z95" s="38" t="str">
        <f aca="false">IF(ISNUMBER(A95),IF(COUNTIF(祝日!$A:$A,A95)&gt;0,"祝",CHOOSE(WEEKDAY(A95,2),"月","火","水","木","金","土","日")),"")</f>
        <v/>
      </c>
    </row>
    <row r="96" customFormat="false" ht="15" hidden="false" customHeight="false" outlineLevel="0" collapsed="false">
      <c r="Z96" s="38" t="str">
        <f aca="false">IF(ISNUMBER(A96),IF(COUNTIF(祝日!$A:$A,A96)&gt;0,"祝",CHOOSE(WEEKDAY(A96,2),"月","火","水","木","金","土","日")),"")</f>
        <v/>
      </c>
    </row>
    <row r="97" customFormat="false" ht="15" hidden="false" customHeight="false" outlineLevel="0" collapsed="false">
      <c r="Z97" s="38" t="str">
        <f aca="false">IF(ISNUMBER(A97),IF(COUNTIF(祝日!$A:$A,A97)&gt;0,"祝",CHOOSE(WEEKDAY(A97,2),"月","火","水","木","金","土","日")),"")</f>
        <v/>
      </c>
    </row>
    <row r="98" customFormat="false" ht="15" hidden="false" customHeight="false" outlineLevel="0" collapsed="false">
      <c r="Z98" s="38" t="str">
        <f aca="false">IF(ISNUMBER(A98),IF(COUNTIF(祝日!$A:$A,A98)&gt;0,"祝",CHOOSE(WEEKDAY(A98,2),"月","火","水","木","金","土","日")),"")</f>
        <v/>
      </c>
    </row>
    <row r="99" customFormat="false" ht="15" hidden="false" customHeight="false" outlineLevel="0" collapsed="false">
      <c r="Z99" s="38" t="str">
        <f aca="false">IF(ISNUMBER(A99),IF(COUNTIF(祝日!$A:$A,A99)&gt;0,"祝",CHOOSE(WEEKDAY(A99,2),"月","火","水","木","金","土","日")),"")</f>
        <v/>
      </c>
    </row>
    <row r="100" customFormat="false" ht="15" hidden="false" customHeight="false" outlineLevel="0" collapsed="false">
      <c r="Z100" s="38" t="str">
        <f aca="false">IF(ISNUMBER(A100),IF(COUNTIF(祝日!$A:$A,A100)&gt;0,"祝",CHOOSE(WEEKDAY(A100,2),"月","火","水","木","金","土","日")),"")</f>
        <v/>
      </c>
    </row>
    <row r="101" customFormat="false" ht="15" hidden="false" customHeight="false" outlineLevel="0" collapsed="false">
      <c r="Z101" s="38" t="str">
        <f aca="false">IF(ISNUMBER(A101),IF(COUNTIF(祝日!$A:$A,A101)&gt;0,"祝",CHOOSE(WEEKDAY(A101,2),"月","火","水","木","金","土","日")),"")</f>
        <v/>
      </c>
    </row>
    <row r="102" customFormat="false" ht="15" hidden="false" customHeight="false" outlineLevel="0" collapsed="false">
      <c r="Z102" s="38" t="str">
        <f aca="false">IF(ISNUMBER(A102),IF(COUNTIF(祝日!$A:$A,A102)&gt;0,"祝",CHOOSE(WEEKDAY(A102,2),"月","火","水","木","金","土","日")),"")</f>
        <v/>
      </c>
    </row>
    <row r="103" customFormat="false" ht="15" hidden="false" customHeight="false" outlineLevel="0" collapsed="false">
      <c r="Z103" s="38" t="str">
        <f aca="false">IF(ISNUMBER(A103),IF(COUNTIF(祝日!$A:$A,A103)&gt;0,"祝",CHOOSE(WEEKDAY(A103,2),"月","火","水","木","金","土","日")),"")</f>
        <v/>
      </c>
    </row>
    <row r="104" customFormat="false" ht="15" hidden="false" customHeight="false" outlineLevel="0" collapsed="false">
      <c r="Z104" s="38" t="str">
        <f aca="false">IF(ISNUMBER(A104),IF(COUNTIF(祝日!$A:$A,A104)&gt;0,"祝",CHOOSE(WEEKDAY(A104,2),"月","火","水","木","金","土","日")),"")</f>
        <v/>
      </c>
    </row>
    <row r="105" customFormat="false" ht="15" hidden="false" customHeight="false" outlineLevel="0" collapsed="false">
      <c r="Z105" s="38" t="str">
        <f aca="false">IF(ISNUMBER(A105),IF(COUNTIF(祝日!$A:$A,A105)&gt;0,"祝",CHOOSE(WEEKDAY(A105,2),"月","火","水","木","金","土","日")),"")</f>
        <v/>
      </c>
    </row>
    <row r="106" customFormat="false" ht="15" hidden="false" customHeight="false" outlineLevel="0" collapsed="false">
      <c r="Z106" s="38" t="str">
        <f aca="false">IF(ISNUMBER(A106),IF(COUNTIF(祝日!$A:$A,A106)&gt;0,"祝",CHOOSE(WEEKDAY(A106,2),"月","火","水","木","金","土","日")),"")</f>
        <v/>
      </c>
    </row>
    <row r="107" customFormat="false" ht="15" hidden="false" customHeight="false" outlineLevel="0" collapsed="false">
      <c r="Z107" s="38" t="str">
        <f aca="false">IF(ISNUMBER(A107),IF(COUNTIF(祝日!$A:$A,A107)&gt;0,"祝",CHOOSE(WEEKDAY(A107,2),"月","火","水","木","金","土","日")),"")</f>
        <v/>
      </c>
    </row>
    <row r="108" customFormat="false" ht="15" hidden="false" customHeight="false" outlineLevel="0" collapsed="false">
      <c r="Z108" s="38" t="str">
        <f aca="false">IF(ISNUMBER(A108),IF(COUNTIF(祝日!$A:$A,A108)&gt;0,"祝",CHOOSE(WEEKDAY(A108,2),"月","火","水","木","金","土","日")),"")</f>
        <v/>
      </c>
    </row>
    <row r="109" customFormat="false" ht="15" hidden="false" customHeight="false" outlineLevel="0" collapsed="false">
      <c r="Z109" s="38" t="str">
        <f aca="false">IF(ISNUMBER(A109),IF(COUNTIF(祝日!$A:$A,A109)&gt;0,"祝",CHOOSE(WEEKDAY(A109,2),"月","火","水","木","金","土","日")),"")</f>
        <v/>
      </c>
    </row>
    <row r="110" customFormat="false" ht="15" hidden="false" customHeight="false" outlineLevel="0" collapsed="false">
      <c r="Z110" s="38" t="str">
        <f aca="false">IF(ISNUMBER(A110),IF(COUNTIF(祝日!$A:$A,A110)&gt;0,"祝",CHOOSE(WEEKDAY(A110,2),"月","火","水","木","金","土","日")),"")</f>
        <v/>
      </c>
    </row>
    <row r="111" customFormat="false" ht="15" hidden="false" customHeight="false" outlineLevel="0" collapsed="false">
      <c r="Z111" s="38" t="str">
        <f aca="false">IF(ISNUMBER(A111),IF(COUNTIF(祝日!$A:$A,A111)&gt;0,"祝",CHOOSE(WEEKDAY(A111,2),"月","火","水","木","金","土","日")),"")</f>
        <v/>
      </c>
    </row>
    <row r="112" customFormat="false" ht="15" hidden="false" customHeight="false" outlineLevel="0" collapsed="false">
      <c r="Z112" s="38" t="str">
        <f aca="false">IF(ISNUMBER(A112),IF(COUNTIF(祝日!$A:$A,A112)&gt;0,"祝",CHOOSE(WEEKDAY(A112,2),"月","火","水","木","金","土","日")),"")</f>
        <v/>
      </c>
    </row>
    <row r="113" customFormat="false" ht="15" hidden="false" customHeight="false" outlineLevel="0" collapsed="false">
      <c r="Z113" s="38" t="str">
        <f aca="false">IF(ISNUMBER(A113),IF(COUNTIF(祝日!$A:$A,A113)&gt;0,"祝",CHOOSE(WEEKDAY(A113,2),"月","火","水","木","金","土","日")),"")</f>
        <v/>
      </c>
    </row>
    <row r="114" customFormat="false" ht="15" hidden="false" customHeight="false" outlineLevel="0" collapsed="false">
      <c r="Z114" s="38" t="str">
        <f aca="false">IF(ISNUMBER(A114),IF(COUNTIF(祝日!$A:$A,A114)&gt;0,"祝",CHOOSE(WEEKDAY(A114,2),"月","火","水","木","金","土","日")),"")</f>
        <v/>
      </c>
    </row>
    <row r="115" customFormat="false" ht="15" hidden="false" customHeight="false" outlineLevel="0" collapsed="false">
      <c r="Z115" s="38" t="str">
        <f aca="false">IF(ISNUMBER(A115),IF(COUNTIF(祝日!$A:$A,A115)&gt;0,"祝",CHOOSE(WEEKDAY(A115,2),"月","火","水","木","金","土","日")),"")</f>
        <v/>
      </c>
    </row>
    <row r="116" customFormat="false" ht="15" hidden="false" customHeight="false" outlineLevel="0" collapsed="false">
      <c r="Z116" s="38" t="str">
        <f aca="false">IF(ISNUMBER(A116),IF(COUNTIF(祝日!$A:$A,A116)&gt;0,"祝",CHOOSE(WEEKDAY(A116,2),"月","火","水","木","金","土","日")),"")</f>
        <v/>
      </c>
    </row>
    <row r="117" customFormat="false" ht="15" hidden="false" customHeight="false" outlineLevel="0" collapsed="false">
      <c r="Z117" s="38" t="str">
        <f aca="false">IF(ISNUMBER(A117),IF(COUNTIF(祝日!$A:$A,A117)&gt;0,"祝",CHOOSE(WEEKDAY(A117,2),"月","火","水","木","金","土","日")),"")</f>
        <v/>
      </c>
    </row>
    <row r="118" customFormat="false" ht="15" hidden="false" customHeight="false" outlineLevel="0" collapsed="false">
      <c r="Z118" s="38" t="str">
        <f aca="false">IF(ISNUMBER(A118),IF(COUNTIF(祝日!$A:$A,A118)&gt;0,"祝",CHOOSE(WEEKDAY(A118,2),"月","火","水","木","金","土","日")),"")</f>
        <v/>
      </c>
    </row>
    <row r="119" customFormat="false" ht="15" hidden="false" customHeight="false" outlineLevel="0" collapsed="false">
      <c r="Z119" s="38" t="str">
        <f aca="false">IF(ISNUMBER(A119),IF(COUNTIF(祝日!$A:$A,A119)&gt;0,"祝",CHOOSE(WEEKDAY(A119,2),"月","火","水","木","金","土","日")),"")</f>
        <v/>
      </c>
    </row>
    <row r="120" customFormat="false" ht="15" hidden="false" customHeight="false" outlineLevel="0" collapsed="false">
      <c r="Z120" s="38" t="str">
        <f aca="false">IF(ISNUMBER(A120),IF(COUNTIF(祝日!$A:$A,A120)&gt;0,"祝",CHOOSE(WEEKDAY(A120,2),"月","火","水","木","金","土","日")),"")</f>
        <v/>
      </c>
    </row>
    <row r="121" customFormat="false" ht="15" hidden="false" customHeight="false" outlineLevel="0" collapsed="false">
      <c r="Z121" s="38" t="str">
        <f aca="false">IF(ISNUMBER(A121),IF(COUNTIF(祝日!$A:$A,A121)&gt;0,"祝",CHOOSE(WEEKDAY(A121,2),"月","火","水","木","金","土","日")),"")</f>
        <v/>
      </c>
    </row>
    <row r="122" customFormat="false" ht="15" hidden="false" customHeight="false" outlineLevel="0" collapsed="false">
      <c r="Z122" s="38" t="str">
        <f aca="false">IF(ISNUMBER(A122),IF(COUNTIF(祝日!$A:$A,A122)&gt;0,"祝",CHOOSE(WEEKDAY(A122,2),"月","火","水","木","金","土","日")),"")</f>
        <v/>
      </c>
    </row>
    <row r="123" customFormat="false" ht="15" hidden="false" customHeight="false" outlineLevel="0" collapsed="false">
      <c r="Z123" s="38" t="str">
        <f aca="false">IF(ISNUMBER(A123),IF(COUNTIF(祝日!$A:$A,A123)&gt;0,"祝",CHOOSE(WEEKDAY(A123,2),"月","火","水","木","金","土","日")),"")</f>
        <v/>
      </c>
    </row>
    <row r="124" customFormat="false" ht="15" hidden="false" customHeight="false" outlineLevel="0" collapsed="false">
      <c r="Z124" s="38" t="str">
        <f aca="false">IF(ISNUMBER(A124),IF(COUNTIF(祝日!$A:$A,A124)&gt;0,"祝",CHOOSE(WEEKDAY(A124,2),"月","火","水","木","金","土","日")),"")</f>
        <v/>
      </c>
    </row>
    <row r="125" customFormat="false" ht="15" hidden="false" customHeight="false" outlineLevel="0" collapsed="false">
      <c r="Z125" s="38" t="str">
        <f aca="false">IF(ISNUMBER(A125),IF(COUNTIF(祝日!$A:$A,A125)&gt;0,"祝",CHOOSE(WEEKDAY(A125,2),"月","火","水","木","金","土","日")),"")</f>
        <v/>
      </c>
    </row>
    <row r="126" customFormat="false" ht="15" hidden="false" customHeight="false" outlineLevel="0" collapsed="false">
      <c r="Z126" s="38" t="str">
        <f aca="false">IF(ISNUMBER(A126),IF(COUNTIF(祝日!$A:$A,A126)&gt;0,"祝",CHOOSE(WEEKDAY(A126,2),"月","火","水","木","金","土","日")),"")</f>
        <v/>
      </c>
    </row>
    <row r="127" customFormat="false" ht="15" hidden="false" customHeight="false" outlineLevel="0" collapsed="false">
      <c r="Z127" s="38" t="str">
        <f aca="false">IF(ISNUMBER(A127),IF(COUNTIF(祝日!$A:$A,A127)&gt;0,"祝",CHOOSE(WEEKDAY(A127,2),"月","火","水","木","金","土","日")),"")</f>
        <v/>
      </c>
    </row>
    <row r="128" customFormat="false" ht="15" hidden="false" customHeight="false" outlineLevel="0" collapsed="false">
      <c r="Z128" s="38" t="str">
        <f aca="false">IF(ISNUMBER(A128),IF(COUNTIF(祝日!$A:$A,A128)&gt;0,"祝",CHOOSE(WEEKDAY(A128,2),"月","火","水","木","金","土","日")),"")</f>
        <v/>
      </c>
    </row>
    <row r="129" customFormat="false" ht="15" hidden="false" customHeight="false" outlineLevel="0" collapsed="false">
      <c r="Z129" s="38" t="str">
        <f aca="false">IF(ISNUMBER(A129),IF(COUNTIF(祝日!$A:$A,A129)&gt;0,"祝",CHOOSE(WEEKDAY(A129,2),"月","火","水","木","金","土","日")),"")</f>
        <v/>
      </c>
    </row>
    <row r="130" customFormat="false" ht="15" hidden="false" customHeight="false" outlineLevel="0" collapsed="false">
      <c r="Z130" s="38" t="str">
        <f aca="false">IF(ISNUMBER(A130),IF(COUNTIF(祝日!$A:$A,A130)&gt;0,"祝",CHOOSE(WEEKDAY(A130,2),"月","火","水","木","金","土","日")),"")</f>
        <v/>
      </c>
    </row>
    <row r="131" customFormat="false" ht="15" hidden="false" customHeight="false" outlineLevel="0" collapsed="false">
      <c r="Z131" s="38" t="str">
        <f aca="false">IF(ISNUMBER(A131),IF(COUNTIF(祝日!$A:$A,A131)&gt;0,"祝",CHOOSE(WEEKDAY(A131,2),"月","火","水","木","金","土","日")),"")</f>
        <v/>
      </c>
    </row>
    <row r="132" customFormat="false" ht="15" hidden="false" customHeight="false" outlineLevel="0" collapsed="false">
      <c r="Z132" s="38" t="str">
        <f aca="false">IF(ISNUMBER(A132),IF(COUNTIF(祝日!$A:$A,A132)&gt;0,"祝",CHOOSE(WEEKDAY(A132,2),"月","火","水","木","金","土","日")),"")</f>
        <v/>
      </c>
    </row>
    <row r="133" customFormat="false" ht="15" hidden="false" customHeight="false" outlineLevel="0" collapsed="false">
      <c r="Z133" s="38" t="str">
        <f aca="false">IF(ISNUMBER(A133),IF(COUNTIF(祝日!$A:$A,A133)&gt;0,"祝",CHOOSE(WEEKDAY(A133,2),"月","火","水","木","金","土","日")),"")</f>
        <v/>
      </c>
    </row>
    <row r="134" customFormat="false" ht="15" hidden="false" customHeight="false" outlineLevel="0" collapsed="false">
      <c r="Z134" s="38" t="str">
        <f aca="false">IF(ISNUMBER(A134),IF(COUNTIF(祝日!$A:$A,A134)&gt;0,"祝",CHOOSE(WEEKDAY(A134,2),"月","火","水","木","金","土","日")),"")</f>
        <v/>
      </c>
    </row>
    <row r="135" customFormat="false" ht="15" hidden="false" customHeight="false" outlineLevel="0" collapsed="false">
      <c r="Z135" s="38" t="str">
        <f aca="false">IF(ISNUMBER(A135),IF(COUNTIF(祝日!$A:$A,A135)&gt;0,"祝",CHOOSE(WEEKDAY(A135,2),"月","火","水","木","金","土","日")),"")</f>
        <v/>
      </c>
    </row>
    <row r="136" customFormat="false" ht="15" hidden="false" customHeight="false" outlineLevel="0" collapsed="false">
      <c r="Z136" s="38" t="str">
        <f aca="false">IF(ISNUMBER(A136),IF(COUNTIF(祝日!$A:$A,A136)&gt;0,"祝",CHOOSE(WEEKDAY(A136,2),"月","火","水","木","金","土","日")),"")</f>
        <v/>
      </c>
    </row>
    <row r="137" customFormat="false" ht="15" hidden="false" customHeight="false" outlineLevel="0" collapsed="false">
      <c r="Z137" s="38" t="str">
        <f aca="false">IF(ISNUMBER(A137),IF(COUNTIF(祝日!$A:$A,A137)&gt;0,"祝",CHOOSE(WEEKDAY(A137,2),"月","火","水","木","金","土","日")),"")</f>
        <v/>
      </c>
    </row>
    <row r="138" customFormat="false" ht="15" hidden="false" customHeight="false" outlineLevel="0" collapsed="false">
      <c r="Z138" s="38" t="str">
        <f aca="false">IF(ISNUMBER(A138),IF(COUNTIF(祝日!$A:$A,A138)&gt;0,"祝",CHOOSE(WEEKDAY(A138,2),"月","火","水","木","金","土","日")),"")</f>
        <v/>
      </c>
    </row>
    <row r="139" customFormat="false" ht="15" hidden="false" customHeight="false" outlineLevel="0" collapsed="false">
      <c r="Z139" s="38" t="str">
        <f aca="false">IF(ISNUMBER(A139),IF(COUNTIF(祝日!$A:$A,A139)&gt;0,"祝",CHOOSE(WEEKDAY(A139,2),"月","火","水","木","金","土","日")),"")</f>
        <v/>
      </c>
    </row>
    <row r="140" customFormat="false" ht="15" hidden="false" customHeight="false" outlineLevel="0" collapsed="false">
      <c r="Z140" s="38" t="str">
        <f aca="false">IF(ISNUMBER(A140),IF(COUNTIF(祝日!$A:$A,A140)&gt;0,"祝",CHOOSE(WEEKDAY(A140,2),"月","火","水","木","金","土","日")),"")</f>
        <v/>
      </c>
    </row>
    <row r="141" customFormat="false" ht="15" hidden="false" customHeight="false" outlineLevel="0" collapsed="false">
      <c r="Z141" s="38" t="str">
        <f aca="false">IF(ISNUMBER(A141),IF(COUNTIF(祝日!$A:$A,A141)&gt;0,"祝",CHOOSE(WEEKDAY(A141,2),"月","火","水","木","金","土","日")),"")</f>
        <v/>
      </c>
    </row>
    <row r="142" customFormat="false" ht="15" hidden="false" customHeight="false" outlineLevel="0" collapsed="false">
      <c r="Z142" s="38" t="str">
        <f aca="false">IF(ISNUMBER(A142),IF(COUNTIF(祝日!$A:$A,A142)&gt;0,"祝",CHOOSE(WEEKDAY(A142,2),"月","火","水","木","金","土","日")),"")</f>
        <v/>
      </c>
    </row>
    <row r="143" customFormat="false" ht="15" hidden="false" customHeight="false" outlineLevel="0" collapsed="false">
      <c r="Z143" s="38" t="str">
        <f aca="false">IF(ISNUMBER(A143),IF(COUNTIF(祝日!$A:$A,A143)&gt;0,"祝",CHOOSE(WEEKDAY(A143,2),"月","火","水","木","金","土","日")),"")</f>
        <v/>
      </c>
    </row>
    <row r="144" customFormat="false" ht="15" hidden="false" customHeight="false" outlineLevel="0" collapsed="false">
      <c r="Z144" s="38" t="str">
        <f aca="false">IF(ISNUMBER(A144),IF(COUNTIF(祝日!$A:$A,A144)&gt;0,"祝",CHOOSE(WEEKDAY(A144,2),"月","火","水","木","金","土","日")),"")</f>
        <v/>
      </c>
    </row>
    <row r="145" customFormat="false" ht="15" hidden="false" customHeight="false" outlineLevel="0" collapsed="false">
      <c r="Z145" s="38" t="str">
        <f aca="false">IF(ISNUMBER(A145),IF(COUNTIF(祝日!$A:$A,A145)&gt;0,"祝",CHOOSE(WEEKDAY(A145,2),"月","火","水","木","金","土","日")),"")</f>
        <v/>
      </c>
    </row>
    <row r="146" customFormat="false" ht="15" hidden="false" customHeight="false" outlineLevel="0" collapsed="false">
      <c r="Z146" s="38" t="str">
        <f aca="false">IF(ISNUMBER(A146),IF(COUNTIF(祝日!$A:$A,A146)&gt;0,"祝",CHOOSE(WEEKDAY(A146,2),"月","火","水","木","金","土","日")),"")</f>
        <v/>
      </c>
    </row>
    <row r="147" customFormat="false" ht="15" hidden="false" customHeight="false" outlineLevel="0" collapsed="false">
      <c r="Z147" s="38" t="str">
        <f aca="false">IF(ISNUMBER(A147),IF(COUNTIF(祝日!$A:$A,A147)&gt;0,"祝",CHOOSE(WEEKDAY(A147,2),"月","火","水","木","金","土","日")),"")</f>
        <v/>
      </c>
    </row>
    <row r="148" customFormat="false" ht="15" hidden="false" customHeight="false" outlineLevel="0" collapsed="false">
      <c r="Z148" s="38" t="str">
        <f aca="false">IF(ISNUMBER(A148),IF(COUNTIF(祝日!$A:$A,A148)&gt;0,"祝",CHOOSE(WEEKDAY(A148,2),"月","火","水","木","金","土","日")),"")</f>
        <v/>
      </c>
    </row>
    <row r="149" customFormat="false" ht="15" hidden="false" customHeight="false" outlineLevel="0" collapsed="false">
      <c r="Z149" s="38" t="str">
        <f aca="false">IF(ISNUMBER(A149),IF(COUNTIF(祝日!$A:$A,A149)&gt;0,"祝",CHOOSE(WEEKDAY(A149,2),"月","火","水","木","金","土","日")),"")</f>
        <v/>
      </c>
    </row>
    <row r="150" customFormat="false" ht="15" hidden="false" customHeight="false" outlineLevel="0" collapsed="false">
      <c r="Z150" s="38" t="str">
        <f aca="false">IF(ISNUMBER(A150),IF(COUNTIF(祝日!$A:$A,A150)&gt;0,"祝",CHOOSE(WEEKDAY(A150,2),"月","火","水","木","金","土","日")),"")</f>
        <v/>
      </c>
    </row>
    <row r="151" customFormat="false" ht="15" hidden="false" customHeight="false" outlineLevel="0" collapsed="false">
      <c r="Z151" s="38" t="str">
        <f aca="false">IF(ISNUMBER(A151),IF(COUNTIF(祝日!$A:$A,A151)&gt;0,"祝",CHOOSE(WEEKDAY(A151,2),"月","火","水","木","金","土","日")),"")</f>
        <v/>
      </c>
    </row>
    <row r="152" customFormat="false" ht="15" hidden="false" customHeight="false" outlineLevel="0" collapsed="false">
      <c r="Z152" s="38" t="str">
        <f aca="false">IF(ISNUMBER(A152),IF(COUNTIF(祝日!$A:$A,A152)&gt;0,"祝",CHOOSE(WEEKDAY(A152,2),"月","火","水","木","金","土","日")),"")</f>
        <v/>
      </c>
    </row>
    <row r="153" customFormat="false" ht="15" hidden="false" customHeight="false" outlineLevel="0" collapsed="false">
      <c r="Z153" s="38" t="str">
        <f aca="false">IF(ISNUMBER(A153),IF(COUNTIF(祝日!$A:$A,A153)&gt;0,"祝",CHOOSE(WEEKDAY(A153,2),"月","火","水","木","金","土","日")),"")</f>
        <v/>
      </c>
    </row>
    <row r="154" customFormat="false" ht="15" hidden="false" customHeight="false" outlineLevel="0" collapsed="false">
      <c r="Z154" s="38" t="str">
        <f aca="false">IF(ISNUMBER(A154),IF(COUNTIF(祝日!$A:$A,A154)&gt;0,"祝",CHOOSE(WEEKDAY(A154,2),"月","火","水","木","金","土","日")),"")</f>
        <v/>
      </c>
    </row>
    <row r="155" customFormat="false" ht="15" hidden="false" customHeight="false" outlineLevel="0" collapsed="false">
      <c r="Z155" s="38" t="str">
        <f aca="false">IF(ISNUMBER(A155),IF(COUNTIF(祝日!$A:$A,A155)&gt;0,"祝",CHOOSE(WEEKDAY(A155,2),"月","火","水","木","金","土","日")),"")</f>
        <v/>
      </c>
    </row>
    <row r="156" customFormat="false" ht="15" hidden="false" customHeight="false" outlineLevel="0" collapsed="false">
      <c r="Z156" s="38" t="str">
        <f aca="false">IF(ISNUMBER(A156),IF(COUNTIF(祝日!$A:$A,A156)&gt;0,"祝",CHOOSE(WEEKDAY(A156,2),"月","火","水","木","金","土","日")),"")</f>
        <v/>
      </c>
    </row>
    <row r="157" customFormat="false" ht="15" hidden="false" customHeight="false" outlineLevel="0" collapsed="false">
      <c r="Z157" s="38" t="str">
        <f aca="false">IF(ISNUMBER(A157),IF(COUNTIF(祝日!$A:$A,A157)&gt;0,"祝",CHOOSE(WEEKDAY(A157,2),"月","火","水","木","金","土","日")),"")</f>
        <v/>
      </c>
    </row>
    <row r="158" customFormat="false" ht="15" hidden="false" customHeight="false" outlineLevel="0" collapsed="false">
      <c r="Z158" s="38" t="str">
        <f aca="false">IF(ISNUMBER(A158),IF(COUNTIF(祝日!$A:$A,A158)&gt;0,"祝",CHOOSE(WEEKDAY(A158,2),"月","火","水","木","金","土","日")),"")</f>
        <v/>
      </c>
    </row>
    <row r="159" customFormat="false" ht="15" hidden="false" customHeight="false" outlineLevel="0" collapsed="false">
      <c r="Z159" s="38" t="str">
        <f aca="false">IF(ISNUMBER(A159),IF(COUNTIF(祝日!$A:$A,A159)&gt;0,"祝",CHOOSE(WEEKDAY(A159,2),"月","火","水","木","金","土","日")),"")</f>
        <v/>
      </c>
    </row>
    <row r="160" customFormat="false" ht="15" hidden="false" customHeight="false" outlineLevel="0" collapsed="false">
      <c r="Z160" s="38" t="str">
        <f aca="false">IF(ISNUMBER(A160),IF(COUNTIF(祝日!$A:$A,A160)&gt;0,"祝",CHOOSE(WEEKDAY(A160,2),"月","火","水","木","金","土","日")),"")</f>
        <v/>
      </c>
    </row>
    <row r="161" customFormat="false" ht="15" hidden="false" customHeight="false" outlineLevel="0" collapsed="false">
      <c r="Z161" s="38" t="str">
        <f aca="false">IF(ISNUMBER(A161),IF(COUNTIF(祝日!$A:$A,A161)&gt;0,"祝",CHOOSE(WEEKDAY(A161,2),"月","火","水","木","金","土","日")),"")</f>
        <v/>
      </c>
    </row>
    <row r="162" customFormat="false" ht="15" hidden="false" customHeight="false" outlineLevel="0" collapsed="false">
      <c r="Z162" s="38" t="str">
        <f aca="false">IF(ISNUMBER(A162),IF(COUNTIF(祝日!$A:$A,A162)&gt;0,"祝",CHOOSE(WEEKDAY(A162,2),"月","火","水","木","金","土","日")),"")</f>
        <v/>
      </c>
    </row>
    <row r="163" customFormat="false" ht="15" hidden="false" customHeight="false" outlineLevel="0" collapsed="false">
      <c r="Z163" s="38" t="str">
        <f aca="false">IF(ISNUMBER(A163),IF(COUNTIF(祝日!$A:$A,A163)&gt;0,"祝",CHOOSE(WEEKDAY(A163,2),"月","火","水","木","金","土","日")),"")</f>
        <v/>
      </c>
    </row>
    <row r="164" customFormat="false" ht="15" hidden="false" customHeight="false" outlineLevel="0" collapsed="false">
      <c r="Z164" s="38" t="str">
        <f aca="false">IF(ISNUMBER(A164),IF(COUNTIF(祝日!$A:$A,A164)&gt;0,"祝",CHOOSE(WEEKDAY(A164,2),"月","火","水","木","金","土","日")),"")</f>
        <v/>
      </c>
    </row>
    <row r="165" customFormat="false" ht="15" hidden="false" customHeight="false" outlineLevel="0" collapsed="false">
      <c r="Z165" s="38" t="str">
        <f aca="false">IF(ISNUMBER(A165),IF(COUNTIF(祝日!$A:$A,A165)&gt;0,"祝",CHOOSE(WEEKDAY(A165,2),"月","火","水","木","金","土","日")),"")</f>
        <v/>
      </c>
    </row>
    <row r="166" customFormat="false" ht="15" hidden="false" customHeight="false" outlineLevel="0" collapsed="false">
      <c r="Z166" s="38" t="str">
        <f aca="false">IF(ISNUMBER(A166),IF(COUNTIF(祝日!$A:$A,A166)&gt;0,"祝",CHOOSE(WEEKDAY(A166,2),"月","火","水","木","金","土","日")),"")</f>
        <v/>
      </c>
    </row>
    <row r="167" customFormat="false" ht="15" hidden="false" customHeight="false" outlineLevel="0" collapsed="false">
      <c r="Z167" s="38" t="str">
        <f aca="false">IF(ISNUMBER(A167),IF(COUNTIF(祝日!$A:$A,A167)&gt;0,"祝",CHOOSE(WEEKDAY(A167,2),"月","火","水","木","金","土","日")),"")</f>
        <v/>
      </c>
    </row>
    <row r="168" customFormat="false" ht="15" hidden="false" customHeight="false" outlineLevel="0" collapsed="false">
      <c r="Z168" s="38" t="str">
        <f aca="false">IF(ISNUMBER(A168),IF(COUNTIF(祝日!$A:$A,A168)&gt;0,"祝",CHOOSE(WEEKDAY(A168,2),"月","火","水","木","金","土","日")),"")</f>
        <v/>
      </c>
    </row>
    <row r="169" customFormat="false" ht="15" hidden="false" customHeight="false" outlineLevel="0" collapsed="false">
      <c r="Z169" s="38" t="str">
        <f aca="false">IF(ISNUMBER(A169),IF(COUNTIF(祝日!$A:$A,A169)&gt;0,"祝",CHOOSE(WEEKDAY(A169,2),"月","火","水","木","金","土","日")),"")</f>
        <v/>
      </c>
    </row>
    <row r="170" customFormat="false" ht="15" hidden="false" customHeight="false" outlineLevel="0" collapsed="false">
      <c r="Z170" s="38" t="str">
        <f aca="false">IF(ISNUMBER(A170),IF(COUNTIF(祝日!$A:$A,A170)&gt;0,"祝",CHOOSE(WEEKDAY(A170,2),"月","火","水","木","金","土","日")),"")</f>
        <v/>
      </c>
    </row>
    <row r="171" customFormat="false" ht="15" hidden="false" customHeight="false" outlineLevel="0" collapsed="false">
      <c r="Z171" s="38" t="str">
        <f aca="false">IF(ISNUMBER(A171),IF(COUNTIF(祝日!$A:$A,A171)&gt;0,"祝",CHOOSE(WEEKDAY(A171,2),"月","火","水","木","金","土","日")),"")</f>
        <v/>
      </c>
    </row>
    <row r="172" customFormat="false" ht="15" hidden="false" customHeight="false" outlineLevel="0" collapsed="false">
      <c r="Z172" s="38" t="str">
        <f aca="false">IF(ISNUMBER(A172),IF(COUNTIF(祝日!$A:$A,A172)&gt;0,"祝",CHOOSE(WEEKDAY(A172,2),"月","火","水","木","金","土","日")),"")</f>
        <v/>
      </c>
    </row>
    <row r="173" customFormat="false" ht="15" hidden="false" customHeight="false" outlineLevel="0" collapsed="false">
      <c r="Z173" s="38" t="str">
        <f aca="false">IF(ISNUMBER(A173),IF(COUNTIF(祝日!$A:$A,A173)&gt;0,"祝",CHOOSE(WEEKDAY(A173,2),"月","火","水","木","金","土","日")),"")</f>
        <v/>
      </c>
    </row>
    <row r="174" customFormat="false" ht="15" hidden="false" customHeight="false" outlineLevel="0" collapsed="false">
      <c r="Z174" s="38" t="str">
        <f aca="false">IF(ISNUMBER(A174),IF(COUNTIF(祝日!$A:$A,A174)&gt;0,"祝",CHOOSE(WEEKDAY(A174,2),"月","火","水","木","金","土","日")),"")</f>
        <v/>
      </c>
    </row>
    <row r="175" customFormat="false" ht="15" hidden="false" customHeight="false" outlineLevel="0" collapsed="false">
      <c r="Z175" s="38" t="str">
        <f aca="false">IF(ISNUMBER(A175),IF(COUNTIF(祝日!$A:$A,A175)&gt;0,"祝",CHOOSE(WEEKDAY(A175,2),"月","火","水","木","金","土","日")),"")</f>
        <v/>
      </c>
    </row>
    <row r="176" customFormat="false" ht="15" hidden="false" customHeight="false" outlineLevel="0" collapsed="false">
      <c r="Z176" s="38" t="str">
        <f aca="false">IF(ISNUMBER(A176),IF(COUNTIF(祝日!$A:$A,A176)&gt;0,"祝",CHOOSE(WEEKDAY(A176,2),"月","火","水","木","金","土","日")),"")</f>
        <v/>
      </c>
    </row>
    <row r="177" customFormat="false" ht="15" hidden="false" customHeight="false" outlineLevel="0" collapsed="false">
      <c r="Z177" s="38" t="str">
        <f aca="false">IF(ISNUMBER(A177),IF(COUNTIF(祝日!$A:$A,A177)&gt;0,"祝",CHOOSE(WEEKDAY(A177,2),"月","火","水","木","金","土","日")),"")</f>
        <v/>
      </c>
    </row>
    <row r="178" customFormat="false" ht="15" hidden="false" customHeight="false" outlineLevel="0" collapsed="false">
      <c r="Z178" s="38" t="str">
        <f aca="false">IF(ISNUMBER(A178),IF(COUNTIF(祝日!$A:$A,A178)&gt;0,"祝",CHOOSE(WEEKDAY(A178,2),"月","火","水","木","金","土","日")),"")</f>
        <v/>
      </c>
    </row>
    <row r="179" customFormat="false" ht="15" hidden="false" customHeight="false" outlineLevel="0" collapsed="false">
      <c r="Z179" s="38" t="str">
        <f aca="false">IF(ISNUMBER(A179),IF(COUNTIF(祝日!$A:$A,A179)&gt;0,"祝",CHOOSE(WEEKDAY(A179,2),"月","火","水","木","金","土","日")),"")</f>
        <v/>
      </c>
    </row>
    <row r="180" customFormat="false" ht="15" hidden="false" customHeight="false" outlineLevel="0" collapsed="false">
      <c r="Z180" s="38" t="str">
        <f aca="false">IF(ISNUMBER(A180),IF(COUNTIF(祝日!$A:$A,A180)&gt;0,"祝",CHOOSE(WEEKDAY(A180,2),"月","火","水","木","金","土","日")),"")</f>
        <v/>
      </c>
    </row>
    <row r="181" customFormat="false" ht="15" hidden="false" customHeight="false" outlineLevel="0" collapsed="false">
      <c r="Z181" s="38" t="str">
        <f aca="false">IF(ISNUMBER(A181),IF(COUNTIF(祝日!$A:$A,A181)&gt;0,"祝",CHOOSE(WEEKDAY(A181,2),"月","火","水","木","金","土","日")),"")</f>
        <v/>
      </c>
    </row>
    <row r="182" customFormat="false" ht="15" hidden="false" customHeight="false" outlineLevel="0" collapsed="false">
      <c r="Z182" s="38" t="str">
        <f aca="false">IF(ISNUMBER(A182),IF(COUNTIF(祝日!$A:$A,A182)&gt;0,"祝",CHOOSE(WEEKDAY(A182,2),"月","火","水","木","金","土","日")),"")</f>
        <v/>
      </c>
    </row>
    <row r="183" customFormat="false" ht="15" hidden="false" customHeight="false" outlineLevel="0" collapsed="false">
      <c r="Z183" s="38" t="str">
        <f aca="false">IF(ISNUMBER(A183),IF(COUNTIF(祝日!$A:$A,A183)&gt;0,"祝",CHOOSE(WEEKDAY(A183,2),"月","火","水","木","金","土","日")),"")</f>
        <v/>
      </c>
    </row>
    <row r="184" customFormat="false" ht="15" hidden="false" customHeight="false" outlineLevel="0" collapsed="false">
      <c r="Z184" s="38" t="str">
        <f aca="false">IF(ISNUMBER(A184),IF(COUNTIF(祝日!$A:$A,A184)&gt;0,"祝",CHOOSE(WEEKDAY(A184,2),"月","火","水","木","金","土","日")),"")</f>
        <v/>
      </c>
    </row>
    <row r="185" customFormat="false" ht="15" hidden="false" customHeight="false" outlineLevel="0" collapsed="false">
      <c r="Z185" s="38" t="str">
        <f aca="false">IF(ISNUMBER(A185),IF(COUNTIF(祝日!$A:$A,A185)&gt;0,"祝",CHOOSE(WEEKDAY(A185,2),"月","火","水","木","金","土","日")),"")</f>
        <v/>
      </c>
    </row>
    <row r="186" customFormat="false" ht="15" hidden="false" customHeight="false" outlineLevel="0" collapsed="false">
      <c r="Z186" s="38" t="str">
        <f aca="false">IF(ISNUMBER(A186),IF(COUNTIF(祝日!$A:$A,A186)&gt;0,"祝",CHOOSE(WEEKDAY(A186,2),"月","火","水","木","金","土","日")),"")</f>
        <v/>
      </c>
    </row>
    <row r="187" customFormat="false" ht="15" hidden="false" customHeight="false" outlineLevel="0" collapsed="false">
      <c r="Z187" s="38" t="str">
        <f aca="false">IF(ISNUMBER(A187),IF(COUNTIF(祝日!$A:$A,A187)&gt;0,"祝",CHOOSE(WEEKDAY(A187,2),"月","火","水","木","金","土","日")),"")</f>
        <v/>
      </c>
    </row>
    <row r="188" customFormat="false" ht="15" hidden="false" customHeight="false" outlineLevel="0" collapsed="false">
      <c r="Z188" s="38" t="str">
        <f aca="false">IF(ISNUMBER(A188),IF(COUNTIF(祝日!$A:$A,A188)&gt;0,"祝",CHOOSE(WEEKDAY(A188,2),"月","火","水","木","金","土","日")),"")</f>
        <v/>
      </c>
    </row>
    <row r="189" customFormat="false" ht="15" hidden="false" customHeight="false" outlineLevel="0" collapsed="false">
      <c r="Z189" s="38" t="str">
        <f aca="false">IF(ISNUMBER(A189),IF(COUNTIF(祝日!$A:$A,A189)&gt;0,"祝",CHOOSE(WEEKDAY(A189,2),"月","火","水","木","金","土","日")),"")</f>
        <v/>
      </c>
    </row>
    <row r="190" customFormat="false" ht="15" hidden="false" customHeight="false" outlineLevel="0" collapsed="false">
      <c r="Z190" s="38" t="str">
        <f aca="false">IF(ISNUMBER(A190),IF(COUNTIF(祝日!$A:$A,A190)&gt;0,"祝",CHOOSE(WEEKDAY(A190,2),"月","火","水","木","金","土","日")),"")</f>
        <v/>
      </c>
    </row>
    <row r="191" customFormat="false" ht="15" hidden="false" customHeight="false" outlineLevel="0" collapsed="false">
      <c r="Z191" s="38" t="str">
        <f aca="false">IF(ISNUMBER(A191),IF(COUNTIF(祝日!$A:$A,A191)&gt;0,"祝",CHOOSE(WEEKDAY(A191,2),"月","火","水","木","金","土","日")),"")</f>
        <v/>
      </c>
    </row>
    <row r="192" customFormat="false" ht="15" hidden="false" customHeight="false" outlineLevel="0" collapsed="false">
      <c r="Z192" s="38" t="str">
        <f aca="false">IF(ISNUMBER(A192),IF(COUNTIF(祝日!$A:$A,A192)&gt;0,"祝",CHOOSE(WEEKDAY(A192,2),"月","火","水","木","金","土","日")),"")</f>
        <v/>
      </c>
    </row>
    <row r="193" customFormat="false" ht="15" hidden="false" customHeight="false" outlineLevel="0" collapsed="false">
      <c r="Z193" s="38" t="str">
        <f aca="false">IF(ISNUMBER(A193),IF(COUNTIF(祝日!$A:$A,A193)&gt;0,"祝",CHOOSE(WEEKDAY(A193,2),"月","火","水","木","金","土","日")),"")</f>
        <v/>
      </c>
    </row>
    <row r="194" customFormat="false" ht="15" hidden="false" customHeight="false" outlineLevel="0" collapsed="false">
      <c r="Z194" s="38" t="str">
        <f aca="false">IF(ISNUMBER(A194),IF(COUNTIF(祝日!$A:$A,A194)&gt;0,"祝",CHOOSE(WEEKDAY(A194,2),"月","火","水","木","金","土","日")),"")</f>
        <v/>
      </c>
    </row>
    <row r="195" customFormat="false" ht="15" hidden="false" customHeight="false" outlineLevel="0" collapsed="false">
      <c r="Z195" s="38" t="str">
        <f aca="false">IF(ISNUMBER(A195),IF(COUNTIF(祝日!$A:$A,A195)&gt;0,"祝",CHOOSE(WEEKDAY(A195,2),"月","火","水","木","金","土","日")),"")</f>
        <v/>
      </c>
    </row>
    <row r="196" customFormat="false" ht="15" hidden="false" customHeight="false" outlineLevel="0" collapsed="false">
      <c r="Z196" s="38" t="str">
        <f aca="false">IF(ISNUMBER(A196),IF(COUNTIF(祝日!$A:$A,A196)&gt;0,"祝",CHOOSE(WEEKDAY(A196,2),"月","火","水","木","金","土","日")),"")</f>
        <v/>
      </c>
    </row>
    <row r="197" customFormat="false" ht="15" hidden="false" customHeight="false" outlineLevel="0" collapsed="false">
      <c r="Z197" s="38" t="str">
        <f aca="false">IF(ISNUMBER(A197),IF(COUNTIF(祝日!$A:$A,A197)&gt;0,"祝",CHOOSE(WEEKDAY(A197,2),"月","火","水","木","金","土","日")),"")</f>
        <v/>
      </c>
    </row>
    <row r="198" customFormat="false" ht="15" hidden="false" customHeight="false" outlineLevel="0" collapsed="false">
      <c r="Z198" s="38" t="str">
        <f aca="false">IF(ISNUMBER(A198),IF(COUNTIF(祝日!$A:$A,A198)&gt;0,"祝",CHOOSE(WEEKDAY(A198,2),"月","火","水","木","金","土","日")),"")</f>
        <v/>
      </c>
    </row>
    <row r="199" customFormat="false" ht="15" hidden="false" customHeight="false" outlineLevel="0" collapsed="false">
      <c r="Z199" s="38" t="str">
        <f aca="false">IF(ISNUMBER(A199),IF(COUNTIF(祝日!$A:$A,A199)&gt;0,"祝",CHOOSE(WEEKDAY(A199,2),"月","火","水","木","金","土","日")),"")</f>
        <v/>
      </c>
    </row>
    <row r="200" customFormat="false" ht="15" hidden="false" customHeight="false" outlineLevel="0" collapsed="false">
      <c r="Z200" s="38" t="str">
        <f aca="false">IF(ISNUMBER(A200),IF(COUNTIF(祝日!$A:$A,A200)&gt;0,"祝",CHOOSE(WEEKDAY(A200,2),"月","火","水","木","金","土","日")),"")</f>
        <v/>
      </c>
    </row>
    <row r="201" customFormat="false" ht="15" hidden="false" customHeight="false" outlineLevel="0" collapsed="false">
      <c r="Z201" s="38" t="str">
        <f aca="false">IF(ISNUMBER(A201),IF(COUNTIF(祝日!$A:$A,A201)&gt;0,"祝",CHOOSE(WEEKDAY(A201,2),"月","火","水","木","金","土","日")),"")</f>
        <v/>
      </c>
    </row>
    <row r="202" customFormat="false" ht="15" hidden="false" customHeight="false" outlineLevel="0" collapsed="false">
      <c r="Z202" s="38" t="str">
        <f aca="false">IF(ISNUMBER(A202),IF(COUNTIF(祝日!$A:$A,A202)&gt;0,"祝",CHOOSE(WEEKDAY(A202,2),"月","火","水","木","金","土","日")),"")</f>
        <v/>
      </c>
    </row>
    <row r="203" customFormat="false" ht="15" hidden="false" customHeight="false" outlineLevel="0" collapsed="false">
      <c r="Z203" s="38" t="str">
        <f aca="false">IF(ISNUMBER(A203),IF(COUNTIF(祝日!$A:$A,A203)&gt;0,"祝",CHOOSE(WEEKDAY(A203,2),"月","火","水","木","金","土","日")),"")</f>
        <v/>
      </c>
    </row>
    <row r="204" customFormat="false" ht="15" hidden="false" customHeight="false" outlineLevel="0" collapsed="false">
      <c r="Z204" s="38" t="str">
        <f aca="false">IF(ISNUMBER(A204),IF(COUNTIF(祝日!$A:$A,A204)&gt;0,"祝",CHOOSE(WEEKDAY(A204,2),"月","火","水","木","金","土","日")),"")</f>
        <v/>
      </c>
    </row>
    <row r="205" customFormat="false" ht="15" hidden="false" customHeight="false" outlineLevel="0" collapsed="false">
      <c r="Z205" s="38" t="str">
        <f aca="false">IF(ISNUMBER(A205),IF(COUNTIF(祝日!$A:$A,A205)&gt;0,"祝",CHOOSE(WEEKDAY(A205,2),"月","火","水","木","金","土","日")),"")</f>
        <v/>
      </c>
    </row>
    <row r="206" customFormat="false" ht="15" hidden="false" customHeight="false" outlineLevel="0" collapsed="false">
      <c r="Z206" s="38" t="str">
        <f aca="false">IF(ISNUMBER(A206),IF(COUNTIF(祝日!$A:$A,A206)&gt;0,"祝",CHOOSE(WEEKDAY(A206,2),"月","火","水","木","金","土","日")),"")</f>
        <v/>
      </c>
    </row>
    <row r="207" customFormat="false" ht="15" hidden="false" customHeight="false" outlineLevel="0" collapsed="false">
      <c r="Z207" s="38" t="str">
        <f aca="false">IF(ISNUMBER(A207),IF(COUNTIF(祝日!$A:$A,A207)&gt;0,"祝",CHOOSE(WEEKDAY(A207,2),"月","火","水","木","金","土","日")),"")</f>
        <v/>
      </c>
    </row>
    <row r="208" customFormat="false" ht="15" hidden="false" customHeight="false" outlineLevel="0" collapsed="false">
      <c r="Z208" s="38" t="str">
        <f aca="false">IF(ISNUMBER(A208),IF(COUNTIF(祝日!$A:$A,A208)&gt;0,"祝",CHOOSE(WEEKDAY(A208,2),"月","火","水","木","金","土","日")),"")</f>
        <v/>
      </c>
    </row>
    <row r="209" customFormat="false" ht="15" hidden="false" customHeight="false" outlineLevel="0" collapsed="false">
      <c r="Z209" s="38" t="str">
        <f aca="false">IF(ISNUMBER(A209),IF(COUNTIF(祝日!$A:$A,A209)&gt;0,"祝",CHOOSE(WEEKDAY(A209,2),"月","火","水","木","金","土","日")),"")</f>
        <v/>
      </c>
    </row>
    <row r="210" customFormat="false" ht="15" hidden="false" customHeight="false" outlineLevel="0" collapsed="false">
      <c r="Z210" s="38" t="str">
        <f aca="false">IF(ISNUMBER(A210),IF(COUNTIF(祝日!$A:$A,A210)&gt;0,"祝",CHOOSE(WEEKDAY(A210,2),"月","火","水","木","金","土","日")),"")</f>
        <v/>
      </c>
    </row>
    <row r="211" customFormat="false" ht="15" hidden="false" customHeight="false" outlineLevel="0" collapsed="false">
      <c r="Z211" s="38" t="str">
        <f aca="false">IF(ISNUMBER(A211),IF(COUNTIF(祝日!$A:$A,A211)&gt;0,"祝",CHOOSE(WEEKDAY(A211,2),"月","火","水","木","金","土","日")),"")</f>
        <v/>
      </c>
    </row>
    <row r="212" customFormat="false" ht="15" hidden="false" customHeight="false" outlineLevel="0" collapsed="false">
      <c r="Z212" s="38" t="str">
        <f aca="false">IF(ISNUMBER(A212),IF(COUNTIF(祝日!$A:$A,A212)&gt;0,"祝",CHOOSE(WEEKDAY(A212,2),"月","火","水","木","金","土","日")),"")</f>
        <v/>
      </c>
    </row>
    <row r="213" customFormat="false" ht="15" hidden="false" customHeight="false" outlineLevel="0" collapsed="false">
      <c r="Z213" s="38" t="str">
        <f aca="false">IF(ISNUMBER(A213),IF(COUNTIF(祝日!$A:$A,A213)&gt;0,"祝",CHOOSE(WEEKDAY(A213,2),"月","火","水","木","金","土","日")),"")</f>
        <v/>
      </c>
    </row>
    <row r="214" customFormat="false" ht="15" hidden="false" customHeight="false" outlineLevel="0" collapsed="false">
      <c r="Z214" s="38" t="str">
        <f aca="false">IF(ISNUMBER(A214),IF(COUNTIF(祝日!$A:$A,A214)&gt;0,"祝",CHOOSE(WEEKDAY(A214,2),"月","火","水","木","金","土","日")),"")</f>
        <v/>
      </c>
    </row>
    <row r="215" customFormat="false" ht="15" hidden="false" customHeight="false" outlineLevel="0" collapsed="false">
      <c r="Z215" s="38" t="str">
        <f aca="false">IF(ISNUMBER(A215),IF(COUNTIF(祝日!$A:$A,A215)&gt;0,"祝",CHOOSE(WEEKDAY(A215,2),"月","火","水","木","金","土","日")),"")</f>
        <v/>
      </c>
    </row>
    <row r="216" customFormat="false" ht="15" hidden="false" customHeight="false" outlineLevel="0" collapsed="false">
      <c r="Z216" s="38" t="str">
        <f aca="false">IF(ISNUMBER(A216),IF(COUNTIF(祝日!$A:$A,A216)&gt;0,"祝",CHOOSE(WEEKDAY(A216,2),"月","火","水","木","金","土","日")),"")</f>
        <v/>
      </c>
    </row>
    <row r="217" customFormat="false" ht="15" hidden="false" customHeight="false" outlineLevel="0" collapsed="false">
      <c r="Z217" s="38" t="str">
        <f aca="false">IF(ISNUMBER(A217),IF(COUNTIF(祝日!$A:$A,A217)&gt;0,"祝",CHOOSE(WEEKDAY(A217,2),"月","火","水","木","金","土","日")),"")</f>
        <v/>
      </c>
    </row>
    <row r="218" customFormat="false" ht="15" hidden="false" customHeight="false" outlineLevel="0" collapsed="false">
      <c r="Z218" s="38" t="str">
        <f aca="false">IF(ISNUMBER(A218),IF(COUNTIF(祝日!$A:$A,A218)&gt;0,"祝",CHOOSE(WEEKDAY(A218,2),"月","火","水","木","金","土","日")),"")</f>
        <v/>
      </c>
    </row>
    <row r="219" customFormat="false" ht="15" hidden="false" customHeight="false" outlineLevel="0" collapsed="false">
      <c r="Z219" s="38" t="str">
        <f aca="false">IF(ISNUMBER(A219),IF(COUNTIF(祝日!$A:$A,A219)&gt;0,"祝",CHOOSE(WEEKDAY(A219,2),"月","火","水","木","金","土","日")),"")</f>
        <v/>
      </c>
    </row>
    <row r="220" customFormat="false" ht="15" hidden="false" customHeight="false" outlineLevel="0" collapsed="false">
      <c r="Z220" s="38" t="str">
        <f aca="false">IF(ISNUMBER(A220),IF(COUNTIF(祝日!$A:$A,A220)&gt;0,"祝",CHOOSE(WEEKDAY(A220,2),"月","火","水","木","金","土","日")),"")</f>
        <v/>
      </c>
    </row>
    <row r="221" customFormat="false" ht="15" hidden="false" customHeight="false" outlineLevel="0" collapsed="false">
      <c r="Z221" s="38" t="str">
        <f aca="false">IF(ISNUMBER(A221),IF(COUNTIF(祝日!$A:$A,A221)&gt;0,"祝",CHOOSE(WEEKDAY(A221,2),"月","火","水","木","金","土","日")),"")</f>
        <v/>
      </c>
    </row>
    <row r="222" customFormat="false" ht="15" hidden="false" customHeight="false" outlineLevel="0" collapsed="false">
      <c r="Z222" s="38" t="str">
        <f aca="false">IF(ISNUMBER(A222),IF(COUNTIF(祝日!$A:$A,A222)&gt;0,"祝",CHOOSE(WEEKDAY(A222,2),"月","火","水","木","金","土","日")),"")</f>
        <v/>
      </c>
    </row>
    <row r="223" customFormat="false" ht="15" hidden="false" customHeight="false" outlineLevel="0" collapsed="false">
      <c r="Z223" s="38" t="str">
        <f aca="false">IF(ISNUMBER(A223),IF(COUNTIF(祝日!$A:$A,A223)&gt;0,"祝",CHOOSE(WEEKDAY(A223,2),"月","火","水","木","金","土","日")),"")</f>
        <v/>
      </c>
    </row>
    <row r="224" customFormat="false" ht="15" hidden="false" customHeight="false" outlineLevel="0" collapsed="false">
      <c r="Z224" s="38" t="str">
        <f aca="false">IF(ISNUMBER(A224),IF(COUNTIF(祝日!$A:$A,A224)&gt;0,"祝",CHOOSE(WEEKDAY(A224,2),"月","火","水","木","金","土","日")),"")</f>
        <v/>
      </c>
    </row>
    <row r="225" customFormat="false" ht="15" hidden="false" customHeight="false" outlineLevel="0" collapsed="false">
      <c r="Z225" s="38" t="str">
        <f aca="false">IF(ISNUMBER(A225),IF(COUNTIF(祝日!$A:$A,A225)&gt;0,"祝",CHOOSE(WEEKDAY(A225,2),"月","火","水","木","金","土","日")),"")</f>
        <v/>
      </c>
    </row>
    <row r="226" customFormat="false" ht="15" hidden="false" customHeight="false" outlineLevel="0" collapsed="false">
      <c r="Z226" s="38" t="str">
        <f aca="false">IF(ISNUMBER(A226),IF(COUNTIF(祝日!$A:$A,A226)&gt;0,"祝",CHOOSE(WEEKDAY(A226,2),"月","火","水","木","金","土","日")),"")</f>
        <v/>
      </c>
    </row>
    <row r="227" customFormat="false" ht="15" hidden="false" customHeight="false" outlineLevel="0" collapsed="false">
      <c r="Z227" s="38" t="str">
        <f aca="false">IF(ISNUMBER(A227),IF(COUNTIF(祝日!$A:$A,A227)&gt;0,"祝",CHOOSE(WEEKDAY(A227,2),"月","火","水","木","金","土","日")),"")</f>
        <v/>
      </c>
    </row>
    <row r="228" customFormat="false" ht="15" hidden="false" customHeight="false" outlineLevel="0" collapsed="false">
      <c r="Z228" s="38" t="str">
        <f aca="false">IF(ISNUMBER(A228),IF(COUNTIF(祝日!$A:$A,A228)&gt;0,"祝",CHOOSE(WEEKDAY(A228,2),"月","火","水","木","金","土","日")),"")</f>
        <v/>
      </c>
    </row>
    <row r="229" customFormat="false" ht="15" hidden="false" customHeight="false" outlineLevel="0" collapsed="false">
      <c r="Z229" s="38" t="str">
        <f aca="false">IF(ISNUMBER(A229),IF(COUNTIF(祝日!$A:$A,A229)&gt;0,"祝",CHOOSE(WEEKDAY(A229,2),"月","火","水","木","金","土","日")),"")</f>
        <v/>
      </c>
    </row>
    <row r="230" customFormat="false" ht="15" hidden="false" customHeight="false" outlineLevel="0" collapsed="false">
      <c r="Z230" s="38" t="str">
        <f aca="false">IF(ISNUMBER(A230),IF(COUNTIF(祝日!$A:$A,A230)&gt;0,"祝",CHOOSE(WEEKDAY(A230,2),"月","火","水","木","金","土","日")),"")</f>
        <v/>
      </c>
    </row>
    <row r="231" customFormat="false" ht="15" hidden="false" customHeight="false" outlineLevel="0" collapsed="false">
      <c r="Z231" s="38" t="str">
        <f aca="false">IF(ISNUMBER(A231),IF(COUNTIF(祝日!$A:$A,A231)&gt;0,"祝",CHOOSE(WEEKDAY(A231,2),"月","火","水","木","金","土","日")),"")</f>
        <v/>
      </c>
    </row>
    <row r="232" customFormat="false" ht="15" hidden="false" customHeight="false" outlineLevel="0" collapsed="false">
      <c r="Z232" s="38" t="str">
        <f aca="false">IF(ISNUMBER(A232),IF(COUNTIF(祝日!$A:$A,A232)&gt;0,"祝",CHOOSE(WEEKDAY(A232,2),"月","火","水","木","金","土","日")),"")</f>
        <v/>
      </c>
    </row>
    <row r="233" customFormat="false" ht="15" hidden="false" customHeight="false" outlineLevel="0" collapsed="false">
      <c r="Z233" s="38" t="str">
        <f aca="false">IF(ISNUMBER(A233),IF(COUNTIF(祝日!$A:$A,A233)&gt;0,"祝",CHOOSE(WEEKDAY(A233,2),"月","火","水","木","金","土","日")),"")</f>
        <v/>
      </c>
    </row>
    <row r="234" customFormat="false" ht="15" hidden="false" customHeight="false" outlineLevel="0" collapsed="false">
      <c r="Z234" s="38" t="str">
        <f aca="false">IF(ISNUMBER(A234),IF(COUNTIF(祝日!$A:$A,A234)&gt;0,"祝",CHOOSE(WEEKDAY(A234,2),"月","火","水","木","金","土","日")),"")</f>
        <v/>
      </c>
    </row>
    <row r="235" customFormat="false" ht="15" hidden="false" customHeight="false" outlineLevel="0" collapsed="false">
      <c r="Z235" s="38" t="str">
        <f aca="false">IF(ISNUMBER(A235),IF(COUNTIF(祝日!$A:$A,A235)&gt;0,"祝",CHOOSE(WEEKDAY(A235,2),"月","火","水","木","金","土","日")),"")</f>
        <v/>
      </c>
    </row>
    <row r="236" customFormat="false" ht="15" hidden="false" customHeight="false" outlineLevel="0" collapsed="false">
      <c r="Z236" s="38" t="str">
        <f aca="false">IF(ISNUMBER(A236),IF(COUNTIF(祝日!$A:$A,A236)&gt;0,"祝",CHOOSE(WEEKDAY(A236,2),"月","火","水","木","金","土","日")),"")</f>
        <v/>
      </c>
    </row>
    <row r="237" customFormat="false" ht="15" hidden="false" customHeight="false" outlineLevel="0" collapsed="false">
      <c r="Z237" s="38" t="str">
        <f aca="false">IF(ISNUMBER(A237),IF(COUNTIF(祝日!$A:$A,A237)&gt;0,"祝",CHOOSE(WEEKDAY(A237,2),"月","火","水","木","金","土","日")),"")</f>
        <v/>
      </c>
    </row>
    <row r="238" customFormat="false" ht="15" hidden="false" customHeight="false" outlineLevel="0" collapsed="false">
      <c r="Z238" s="38" t="str">
        <f aca="false">IF(ISNUMBER(A238),IF(COUNTIF(祝日!$A:$A,A238)&gt;0,"祝",CHOOSE(WEEKDAY(A238,2),"月","火","水","木","金","土","日")),"")</f>
        <v/>
      </c>
    </row>
    <row r="239" customFormat="false" ht="15" hidden="false" customHeight="false" outlineLevel="0" collapsed="false">
      <c r="Z239" s="38" t="str">
        <f aca="false">IF(ISNUMBER(A239),IF(COUNTIF(祝日!$A:$A,A239)&gt;0,"祝",CHOOSE(WEEKDAY(A239,2),"月","火","水","木","金","土","日")),"")</f>
        <v/>
      </c>
    </row>
    <row r="240" customFormat="false" ht="15" hidden="false" customHeight="false" outlineLevel="0" collapsed="false">
      <c r="Z240" s="38" t="str">
        <f aca="false">IF(ISNUMBER(A240),IF(COUNTIF(祝日!$A:$A,A240)&gt;0,"祝",CHOOSE(WEEKDAY(A240,2),"月","火","水","木","金","土","日")),"")</f>
        <v/>
      </c>
    </row>
    <row r="241" customFormat="false" ht="15" hidden="false" customHeight="false" outlineLevel="0" collapsed="false">
      <c r="Z241" s="38" t="str">
        <f aca="false">IF(ISNUMBER(A241),IF(COUNTIF(祝日!$A:$A,A241)&gt;0,"祝",CHOOSE(WEEKDAY(A241,2),"月","火","水","木","金","土","日")),"")</f>
        <v/>
      </c>
    </row>
    <row r="242" customFormat="false" ht="15" hidden="false" customHeight="false" outlineLevel="0" collapsed="false">
      <c r="Z242" s="38" t="str">
        <f aca="false">IF(ISNUMBER(A242),IF(COUNTIF(祝日!$A:$A,A242)&gt;0,"祝",CHOOSE(WEEKDAY(A242,2),"月","火","水","木","金","土","日")),"")</f>
        <v/>
      </c>
    </row>
    <row r="243" customFormat="false" ht="15" hidden="false" customHeight="false" outlineLevel="0" collapsed="false">
      <c r="Z243" s="38" t="str">
        <f aca="false">IF(ISNUMBER(A243),IF(COUNTIF(祝日!$A:$A,A243)&gt;0,"祝",CHOOSE(WEEKDAY(A243,2),"月","火","水","木","金","土","日")),"")</f>
        <v/>
      </c>
    </row>
    <row r="244" customFormat="false" ht="15" hidden="false" customHeight="false" outlineLevel="0" collapsed="false">
      <c r="Z244" s="38" t="str">
        <f aca="false">IF(ISNUMBER(A244),IF(COUNTIF(祝日!$A:$A,A244)&gt;0,"祝",CHOOSE(WEEKDAY(A244,2),"月","火","水","木","金","土","日")),"")</f>
        <v/>
      </c>
    </row>
    <row r="245" customFormat="false" ht="15" hidden="false" customHeight="false" outlineLevel="0" collapsed="false">
      <c r="Z245" s="38" t="str">
        <f aca="false">IF(ISNUMBER(A245),IF(COUNTIF(祝日!$A:$A,A245)&gt;0,"祝",CHOOSE(WEEKDAY(A245,2),"月","火","水","木","金","土","日")),"")</f>
        <v/>
      </c>
    </row>
    <row r="246" customFormat="false" ht="15" hidden="false" customHeight="false" outlineLevel="0" collapsed="false">
      <c r="Z246" s="38" t="str">
        <f aca="false">IF(ISNUMBER(A246),IF(COUNTIF(祝日!$A:$A,A246)&gt;0,"祝",CHOOSE(WEEKDAY(A246,2),"月","火","水","木","金","土","日")),"")</f>
        <v/>
      </c>
    </row>
    <row r="247" customFormat="false" ht="15" hidden="false" customHeight="false" outlineLevel="0" collapsed="false">
      <c r="Z247" s="38" t="str">
        <f aca="false">IF(ISNUMBER(A247),IF(COUNTIF(祝日!$A:$A,A247)&gt;0,"祝",CHOOSE(WEEKDAY(A247,2),"月","火","水","木","金","土","日")),"")</f>
        <v/>
      </c>
    </row>
    <row r="248" customFormat="false" ht="15" hidden="false" customHeight="false" outlineLevel="0" collapsed="false">
      <c r="Z248" s="38" t="str">
        <f aca="false">IF(ISNUMBER(A248),IF(COUNTIF(祝日!$A:$A,A248)&gt;0,"祝",CHOOSE(WEEKDAY(A248,2),"月","火","水","木","金","土","日")),"")</f>
        <v/>
      </c>
    </row>
    <row r="249" customFormat="false" ht="15" hidden="false" customHeight="false" outlineLevel="0" collapsed="false">
      <c r="Z249" s="38" t="str">
        <f aca="false">IF(ISNUMBER(A249),IF(COUNTIF(祝日!$A:$A,A249)&gt;0,"祝",CHOOSE(WEEKDAY(A249,2),"月","火","水","木","金","土","日")),"")</f>
        <v/>
      </c>
    </row>
    <row r="250" customFormat="false" ht="15" hidden="false" customHeight="false" outlineLevel="0" collapsed="false">
      <c r="Z250" s="38" t="str">
        <f aca="false">IF(ISNUMBER(A250),IF(COUNTIF(祝日!$A:$A,A250)&gt;0,"祝",CHOOSE(WEEKDAY(A250,2),"月","火","水","木","金","土","日")),"")</f>
        <v/>
      </c>
    </row>
    <row r="251" customFormat="false" ht="15" hidden="false" customHeight="false" outlineLevel="0" collapsed="false">
      <c r="Z251" s="38" t="str">
        <f aca="false">IF(ISNUMBER(A251),IF(COUNTIF(祝日!$A:$A,A251)&gt;0,"祝",CHOOSE(WEEKDAY(A251,2),"月","火","水","木","金","土","日")),"")</f>
        <v/>
      </c>
    </row>
    <row r="252" customFormat="false" ht="15" hidden="false" customHeight="false" outlineLevel="0" collapsed="false">
      <c r="Z252" s="38" t="str">
        <f aca="false">IF(ISNUMBER(A252),IF(COUNTIF(祝日!$A:$A,A252)&gt;0,"祝",CHOOSE(WEEKDAY(A252,2),"月","火","水","木","金","土","日")),"")</f>
        <v/>
      </c>
    </row>
    <row r="253" customFormat="false" ht="15" hidden="false" customHeight="false" outlineLevel="0" collapsed="false">
      <c r="Z253" s="38" t="str">
        <f aca="false">IF(ISNUMBER(A253),IF(COUNTIF(祝日!$A:$A,A253)&gt;0,"祝",CHOOSE(WEEKDAY(A253,2),"月","火","水","木","金","土","日")),"")</f>
        <v/>
      </c>
    </row>
    <row r="254" customFormat="false" ht="15" hidden="false" customHeight="false" outlineLevel="0" collapsed="false">
      <c r="Z254" s="38" t="str">
        <f aca="false">IF(ISNUMBER(A254),IF(COUNTIF(祝日!$A:$A,A254)&gt;0,"祝",CHOOSE(WEEKDAY(A254,2),"月","火","水","木","金","土","日")),"")</f>
        <v/>
      </c>
    </row>
    <row r="255" customFormat="false" ht="15" hidden="false" customHeight="false" outlineLevel="0" collapsed="false">
      <c r="Z255" s="38" t="str">
        <f aca="false">IF(ISNUMBER(A255),IF(COUNTIF(祝日!$A:$A,A255)&gt;0,"祝",CHOOSE(WEEKDAY(A255,2),"月","火","水","木","金","土","日")),"")</f>
        <v/>
      </c>
    </row>
    <row r="256" customFormat="false" ht="15" hidden="false" customHeight="false" outlineLevel="0" collapsed="false">
      <c r="Z256" s="38" t="str">
        <f aca="false">IF(ISNUMBER(A256),IF(COUNTIF(祝日!$A:$A,A256)&gt;0,"祝",CHOOSE(WEEKDAY(A256,2),"月","火","水","木","金","土","日")),"")</f>
        <v/>
      </c>
    </row>
    <row r="257" customFormat="false" ht="15" hidden="false" customHeight="false" outlineLevel="0" collapsed="false">
      <c r="Z257" s="38" t="str">
        <f aca="false">IF(ISNUMBER(A257),IF(COUNTIF(祝日!$A:$A,A257)&gt;0,"祝",CHOOSE(WEEKDAY(A257,2),"月","火","水","木","金","土","日")),"")</f>
        <v/>
      </c>
    </row>
    <row r="258" customFormat="false" ht="15" hidden="false" customHeight="false" outlineLevel="0" collapsed="false">
      <c r="Z258" s="38" t="str">
        <f aca="false">IF(ISNUMBER(A258),IF(COUNTIF(祝日!$A:$A,A258)&gt;0,"祝",CHOOSE(WEEKDAY(A258,2),"月","火","水","木","金","土","日")),"")</f>
        <v/>
      </c>
    </row>
    <row r="259" customFormat="false" ht="15" hidden="false" customHeight="false" outlineLevel="0" collapsed="false">
      <c r="Z259" s="38" t="str">
        <f aca="false">IF(ISNUMBER(A259),IF(COUNTIF(祝日!$A:$A,A259)&gt;0,"祝",CHOOSE(WEEKDAY(A259,2),"月","火","水","木","金","土","日")),"")</f>
        <v/>
      </c>
    </row>
    <row r="260" customFormat="false" ht="15" hidden="false" customHeight="false" outlineLevel="0" collapsed="false">
      <c r="Z260" s="38" t="str">
        <f aca="false">IF(ISNUMBER(A260),IF(COUNTIF(祝日!$A:$A,A260)&gt;0,"祝",CHOOSE(WEEKDAY(A260,2),"月","火","水","木","金","土","日")),"")</f>
        <v/>
      </c>
    </row>
    <row r="261" customFormat="false" ht="15" hidden="false" customHeight="false" outlineLevel="0" collapsed="false">
      <c r="Z261" s="38" t="str">
        <f aca="false">IF(ISNUMBER(A261),IF(COUNTIF(祝日!$A:$A,A261)&gt;0,"祝",CHOOSE(WEEKDAY(A261,2),"月","火","水","木","金","土","日")),"")</f>
        <v/>
      </c>
    </row>
    <row r="262" customFormat="false" ht="15" hidden="false" customHeight="false" outlineLevel="0" collapsed="false">
      <c r="Z262" s="38" t="str">
        <f aca="false">IF(ISNUMBER(A262),IF(COUNTIF(祝日!$A:$A,A262)&gt;0,"祝",CHOOSE(WEEKDAY(A262,2),"月","火","水","木","金","土","日")),"")</f>
        <v/>
      </c>
    </row>
    <row r="263" customFormat="false" ht="15" hidden="false" customHeight="false" outlineLevel="0" collapsed="false">
      <c r="Z263" s="38" t="str">
        <f aca="false">IF(ISNUMBER(A263),IF(COUNTIF(祝日!$A:$A,A263)&gt;0,"祝",CHOOSE(WEEKDAY(A263,2),"月","火","水","木","金","土","日")),"")</f>
        <v/>
      </c>
    </row>
    <row r="264" customFormat="false" ht="15" hidden="false" customHeight="false" outlineLevel="0" collapsed="false">
      <c r="Z264" s="38" t="str">
        <f aca="false">IF(ISNUMBER(A264),IF(COUNTIF(祝日!$A:$A,A264)&gt;0,"祝",CHOOSE(WEEKDAY(A264,2),"月","火","水","木","金","土","日")),"")</f>
        <v/>
      </c>
    </row>
    <row r="265" customFormat="false" ht="15" hidden="false" customHeight="false" outlineLevel="0" collapsed="false">
      <c r="Z265" s="38" t="str">
        <f aca="false">IF(ISNUMBER(A265),IF(COUNTIF(祝日!$A:$A,A265)&gt;0,"祝",CHOOSE(WEEKDAY(A265,2),"月","火","水","木","金","土","日")),"")</f>
        <v/>
      </c>
    </row>
    <row r="266" customFormat="false" ht="15" hidden="false" customHeight="false" outlineLevel="0" collapsed="false">
      <c r="Z266" s="38" t="str">
        <f aca="false">IF(ISNUMBER(A266),IF(COUNTIF(祝日!$A:$A,A266)&gt;0,"祝",CHOOSE(WEEKDAY(A266,2),"月","火","水","木","金","土","日")),"")</f>
        <v/>
      </c>
    </row>
    <row r="267" customFormat="false" ht="15" hidden="false" customHeight="false" outlineLevel="0" collapsed="false">
      <c r="Z267" s="38" t="str">
        <f aca="false">IF(ISNUMBER(A267),IF(COUNTIF(祝日!$A:$A,A267)&gt;0,"祝",CHOOSE(WEEKDAY(A267,2),"月","火","水","木","金","土","日")),"")</f>
        <v/>
      </c>
    </row>
    <row r="268" customFormat="false" ht="15" hidden="false" customHeight="false" outlineLevel="0" collapsed="false">
      <c r="Z268" s="38" t="str">
        <f aca="false">IF(ISNUMBER(A268),IF(COUNTIF(祝日!$A:$A,A268)&gt;0,"祝",CHOOSE(WEEKDAY(A268,2),"月","火","水","木","金","土","日")),"")</f>
        <v/>
      </c>
    </row>
    <row r="269" customFormat="false" ht="15" hidden="false" customHeight="false" outlineLevel="0" collapsed="false">
      <c r="Z269" s="38" t="str">
        <f aca="false">IF(ISNUMBER(A269),IF(COUNTIF(祝日!$A:$A,A269)&gt;0,"祝",CHOOSE(WEEKDAY(A269,2),"月","火","水","木","金","土","日")),"")</f>
        <v/>
      </c>
    </row>
    <row r="270" customFormat="false" ht="15" hidden="false" customHeight="false" outlineLevel="0" collapsed="false">
      <c r="Z270" s="38" t="str">
        <f aca="false">IF(ISNUMBER(A270),IF(COUNTIF(祝日!$A:$A,A270)&gt;0,"祝",CHOOSE(WEEKDAY(A270,2),"月","火","水","木","金","土","日")),"")</f>
        <v/>
      </c>
    </row>
    <row r="271" customFormat="false" ht="15" hidden="false" customHeight="false" outlineLevel="0" collapsed="false">
      <c r="Z271" s="38" t="str">
        <f aca="false">IF(ISNUMBER(A271),IF(COUNTIF(祝日!$A:$A,A271)&gt;0,"祝",CHOOSE(WEEKDAY(A271,2),"月","火","水","木","金","土","日")),"")</f>
        <v/>
      </c>
    </row>
    <row r="272" customFormat="false" ht="15" hidden="false" customHeight="false" outlineLevel="0" collapsed="false">
      <c r="Z272" s="38" t="str">
        <f aca="false">IF(ISNUMBER(A272),IF(COUNTIF(祝日!$A:$A,A272)&gt;0,"祝",CHOOSE(WEEKDAY(A272,2),"月","火","水","木","金","土","日")),"")</f>
        <v/>
      </c>
    </row>
    <row r="273" customFormat="false" ht="15" hidden="false" customHeight="false" outlineLevel="0" collapsed="false">
      <c r="Z273" s="38" t="str">
        <f aca="false">IF(ISNUMBER(A273),IF(COUNTIF(祝日!$A:$A,A273)&gt;0,"祝",CHOOSE(WEEKDAY(A273,2),"月","火","水","木","金","土","日")),"")</f>
        <v/>
      </c>
    </row>
    <row r="274" customFormat="false" ht="15" hidden="false" customHeight="false" outlineLevel="0" collapsed="false">
      <c r="Z274" s="38" t="str">
        <f aca="false">IF(ISNUMBER(A274),IF(COUNTIF(祝日!$A:$A,A274)&gt;0,"祝",CHOOSE(WEEKDAY(A274,2),"月","火","水","木","金","土","日")),"")</f>
        <v/>
      </c>
    </row>
    <row r="275" customFormat="false" ht="15" hidden="false" customHeight="false" outlineLevel="0" collapsed="false">
      <c r="Z275" s="38" t="str">
        <f aca="false">IF(ISNUMBER(A275),IF(COUNTIF(祝日!$A:$A,A275)&gt;0,"祝",CHOOSE(WEEKDAY(A275,2),"月","火","水","木","金","土","日")),"")</f>
        <v/>
      </c>
    </row>
    <row r="276" customFormat="false" ht="15" hidden="false" customHeight="false" outlineLevel="0" collapsed="false">
      <c r="Z276" s="38" t="str">
        <f aca="false">IF(ISNUMBER(A276),IF(COUNTIF(祝日!$A:$A,A276)&gt;0,"祝",CHOOSE(WEEKDAY(A276,2),"月","火","水","木","金","土","日")),"")</f>
        <v/>
      </c>
    </row>
    <row r="277" customFormat="false" ht="15" hidden="false" customHeight="false" outlineLevel="0" collapsed="false">
      <c r="Z277" s="38" t="str">
        <f aca="false">IF(ISNUMBER(A277),IF(COUNTIF(祝日!$A:$A,A277)&gt;0,"祝",CHOOSE(WEEKDAY(A277,2),"月","火","水","木","金","土","日")),"")</f>
        <v/>
      </c>
    </row>
    <row r="278" customFormat="false" ht="15" hidden="false" customHeight="false" outlineLevel="0" collapsed="false">
      <c r="Z278" s="38" t="str">
        <f aca="false">IF(ISNUMBER(A278),IF(COUNTIF(祝日!$A:$A,A278)&gt;0,"祝",CHOOSE(WEEKDAY(A278,2),"月","火","水","木","金","土","日")),"")</f>
        <v/>
      </c>
    </row>
    <row r="279" customFormat="false" ht="15" hidden="false" customHeight="false" outlineLevel="0" collapsed="false">
      <c r="Z279" s="38" t="str">
        <f aca="false">IF(ISNUMBER(A279),IF(COUNTIF(祝日!$A:$A,A279)&gt;0,"祝",CHOOSE(WEEKDAY(A279,2),"月","火","水","木","金","土","日")),"")</f>
        <v/>
      </c>
    </row>
    <row r="280" customFormat="false" ht="15" hidden="false" customHeight="false" outlineLevel="0" collapsed="false">
      <c r="Z280" s="38" t="str">
        <f aca="false">IF(ISNUMBER(A280),IF(COUNTIF(祝日!$A:$A,A280)&gt;0,"祝",CHOOSE(WEEKDAY(A280,2),"月","火","水","木","金","土","日")),"")</f>
        <v/>
      </c>
    </row>
    <row r="281" customFormat="false" ht="15" hidden="false" customHeight="false" outlineLevel="0" collapsed="false">
      <c r="Z281" s="38" t="str">
        <f aca="false">IF(ISNUMBER(A281),IF(COUNTIF(祝日!$A:$A,A281)&gt;0,"祝",CHOOSE(WEEKDAY(A281,2),"月","火","水","木","金","土","日")),"")</f>
        <v/>
      </c>
    </row>
    <row r="282" customFormat="false" ht="15" hidden="false" customHeight="false" outlineLevel="0" collapsed="false">
      <c r="Z282" s="38" t="str">
        <f aca="false">IF(ISNUMBER(A282),IF(COUNTIF(祝日!$A:$A,A282)&gt;0,"祝",CHOOSE(WEEKDAY(A282,2),"月","火","水","木","金","土","日")),"")</f>
        <v/>
      </c>
    </row>
    <row r="283" customFormat="false" ht="15" hidden="false" customHeight="false" outlineLevel="0" collapsed="false">
      <c r="Z283" s="38" t="str">
        <f aca="false">IF(ISNUMBER(A283),IF(COUNTIF(祝日!$A:$A,A283)&gt;0,"祝",CHOOSE(WEEKDAY(A283,2),"月","火","水","木","金","土","日")),"")</f>
        <v/>
      </c>
    </row>
    <row r="284" customFormat="false" ht="15" hidden="false" customHeight="false" outlineLevel="0" collapsed="false">
      <c r="Z284" s="38" t="str">
        <f aca="false">IF(ISNUMBER(A284),IF(COUNTIF(祝日!$A:$A,A284)&gt;0,"祝",CHOOSE(WEEKDAY(A284,2),"月","火","水","木","金","土","日")),"")</f>
        <v/>
      </c>
    </row>
    <row r="285" customFormat="false" ht="15" hidden="false" customHeight="false" outlineLevel="0" collapsed="false">
      <c r="Z285" s="38" t="str">
        <f aca="false">IF(ISNUMBER(A285),IF(COUNTIF(祝日!$A:$A,A285)&gt;0,"祝",CHOOSE(WEEKDAY(A285,2),"月","火","水","木","金","土","日")),"")</f>
        <v/>
      </c>
    </row>
    <row r="286" customFormat="false" ht="15" hidden="false" customHeight="false" outlineLevel="0" collapsed="false">
      <c r="Z286" s="38" t="str">
        <f aca="false">IF(ISNUMBER(A286),IF(COUNTIF(祝日!$A:$A,A286)&gt;0,"祝",CHOOSE(WEEKDAY(A286,2),"月","火","水","木","金","土","日")),"")</f>
        <v/>
      </c>
    </row>
    <row r="287" customFormat="false" ht="15" hidden="false" customHeight="false" outlineLevel="0" collapsed="false">
      <c r="Z287" s="38" t="str">
        <f aca="false">IF(ISNUMBER(A287),IF(COUNTIF(祝日!$A:$A,A287)&gt;0,"祝",CHOOSE(WEEKDAY(A287,2),"月","火","水","木","金","土","日")),"")</f>
        <v/>
      </c>
    </row>
    <row r="288" customFormat="false" ht="15" hidden="false" customHeight="false" outlineLevel="0" collapsed="false">
      <c r="Z288" s="38" t="str">
        <f aca="false">IF(ISNUMBER(A288),IF(COUNTIF(祝日!$A:$A,A288)&gt;0,"祝",CHOOSE(WEEKDAY(A288,2),"月","火","水","木","金","土","日")),"")</f>
        <v/>
      </c>
    </row>
    <row r="289" customFormat="false" ht="15" hidden="false" customHeight="false" outlineLevel="0" collapsed="false">
      <c r="Z289" s="38" t="str">
        <f aca="false">IF(ISNUMBER(A289),IF(COUNTIF(祝日!$A:$A,A289)&gt;0,"祝",CHOOSE(WEEKDAY(A289,2),"月","火","水","木","金","土","日")),"")</f>
        <v/>
      </c>
    </row>
    <row r="290" customFormat="false" ht="15" hidden="false" customHeight="false" outlineLevel="0" collapsed="false">
      <c r="Z290" s="38" t="str">
        <f aca="false">IF(ISNUMBER(A290),IF(COUNTIF(祝日!$A:$A,A290)&gt;0,"祝",CHOOSE(WEEKDAY(A290,2),"月","火","水","木","金","土","日")),"")</f>
        <v/>
      </c>
    </row>
    <row r="291" customFormat="false" ht="15" hidden="false" customHeight="false" outlineLevel="0" collapsed="false">
      <c r="Z291" s="38" t="str">
        <f aca="false">IF(ISNUMBER(A291),IF(COUNTIF(祝日!$A:$A,A291)&gt;0,"祝",CHOOSE(WEEKDAY(A291,2),"月","火","水","木","金","土","日")),"")</f>
        <v/>
      </c>
    </row>
    <row r="292" customFormat="false" ht="15" hidden="false" customHeight="false" outlineLevel="0" collapsed="false">
      <c r="Z292" s="38" t="str">
        <f aca="false">IF(ISNUMBER(A292),IF(COUNTIF(祝日!$A:$A,A292)&gt;0,"祝",CHOOSE(WEEKDAY(A292,2),"月","火","水","木","金","土","日")),"")</f>
        <v/>
      </c>
    </row>
    <row r="293" customFormat="false" ht="15" hidden="false" customHeight="false" outlineLevel="0" collapsed="false">
      <c r="Z293" s="38" t="str">
        <f aca="false">IF(ISNUMBER(A293),IF(COUNTIF(祝日!$A:$A,A293)&gt;0,"祝",CHOOSE(WEEKDAY(A293,2),"月","火","水","木","金","土","日")),"")</f>
        <v/>
      </c>
    </row>
    <row r="294" customFormat="false" ht="15" hidden="false" customHeight="false" outlineLevel="0" collapsed="false">
      <c r="Z294" s="38" t="str">
        <f aca="false">IF(ISNUMBER(A294),IF(COUNTIF(祝日!$A:$A,A294)&gt;0,"祝",CHOOSE(WEEKDAY(A294,2),"月","火","水","木","金","土","日")),"")</f>
        <v/>
      </c>
    </row>
    <row r="295" customFormat="false" ht="15" hidden="false" customHeight="false" outlineLevel="0" collapsed="false">
      <c r="Z295" s="38" t="str">
        <f aca="false">IF(ISNUMBER(A295),IF(COUNTIF(祝日!$A:$A,A295)&gt;0,"祝",CHOOSE(WEEKDAY(A295,2),"月","火","水","木","金","土","日")),"")</f>
        <v/>
      </c>
    </row>
    <row r="296" customFormat="false" ht="15" hidden="false" customHeight="false" outlineLevel="0" collapsed="false">
      <c r="Z296" s="38" t="str">
        <f aca="false">IF(ISNUMBER(A296),IF(COUNTIF(祝日!$A:$A,A296)&gt;0,"祝",CHOOSE(WEEKDAY(A296,2),"月","火","水","木","金","土","日")),"")</f>
        <v/>
      </c>
    </row>
    <row r="297" customFormat="false" ht="15" hidden="false" customHeight="false" outlineLevel="0" collapsed="false">
      <c r="Z297" s="38" t="str">
        <f aca="false">IF(ISNUMBER(A297),IF(COUNTIF(祝日!$A:$A,A297)&gt;0,"祝",CHOOSE(WEEKDAY(A297,2),"月","火","水","木","金","土","日")),"")</f>
        <v/>
      </c>
    </row>
    <row r="298" customFormat="false" ht="15" hidden="false" customHeight="false" outlineLevel="0" collapsed="false">
      <c r="Z298" s="38" t="str">
        <f aca="false">IF(ISNUMBER(A298),IF(COUNTIF(祝日!$A:$A,A298)&gt;0,"祝",CHOOSE(WEEKDAY(A298,2),"月","火","水","木","金","土","日")),"")</f>
        <v/>
      </c>
    </row>
    <row r="299" customFormat="false" ht="15" hidden="false" customHeight="false" outlineLevel="0" collapsed="false">
      <c r="Z299" s="38" t="str">
        <f aca="false">IF(ISNUMBER(A299),IF(COUNTIF(祝日!$A:$A,A299)&gt;0,"祝",CHOOSE(WEEKDAY(A299,2),"月","火","水","木","金","土","日")),"")</f>
        <v/>
      </c>
    </row>
    <row r="300" customFormat="false" ht="15" hidden="false" customHeight="false" outlineLevel="0" collapsed="false">
      <c r="Z300" s="38" t="str">
        <f aca="false">IF(ISNUMBER(A300),IF(COUNTIF(祝日!$A:$A,A300)&gt;0,"祝",CHOOSE(WEEKDAY(A300,2),"月","火","水","木","金","土","日")),"")</f>
        <v/>
      </c>
    </row>
    <row r="301" customFormat="false" ht="15" hidden="false" customHeight="false" outlineLevel="0" collapsed="false">
      <c r="Z301" s="38" t="str">
        <f aca="false">IF(ISNUMBER(A301),IF(COUNTIF(祝日!$A:$A,A301)&gt;0,"祝",CHOOSE(WEEKDAY(A301,2),"月","火","水","木","金","土","日")),"")</f>
        <v/>
      </c>
    </row>
    <row r="302" customFormat="false" ht="15" hidden="false" customHeight="false" outlineLevel="0" collapsed="false">
      <c r="Z302" s="38" t="str">
        <f aca="false">IF(ISNUMBER(A302),IF(COUNTIF(祝日!$A:$A,A302)&gt;0,"祝",CHOOSE(WEEKDAY(A302,2),"月","火","水","木","金","土","日")),"")</f>
        <v/>
      </c>
    </row>
    <row r="303" customFormat="false" ht="15" hidden="false" customHeight="false" outlineLevel="0" collapsed="false">
      <c r="Z303" s="38" t="str">
        <f aca="false">IF(ISNUMBER(A303),IF(COUNTIF(祝日!$A:$A,A303)&gt;0,"祝",CHOOSE(WEEKDAY(A303,2),"月","火","水","木","金","土","日")),"")</f>
        <v/>
      </c>
    </row>
    <row r="304" customFormat="false" ht="15" hidden="false" customHeight="false" outlineLevel="0" collapsed="false">
      <c r="Z304" s="38" t="str">
        <f aca="false">IF(ISNUMBER(A304),IF(COUNTIF(祝日!$A:$A,A304)&gt;0,"祝",CHOOSE(WEEKDAY(A304,2),"月","火","水","木","金","土","日")),"")</f>
        <v/>
      </c>
    </row>
    <row r="305" customFormat="false" ht="15" hidden="false" customHeight="false" outlineLevel="0" collapsed="false">
      <c r="Z305" s="38" t="str">
        <f aca="false">IF(ISNUMBER(A305),IF(COUNTIF(祝日!$A:$A,A305)&gt;0,"祝",CHOOSE(WEEKDAY(A305,2),"月","火","水","木","金","土","日")),"")</f>
        <v/>
      </c>
    </row>
    <row r="306" customFormat="false" ht="15" hidden="false" customHeight="false" outlineLevel="0" collapsed="false">
      <c r="Z306" s="38" t="str">
        <f aca="false">IF(ISNUMBER(A306),IF(COUNTIF(祝日!$A:$A,A306)&gt;0,"祝",CHOOSE(WEEKDAY(A306,2),"月","火","水","木","金","土","日")),"")</f>
        <v/>
      </c>
    </row>
    <row r="307" customFormat="false" ht="15" hidden="false" customHeight="false" outlineLevel="0" collapsed="false">
      <c r="Z307" s="38" t="str">
        <f aca="false">IF(ISNUMBER(A307),IF(COUNTIF(祝日!$A:$A,A307)&gt;0,"祝",CHOOSE(WEEKDAY(A307,2),"月","火","水","木","金","土","日")),"")</f>
        <v/>
      </c>
    </row>
    <row r="308" customFormat="false" ht="15" hidden="false" customHeight="false" outlineLevel="0" collapsed="false">
      <c r="Z308" s="38" t="str">
        <f aca="false">IF(ISNUMBER(A308),IF(COUNTIF(祝日!$A:$A,A308)&gt;0,"祝",CHOOSE(WEEKDAY(A308,2),"月","火","水","木","金","土","日")),"")</f>
        <v/>
      </c>
    </row>
    <row r="309" customFormat="false" ht="15" hidden="false" customHeight="false" outlineLevel="0" collapsed="false">
      <c r="Z309" s="38" t="str">
        <f aca="false">IF(ISNUMBER(A309),IF(COUNTIF(祝日!$A:$A,A309)&gt;0,"祝",CHOOSE(WEEKDAY(A309,2),"月","火","水","木","金","土","日")),"")</f>
        <v/>
      </c>
    </row>
    <row r="310" customFormat="false" ht="15" hidden="false" customHeight="false" outlineLevel="0" collapsed="false">
      <c r="Z310" s="38" t="str">
        <f aca="false">IF(ISNUMBER(A310),IF(COUNTIF(祝日!$A:$A,A310)&gt;0,"祝",CHOOSE(WEEKDAY(A310,2),"月","火","水","木","金","土","日")),"")</f>
        <v/>
      </c>
    </row>
    <row r="311" customFormat="false" ht="15" hidden="false" customHeight="false" outlineLevel="0" collapsed="false">
      <c r="Z311" s="38" t="str">
        <f aca="false">IF(ISNUMBER(A311),IF(COUNTIF(祝日!$A:$A,A311)&gt;0,"祝",CHOOSE(WEEKDAY(A311,2),"月","火","水","木","金","土","日")),"")</f>
        <v/>
      </c>
    </row>
    <row r="312" customFormat="false" ht="15" hidden="false" customHeight="false" outlineLevel="0" collapsed="false">
      <c r="Z312" s="38" t="str">
        <f aca="false">IF(ISNUMBER(A312),IF(COUNTIF(祝日!$A:$A,A312)&gt;0,"祝",CHOOSE(WEEKDAY(A312,2),"月","火","水","木","金","土","日")),"")</f>
        <v/>
      </c>
    </row>
    <row r="313" customFormat="false" ht="15" hidden="false" customHeight="false" outlineLevel="0" collapsed="false">
      <c r="Z313" s="38" t="str">
        <f aca="false">IF(ISNUMBER(A313),IF(COUNTIF(祝日!$A:$A,A313)&gt;0,"祝",CHOOSE(WEEKDAY(A313,2),"月","火","水","木","金","土","日")),"")</f>
        <v/>
      </c>
    </row>
    <row r="314" customFormat="false" ht="15" hidden="false" customHeight="false" outlineLevel="0" collapsed="false">
      <c r="Z314" s="38" t="str">
        <f aca="false">IF(ISNUMBER(A314),IF(COUNTIF(祝日!$A:$A,A314)&gt;0,"祝",CHOOSE(WEEKDAY(A314,2),"月","火","水","木","金","土","日")),"")</f>
        <v/>
      </c>
    </row>
    <row r="315" customFormat="false" ht="15" hidden="false" customHeight="false" outlineLevel="0" collapsed="false">
      <c r="Z315" s="38" t="str">
        <f aca="false">IF(ISNUMBER(A315),IF(COUNTIF(祝日!$A:$A,A315)&gt;0,"祝",CHOOSE(WEEKDAY(A315,2),"月","火","水","木","金","土","日")),"")</f>
        <v/>
      </c>
    </row>
    <row r="316" customFormat="false" ht="15" hidden="false" customHeight="false" outlineLevel="0" collapsed="false">
      <c r="Z316" s="38" t="str">
        <f aca="false">IF(ISNUMBER(A316),IF(COUNTIF(祝日!$A:$A,A316)&gt;0,"祝",CHOOSE(WEEKDAY(A316,2),"月","火","水","木","金","土","日")),"")</f>
        <v/>
      </c>
    </row>
    <row r="317" customFormat="false" ht="15" hidden="false" customHeight="false" outlineLevel="0" collapsed="false">
      <c r="Z317" s="38" t="str">
        <f aca="false">IF(ISNUMBER(A317),IF(COUNTIF(祝日!$A:$A,A317)&gt;0,"祝",CHOOSE(WEEKDAY(A317,2),"月","火","水","木","金","土","日")),"")</f>
        <v/>
      </c>
    </row>
    <row r="318" customFormat="false" ht="15" hidden="false" customHeight="false" outlineLevel="0" collapsed="false">
      <c r="Z318" s="38" t="str">
        <f aca="false">IF(ISNUMBER(A318),IF(COUNTIF(祝日!$A:$A,A318)&gt;0,"祝",CHOOSE(WEEKDAY(A318,2),"月","火","水","木","金","土","日")),"")</f>
        <v/>
      </c>
    </row>
    <row r="319" customFormat="false" ht="15" hidden="false" customHeight="false" outlineLevel="0" collapsed="false">
      <c r="Z319" s="38" t="str">
        <f aca="false">IF(ISNUMBER(A319),IF(COUNTIF(祝日!$A:$A,A319)&gt;0,"祝",CHOOSE(WEEKDAY(A319,2),"月","火","水","木","金","土","日")),"")</f>
        <v/>
      </c>
    </row>
    <row r="320" customFormat="false" ht="15" hidden="false" customHeight="false" outlineLevel="0" collapsed="false">
      <c r="Z320" s="38" t="str">
        <f aca="false">IF(ISNUMBER(A320),IF(COUNTIF(祝日!$A:$A,A320)&gt;0,"祝",CHOOSE(WEEKDAY(A320,2),"月","火","水","木","金","土","日")),"")</f>
        <v/>
      </c>
    </row>
    <row r="321" customFormat="false" ht="15" hidden="false" customHeight="false" outlineLevel="0" collapsed="false">
      <c r="Z321" s="38" t="str">
        <f aca="false">IF(ISNUMBER(A321),IF(COUNTIF(祝日!$A:$A,A321)&gt;0,"祝",CHOOSE(WEEKDAY(A321,2),"月","火","水","木","金","土","日")),"")</f>
        <v/>
      </c>
    </row>
    <row r="322" customFormat="false" ht="15" hidden="false" customHeight="false" outlineLevel="0" collapsed="false">
      <c r="Z322" s="38" t="str">
        <f aca="false">IF(ISNUMBER(A322),IF(COUNTIF(祝日!$A:$A,A322)&gt;0,"祝",CHOOSE(WEEKDAY(A322,2),"月","火","水","木","金","土","日")),"")</f>
        <v/>
      </c>
    </row>
    <row r="323" customFormat="false" ht="15" hidden="false" customHeight="false" outlineLevel="0" collapsed="false">
      <c r="Z323" s="38" t="str">
        <f aca="false">IF(ISNUMBER(A323),IF(COUNTIF(祝日!$A:$A,A323)&gt;0,"祝",CHOOSE(WEEKDAY(A323,2),"月","火","水","木","金","土","日")),"")</f>
        <v/>
      </c>
    </row>
    <row r="324" customFormat="false" ht="15" hidden="false" customHeight="false" outlineLevel="0" collapsed="false">
      <c r="Z324" s="38" t="str">
        <f aca="false">IF(ISNUMBER(A324),IF(COUNTIF(祝日!$A:$A,A324)&gt;0,"祝",CHOOSE(WEEKDAY(A324,2),"月","火","水","木","金","土","日")),"")</f>
        <v/>
      </c>
    </row>
    <row r="325" customFormat="false" ht="15" hidden="false" customHeight="false" outlineLevel="0" collapsed="false">
      <c r="Z325" s="38" t="str">
        <f aca="false">IF(ISNUMBER(A325),IF(COUNTIF(祝日!$A:$A,A325)&gt;0,"祝",CHOOSE(WEEKDAY(A325,2),"月","火","水","木","金","土","日")),"")</f>
        <v/>
      </c>
    </row>
    <row r="326" customFormat="false" ht="15" hidden="false" customHeight="false" outlineLevel="0" collapsed="false">
      <c r="Z326" s="38" t="str">
        <f aca="false">IF(ISNUMBER(A326),IF(COUNTIF(祝日!$A:$A,A326)&gt;0,"祝",CHOOSE(WEEKDAY(A326,2),"月","火","水","木","金","土","日")),"")</f>
        <v/>
      </c>
    </row>
    <row r="327" customFormat="false" ht="15" hidden="false" customHeight="false" outlineLevel="0" collapsed="false">
      <c r="Z327" s="38" t="str">
        <f aca="false">IF(ISNUMBER(A327),IF(COUNTIF(祝日!$A:$A,A327)&gt;0,"祝",CHOOSE(WEEKDAY(A327,2),"月","火","水","木","金","土","日")),"")</f>
        <v/>
      </c>
    </row>
    <row r="328" customFormat="false" ht="15" hidden="false" customHeight="false" outlineLevel="0" collapsed="false">
      <c r="Z328" s="38" t="str">
        <f aca="false">IF(ISNUMBER(A328),IF(COUNTIF(祝日!$A:$A,A328)&gt;0,"祝",CHOOSE(WEEKDAY(A328,2),"月","火","水","木","金","土","日")),"")</f>
        <v/>
      </c>
    </row>
    <row r="329" customFormat="false" ht="15" hidden="false" customHeight="false" outlineLevel="0" collapsed="false">
      <c r="Z329" s="38" t="str">
        <f aca="false">IF(ISNUMBER(A329),IF(COUNTIF(祝日!$A:$A,A329)&gt;0,"祝",CHOOSE(WEEKDAY(A329,2),"月","火","水","木","金","土","日")),"")</f>
        <v/>
      </c>
    </row>
    <row r="330" customFormat="false" ht="15" hidden="false" customHeight="false" outlineLevel="0" collapsed="false">
      <c r="Z330" s="38" t="str">
        <f aca="false">IF(ISNUMBER(A330),IF(COUNTIF(祝日!$A:$A,A330)&gt;0,"祝",CHOOSE(WEEKDAY(A330,2),"月","火","水","木","金","土","日")),"")</f>
        <v/>
      </c>
    </row>
    <row r="331" customFormat="false" ht="15" hidden="false" customHeight="false" outlineLevel="0" collapsed="false">
      <c r="Z331" s="38" t="str">
        <f aca="false">IF(ISNUMBER(A331),IF(COUNTIF(祝日!$A:$A,A331)&gt;0,"祝",CHOOSE(WEEKDAY(A331,2),"月","火","水","木","金","土","日")),"")</f>
        <v/>
      </c>
    </row>
    <row r="332" customFormat="false" ht="15" hidden="false" customHeight="false" outlineLevel="0" collapsed="false">
      <c r="Z332" s="38" t="str">
        <f aca="false">IF(ISNUMBER(A332),IF(COUNTIF(祝日!$A:$A,A332)&gt;0,"祝",CHOOSE(WEEKDAY(A332,2),"月","火","水","木","金","土","日")),"")</f>
        <v/>
      </c>
    </row>
    <row r="333" customFormat="false" ht="15" hidden="false" customHeight="false" outlineLevel="0" collapsed="false">
      <c r="Z333" s="38" t="str">
        <f aca="false">IF(ISNUMBER(A333),IF(COUNTIF(祝日!$A:$A,A333)&gt;0,"祝",CHOOSE(WEEKDAY(A333,2),"月","火","水","木","金","土","日")),"")</f>
        <v/>
      </c>
    </row>
    <row r="334" customFormat="false" ht="15" hidden="false" customHeight="false" outlineLevel="0" collapsed="false">
      <c r="Z334" s="38" t="str">
        <f aca="false">IF(ISNUMBER(A334),IF(COUNTIF(祝日!$A:$A,A334)&gt;0,"祝",CHOOSE(WEEKDAY(A334,2),"月","火","水","木","金","土","日")),"")</f>
        <v/>
      </c>
    </row>
    <row r="335" customFormat="false" ht="15" hidden="false" customHeight="false" outlineLevel="0" collapsed="false">
      <c r="Z335" s="38" t="str">
        <f aca="false">IF(ISNUMBER(A335),IF(COUNTIF(祝日!$A:$A,A335)&gt;0,"祝",CHOOSE(WEEKDAY(A335,2),"月","火","水","木","金","土","日")),"")</f>
        <v/>
      </c>
    </row>
    <row r="336" customFormat="false" ht="15" hidden="false" customHeight="false" outlineLevel="0" collapsed="false">
      <c r="Z336" s="38" t="str">
        <f aca="false">IF(ISNUMBER(A336),IF(COUNTIF(祝日!$A:$A,A336)&gt;0,"祝",CHOOSE(WEEKDAY(A336,2),"月","火","水","木","金","土","日")),"")</f>
        <v/>
      </c>
    </row>
    <row r="337" customFormat="false" ht="15" hidden="false" customHeight="false" outlineLevel="0" collapsed="false">
      <c r="Z337" s="38" t="str">
        <f aca="false">IF(ISNUMBER(A337),IF(COUNTIF(祝日!$A:$A,A337)&gt;0,"祝",CHOOSE(WEEKDAY(A337,2),"月","火","水","木","金","土","日")),"")</f>
        <v/>
      </c>
    </row>
    <row r="338" customFormat="false" ht="15" hidden="false" customHeight="false" outlineLevel="0" collapsed="false">
      <c r="Z338" s="38" t="str">
        <f aca="false">IF(ISNUMBER(A338),IF(COUNTIF(祝日!$A:$A,A338)&gt;0,"祝",CHOOSE(WEEKDAY(A338,2),"月","火","水","木","金","土","日")),"")</f>
        <v/>
      </c>
    </row>
    <row r="339" customFormat="false" ht="15" hidden="false" customHeight="false" outlineLevel="0" collapsed="false">
      <c r="Z339" s="38" t="str">
        <f aca="false">IF(ISNUMBER(A339),IF(COUNTIF(祝日!$A:$A,A339)&gt;0,"祝",CHOOSE(WEEKDAY(A339,2),"月","火","水","木","金","土","日")),"")</f>
        <v/>
      </c>
    </row>
    <row r="340" customFormat="false" ht="15" hidden="false" customHeight="false" outlineLevel="0" collapsed="false">
      <c r="Z340" s="38" t="str">
        <f aca="false">IF(ISNUMBER(A340),IF(COUNTIF(祝日!$A:$A,A340)&gt;0,"祝",CHOOSE(WEEKDAY(A340,2),"月","火","水","木","金","土","日")),"")</f>
        <v/>
      </c>
    </row>
    <row r="341" customFormat="false" ht="15" hidden="false" customHeight="false" outlineLevel="0" collapsed="false">
      <c r="Z341" s="38" t="str">
        <f aca="false">IF(ISNUMBER(A341),IF(COUNTIF(祝日!$A:$A,A341)&gt;0,"祝",CHOOSE(WEEKDAY(A341,2),"月","火","水","木","金","土","日")),"")</f>
        <v/>
      </c>
    </row>
    <row r="342" customFormat="false" ht="15" hidden="false" customHeight="false" outlineLevel="0" collapsed="false">
      <c r="Z342" s="38" t="str">
        <f aca="false">IF(ISNUMBER(A342),IF(COUNTIF(祝日!$A:$A,A342)&gt;0,"祝",CHOOSE(WEEKDAY(A342,2),"月","火","水","木","金","土","日")),"")</f>
        <v/>
      </c>
    </row>
    <row r="343" customFormat="false" ht="15" hidden="false" customHeight="false" outlineLevel="0" collapsed="false">
      <c r="Z343" s="38" t="str">
        <f aca="false">IF(ISNUMBER(A343),IF(COUNTIF(祝日!$A:$A,A343)&gt;0,"祝",CHOOSE(WEEKDAY(A343,2),"月","火","水","木","金","土","日")),"")</f>
        <v/>
      </c>
    </row>
    <row r="344" customFormat="false" ht="15" hidden="false" customHeight="false" outlineLevel="0" collapsed="false">
      <c r="Z344" s="38" t="str">
        <f aca="false">IF(ISNUMBER(A344),IF(COUNTIF(祝日!$A:$A,A344)&gt;0,"祝",CHOOSE(WEEKDAY(A344,2),"月","火","水","木","金","土","日")),"")</f>
        <v/>
      </c>
    </row>
    <row r="345" customFormat="false" ht="15" hidden="false" customHeight="false" outlineLevel="0" collapsed="false">
      <c r="Z345" s="38" t="str">
        <f aca="false">IF(ISNUMBER(A345),IF(COUNTIF(祝日!$A:$A,A345)&gt;0,"祝",CHOOSE(WEEKDAY(A345,2),"月","火","水","木","金","土","日")),"")</f>
        <v/>
      </c>
    </row>
    <row r="346" customFormat="false" ht="15" hidden="false" customHeight="false" outlineLevel="0" collapsed="false">
      <c r="Z346" s="38" t="str">
        <f aca="false">IF(ISNUMBER(A346),IF(COUNTIF(祝日!$A:$A,A346)&gt;0,"祝",CHOOSE(WEEKDAY(A346,2),"月","火","水","木","金","土","日")),"")</f>
        <v/>
      </c>
    </row>
    <row r="347" customFormat="false" ht="15" hidden="false" customHeight="false" outlineLevel="0" collapsed="false">
      <c r="Z347" s="38" t="str">
        <f aca="false">IF(ISNUMBER(A347),IF(COUNTIF(祝日!$A:$A,A347)&gt;0,"祝",CHOOSE(WEEKDAY(A347,2),"月","火","水","木","金","土","日")),"")</f>
        <v/>
      </c>
    </row>
    <row r="348" customFormat="false" ht="15" hidden="false" customHeight="false" outlineLevel="0" collapsed="false">
      <c r="Z348" s="38" t="str">
        <f aca="false">IF(ISNUMBER(A348),IF(COUNTIF(祝日!$A:$A,A348)&gt;0,"祝",CHOOSE(WEEKDAY(A348,2),"月","火","水","木","金","土","日")),"")</f>
        <v/>
      </c>
    </row>
    <row r="349" customFormat="false" ht="15" hidden="false" customHeight="false" outlineLevel="0" collapsed="false">
      <c r="Z349" s="38" t="str">
        <f aca="false">IF(ISNUMBER(A349),IF(COUNTIF(祝日!$A:$A,A349)&gt;0,"祝",CHOOSE(WEEKDAY(A349,2),"月","火","水","木","金","土","日")),"")</f>
        <v/>
      </c>
    </row>
    <row r="350" customFormat="false" ht="15" hidden="false" customHeight="false" outlineLevel="0" collapsed="false">
      <c r="Z350" s="38" t="str">
        <f aca="false">IF(ISNUMBER(A350),IF(COUNTIF(祝日!$A:$A,A350)&gt;0,"祝",CHOOSE(WEEKDAY(A350,2),"月","火","水","木","金","土","日")),"")</f>
        <v/>
      </c>
    </row>
    <row r="351" customFormat="false" ht="15" hidden="false" customHeight="false" outlineLevel="0" collapsed="false">
      <c r="Z351" s="38" t="str">
        <f aca="false">IF(ISNUMBER(A351),IF(COUNTIF(祝日!$A:$A,A351)&gt;0,"祝",CHOOSE(WEEKDAY(A351,2),"月","火","水","木","金","土","日")),"")</f>
        <v/>
      </c>
    </row>
    <row r="352" customFormat="false" ht="15" hidden="false" customHeight="false" outlineLevel="0" collapsed="false">
      <c r="Z352" s="38" t="str">
        <f aca="false">IF(ISNUMBER(A352),IF(COUNTIF(祝日!$A:$A,A352)&gt;0,"祝",CHOOSE(WEEKDAY(A352,2),"月","火","水","木","金","土","日")),"")</f>
        <v/>
      </c>
    </row>
    <row r="353" customFormat="false" ht="15" hidden="false" customHeight="false" outlineLevel="0" collapsed="false">
      <c r="Z353" s="38" t="str">
        <f aca="false">IF(ISNUMBER(A353),IF(COUNTIF(祝日!$A:$A,A353)&gt;0,"祝",CHOOSE(WEEKDAY(A353,2),"月","火","水","木","金","土","日")),"")</f>
        <v/>
      </c>
    </row>
    <row r="354" customFormat="false" ht="15" hidden="false" customHeight="false" outlineLevel="0" collapsed="false">
      <c r="Z354" s="38" t="str">
        <f aca="false">IF(ISNUMBER(A354),IF(COUNTIF(祝日!$A:$A,A354)&gt;0,"祝",CHOOSE(WEEKDAY(A354,2),"月","火","水","木","金","土","日")),"")</f>
        <v/>
      </c>
    </row>
    <row r="355" customFormat="false" ht="15" hidden="false" customHeight="false" outlineLevel="0" collapsed="false">
      <c r="Z355" s="38" t="str">
        <f aca="false">IF(ISNUMBER(A355),IF(COUNTIF(祝日!$A:$A,A355)&gt;0,"祝",CHOOSE(WEEKDAY(A355,2),"月","火","水","木","金","土","日")),"")</f>
        <v/>
      </c>
    </row>
    <row r="356" customFormat="false" ht="15" hidden="false" customHeight="false" outlineLevel="0" collapsed="false">
      <c r="Z356" s="38" t="str">
        <f aca="false">IF(ISNUMBER(A356),IF(COUNTIF(祝日!$A:$A,A356)&gt;0,"祝",CHOOSE(WEEKDAY(A356,2),"月","火","水","木","金","土","日")),"")</f>
        <v/>
      </c>
    </row>
    <row r="357" customFormat="false" ht="15" hidden="false" customHeight="false" outlineLevel="0" collapsed="false">
      <c r="Z357" s="38" t="str">
        <f aca="false">IF(ISNUMBER(A357),IF(COUNTIF(祝日!$A:$A,A357)&gt;0,"祝",CHOOSE(WEEKDAY(A357,2),"月","火","水","木","金","土","日")),"")</f>
        <v/>
      </c>
    </row>
    <row r="358" customFormat="false" ht="15" hidden="false" customHeight="false" outlineLevel="0" collapsed="false">
      <c r="Z358" s="38" t="str">
        <f aca="false">IF(ISNUMBER(A358),IF(COUNTIF(祝日!$A:$A,A358)&gt;0,"祝",CHOOSE(WEEKDAY(A358,2),"月","火","水","木","金","土","日")),"")</f>
        <v/>
      </c>
    </row>
    <row r="359" customFormat="false" ht="15" hidden="false" customHeight="false" outlineLevel="0" collapsed="false">
      <c r="Z359" s="38" t="str">
        <f aca="false">IF(ISNUMBER(A359),IF(COUNTIF(祝日!$A:$A,A359)&gt;0,"祝",CHOOSE(WEEKDAY(A359,2),"月","火","水","木","金","土","日")),"")</f>
        <v/>
      </c>
    </row>
    <row r="360" customFormat="false" ht="15" hidden="false" customHeight="false" outlineLevel="0" collapsed="false">
      <c r="Z360" s="38" t="str">
        <f aca="false">IF(ISNUMBER(A360),IF(COUNTIF(祝日!$A:$A,A360)&gt;0,"祝",CHOOSE(WEEKDAY(A360,2),"月","火","水","木","金","土","日")),"")</f>
        <v/>
      </c>
    </row>
    <row r="361" customFormat="false" ht="15" hidden="false" customHeight="false" outlineLevel="0" collapsed="false">
      <c r="Z361" s="38" t="str">
        <f aca="false">IF(ISNUMBER(A361),IF(COUNTIF(祝日!$A:$A,A361)&gt;0,"祝",CHOOSE(WEEKDAY(A361,2),"月","火","水","木","金","土","日")),"")</f>
        <v/>
      </c>
    </row>
    <row r="362" customFormat="false" ht="15" hidden="false" customHeight="false" outlineLevel="0" collapsed="false">
      <c r="Z362" s="38" t="str">
        <f aca="false">IF(ISNUMBER(A362),IF(COUNTIF(祝日!$A:$A,A362)&gt;0,"祝",CHOOSE(WEEKDAY(A362,2),"月","火","水","木","金","土","日")),"")</f>
        <v/>
      </c>
    </row>
    <row r="363" customFormat="false" ht="15" hidden="false" customHeight="false" outlineLevel="0" collapsed="false">
      <c r="Z363" s="38" t="str">
        <f aca="false">IF(ISNUMBER(A363),IF(COUNTIF(祝日!$A:$A,A363)&gt;0,"祝",CHOOSE(WEEKDAY(A363,2),"月","火","水","木","金","土","日")),"")</f>
        <v/>
      </c>
    </row>
    <row r="364" customFormat="false" ht="15" hidden="false" customHeight="false" outlineLevel="0" collapsed="false">
      <c r="Z364" s="38" t="str">
        <f aca="false">IF(ISNUMBER(A364),IF(COUNTIF(祝日!$A:$A,A364)&gt;0,"祝",CHOOSE(WEEKDAY(A364,2),"月","火","水","木","金","土","日")),"")</f>
        <v/>
      </c>
    </row>
    <row r="365" customFormat="false" ht="15" hidden="false" customHeight="false" outlineLevel="0" collapsed="false">
      <c r="Z365" s="38" t="str">
        <f aca="false">IF(ISNUMBER(A365),IF(COUNTIF(祝日!$A:$A,A365)&gt;0,"祝",CHOOSE(WEEKDAY(A365,2),"月","火","水","木","金","土","日")),"")</f>
        <v/>
      </c>
    </row>
    <row r="366" customFormat="false" ht="15" hidden="false" customHeight="false" outlineLevel="0" collapsed="false">
      <c r="Z366" s="38" t="str">
        <f aca="false">IF(ISNUMBER(A366),IF(COUNTIF(祝日!$A:$A,A366)&gt;0,"祝",CHOOSE(WEEKDAY(A366,2),"月","火","水","木","金","土","日")),"")</f>
        <v/>
      </c>
    </row>
    <row r="367" customFormat="false" ht="15" hidden="false" customHeight="false" outlineLevel="0" collapsed="false">
      <c r="Z367" s="38" t="str">
        <f aca="false">IF(ISNUMBER(A367),IF(COUNTIF(祝日!$A:$A,A367)&gt;0,"祝",CHOOSE(WEEKDAY(A367,2),"月","火","水","木","金","土","日")),"")</f>
        <v/>
      </c>
    </row>
    <row r="368" customFormat="false" ht="15" hidden="false" customHeight="false" outlineLevel="0" collapsed="false">
      <c r="Z368" s="38" t="str">
        <f aca="false">IF(ISNUMBER(A368),IF(COUNTIF(祝日!$A:$A,A368)&gt;0,"祝",CHOOSE(WEEKDAY(A368,2),"月","火","水","木","金","土","日")),"")</f>
        <v/>
      </c>
    </row>
    <row r="369" customFormat="false" ht="15" hidden="false" customHeight="false" outlineLevel="0" collapsed="false">
      <c r="Z369" s="38" t="str">
        <f aca="false">IF(ISNUMBER(A369),IF(COUNTIF(祝日!$A:$A,A369)&gt;0,"祝",CHOOSE(WEEKDAY(A369,2),"月","火","水","木","金","土","日")),"")</f>
        <v/>
      </c>
    </row>
    <row r="370" customFormat="false" ht="15" hidden="false" customHeight="false" outlineLevel="0" collapsed="false">
      <c r="Z370" s="38" t="str">
        <f aca="false">IF(ISNUMBER(A370),IF(COUNTIF(祝日!$A:$A,A370)&gt;0,"祝",CHOOSE(WEEKDAY(A370,2),"月","火","水","木","金","土","日")),"")</f>
        <v/>
      </c>
    </row>
    <row r="371" customFormat="false" ht="15" hidden="false" customHeight="false" outlineLevel="0" collapsed="false">
      <c r="Z371" s="38" t="str">
        <f aca="false">IF(ISNUMBER(A371),IF(COUNTIF(祝日!$A:$A,A371)&gt;0,"祝",CHOOSE(WEEKDAY(A371,2),"月","火","水","木","金","土","日")),"")</f>
        <v/>
      </c>
    </row>
    <row r="372" customFormat="false" ht="15" hidden="false" customHeight="false" outlineLevel="0" collapsed="false">
      <c r="Z372" s="38" t="str">
        <f aca="false">IF(ISNUMBER(A372),IF(COUNTIF(祝日!$A:$A,A372)&gt;0,"祝",CHOOSE(WEEKDAY(A372,2),"月","火","水","木","金","土","日")),"")</f>
        <v/>
      </c>
    </row>
    <row r="373" customFormat="false" ht="15" hidden="false" customHeight="false" outlineLevel="0" collapsed="false">
      <c r="Z373" s="38" t="str">
        <f aca="false">IF(ISNUMBER(A373),IF(COUNTIF(祝日!$A:$A,A373)&gt;0,"祝",CHOOSE(WEEKDAY(A373,2),"月","火","水","木","金","土","日")),"")</f>
        <v/>
      </c>
    </row>
    <row r="374" customFormat="false" ht="15" hidden="false" customHeight="false" outlineLevel="0" collapsed="false">
      <c r="Z374" s="38" t="str">
        <f aca="false">IF(ISNUMBER(A374),IF(COUNTIF(祝日!$A:$A,A374)&gt;0,"祝",CHOOSE(WEEKDAY(A374,2),"月","火","水","木","金","土","日")),"")</f>
        <v/>
      </c>
    </row>
    <row r="375" customFormat="false" ht="15" hidden="false" customHeight="false" outlineLevel="0" collapsed="false">
      <c r="Z375" s="38" t="str">
        <f aca="false">IF(ISNUMBER(A375),IF(COUNTIF(祝日!$A:$A,A375)&gt;0,"祝",CHOOSE(WEEKDAY(A375,2),"月","火","水","木","金","土","日")),"")</f>
        <v/>
      </c>
    </row>
    <row r="376" customFormat="false" ht="15" hidden="false" customHeight="false" outlineLevel="0" collapsed="false">
      <c r="Z376" s="38" t="str">
        <f aca="false">IF(ISNUMBER(A376),IF(COUNTIF(祝日!$A:$A,A376)&gt;0,"祝",CHOOSE(WEEKDAY(A376,2),"月","火","水","木","金","土","日")),"")</f>
        <v/>
      </c>
    </row>
    <row r="377" customFormat="false" ht="15" hidden="false" customHeight="false" outlineLevel="0" collapsed="false">
      <c r="Z377" s="38" t="str">
        <f aca="false">IF(ISNUMBER(A377),IF(COUNTIF(祝日!$A:$A,A377)&gt;0,"祝",CHOOSE(WEEKDAY(A377,2),"月","火","水","木","金","土","日")),"")</f>
        <v/>
      </c>
    </row>
    <row r="378" customFormat="false" ht="15" hidden="false" customHeight="false" outlineLevel="0" collapsed="false">
      <c r="Z378" s="38" t="str">
        <f aca="false">IF(ISNUMBER(A378),IF(COUNTIF(祝日!$A:$A,A378)&gt;0,"祝",CHOOSE(WEEKDAY(A378,2),"月","火","水","木","金","土","日")),"")</f>
        <v/>
      </c>
    </row>
    <row r="379" customFormat="false" ht="15" hidden="false" customHeight="false" outlineLevel="0" collapsed="false">
      <c r="Z379" s="38" t="str">
        <f aca="false">IF(ISNUMBER(A379),IF(COUNTIF(祝日!$A:$A,A379)&gt;0,"祝",CHOOSE(WEEKDAY(A379,2),"月","火","水","木","金","土","日")),"")</f>
        <v/>
      </c>
    </row>
    <row r="380" customFormat="false" ht="15" hidden="false" customHeight="false" outlineLevel="0" collapsed="false">
      <c r="Z380" s="38" t="str">
        <f aca="false">IF(ISNUMBER(A380),IF(COUNTIF(祝日!$A:$A,A380)&gt;0,"祝",CHOOSE(WEEKDAY(A380,2),"月","火","水","木","金","土","日")),"")</f>
        <v/>
      </c>
    </row>
    <row r="381" customFormat="false" ht="15" hidden="false" customHeight="false" outlineLevel="0" collapsed="false">
      <c r="Z381" s="38" t="str">
        <f aca="false">IF(ISNUMBER(A381),IF(COUNTIF(祝日!$A:$A,A381)&gt;0,"祝",CHOOSE(WEEKDAY(A381,2),"月","火","水","木","金","土","日")),"")</f>
        <v/>
      </c>
    </row>
    <row r="382" customFormat="false" ht="15" hidden="false" customHeight="false" outlineLevel="0" collapsed="false">
      <c r="Z382" s="38" t="str">
        <f aca="false">IF(ISNUMBER(A382),IF(COUNTIF(祝日!$A:$A,A382)&gt;0,"祝",CHOOSE(WEEKDAY(A382,2),"月","火","水","木","金","土","日")),"")</f>
        <v/>
      </c>
    </row>
    <row r="383" customFormat="false" ht="15" hidden="false" customHeight="false" outlineLevel="0" collapsed="false">
      <c r="Z383" s="38" t="str">
        <f aca="false">IF(ISNUMBER(A383),IF(COUNTIF(祝日!$A:$A,A383)&gt;0,"祝",CHOOSE(WEEKDAY(A383,2),"月","火","水","木","金","土","日")),"")</f>
        <v/>
      </c>
    </row>
    <row r="384" customFormat="false" ht="15" hidden="false" customHeight="false" outlineLevel="0" collapsed="false">
      <c r="Z384" s="38" t="str">
        <f aca="false">IF(ISNUMBER(A384),IF(COUNTIF(祝日!$A:$A,A384)&gt;0,"祝",CHOOSE(WEEKDAY(A384,2),"月","火","水","木","金","土","日")),"")</f>
        <v/>
      </c>
    </row>
    <row r="385" customFormat="false" ht="15" hidden="false" customHeight="false" outlineLevel="0" collapsed="false">
      <c r="Z385" s="38" t="str">
        <f aca="false">IF(ISNUMBER(A385),IF(COUNTIF(祝日!$A:$A,A385)&gt;0,"祝",CHOOSE(WEEKDAY(A385,2),"月","火","水","木","金","土","日")),"")</f>
        <v/>
      </c>
    </row>
    <row r="386" customFormat="false" ht="15" hidden="false" customHeight="false" outlineLevel="0" collapsed="false">
      <c r="Z386" s="38" t="str">
        <f aca="false">IF(ISNUMBER(A386),IF(COUNTIF(祝日!$A:$A,A386)&gt;0,"祝",CHOOSE(WEEKDAY(A386,2),"月","火","水","木","金","土","日")),"")</f>
        <v/>
      </c>
    </row>
    <row r="387" customFormat="false" ht="15" hidden="false" customHeight="false" outlineLevel="0" collapsed="false">
      <c r="Z387" s="38" t="str">
        <f aca="false">IF(ISNUMBER(A387),IF(COUNTIF(祝日!$A:$A,A387)&gt;0,"祝",CHOOSE(WEEKDAY(A387,2),"月","火","水","木","金","土","日")),"")</f>
        <v/>
      </c>
    </row>
    <row r="388" customFormat="false" ht="15" hidden="false" customHeight="false" outlineLevel="0" collapsed="false">
      <c r="Z388" s="38" t="str">
        <f aca="false">IF(ISNUMBER(A388),IF(COUNTIF(祝日!$A:$A,A388)&gt;0,"祝",CHOOSE(WEEKDAY(A388,2),"月","火","水","木","金","土","日")),"")</f>
        <v/>
      </c>
    </row>
    <row r="389" customFormat="false" ht="15" hidden="false" customHeight="false" outlineLevel="0" collapsed="false">
      <c r="Z389" s="38" t="str">
        <f aca="false">IF(ISNUMBER(A389),IF(COUNTIF(祝日!$A:$A,A389)&gt;0,"祝",CHOOSE(WEEKDAY(A389,2),"月","火","水","木","金","土","日")),"")</f>
        <v/>
      </c>
    </row>
    <row r="390" customFormat="false" ht="15" hidden="false" customHeight="false" outlineLevel="0" collapsed="false">
      <c r="Z390" s="38" t="str">
        <f aca="false">IF(ISNUMBER(A390),IF(COUNTIF(祝日!$A:$A,A390)&gt;0,"祝",CHOOSE(WEEKDAY(A390,2),"月","火","水","木","金","土","日")),"")</f>
        <v/>
      </c>
    </row>
    <row r="391" customFormat="false" ht="15" hidden="false" customHeight="false" outlineLevel="0" collapsed="false">
      <c r="Z391" s="38" t="str">
        <f aca="false">IF(ISNUMBER(A391),IF(COUNTIF(祝日!$A:$A,A391)&gt;0,"祝",CHOOSE(WEEKDAY(A391,2),"月","火","水","木","金","土","日")),"")</f>
        <v/>
      </c>
    </row>
    <row r="392" customFormat="false" ht="15" hidden="false" customHeight="false" outlineLevel="0" collapsed="false">
      <c r="Z392" s="38" t="str">
        <f aca="false">IF(ISNUMBER(A392),IF(COUNTIF(祝日!$A:$A,A392)&gt;0,"祝",CHOOSE(WEEKDAY(A392,2),"月","火","水","木","金","土","日")),"")</f>
        <v/>
      </c>
    </row>
    <row r="393" customFormat="false" ht="15" hidden="false" customHeight="false" outlineLevel="0" collapsed="false">
      <c r="Z393" s="38" t="str">
        <f aca="false">IF(ISNUMBER(A393),IF(COUNTIF(祝日!$A:$A,A393)&gt;0,"祝",CHOOSE(WEEKDAY(A393,2),"月","火","水","木","金","土","日")),"")</f>
        <v/>
      </c>
    </row>
    <row r="394" customFormat="false" ht="15" hidden="false" customHeight="false" outlineLevel="0" collapsed="false">
      <c r="Z394" s="38" t="str">
        <f aca="false">IF(ISNUMBER(A394),IF(COUNTIF(祝日!$A:$A,A394)&gt;0,"祝",CHOOSE(WEEKDAY(A394,2),"月","火","水","木","金","土","日")),"")</f>
        <v/>
      </c>
    </row>
    <row r="395" customFormat="false" ht="15" hidden="false" customHeight="false" outlineLevel="0" collapsed="false">
      <c r="Z395" s="38" t="str">
        <f aca="false">IF(ISNUMBER(A395),IF(COUNTIF(祝日!$A:$A,A395)&gt;0,"祝",CHOOSE(WEEKDAY(A395,2),"月","火","水","木","金","土","日")),"")</f>
        <v/>
      </c>
    </row>
    <row r="396" customFormat="false" ht="15" hidden="false" customHeight="false" outlineLevel="0" collapsed="false">
      <c r="Z396" s="38" t="str">
        <f aca="false">IF(ISNUMBER(A396),IF(COUNTIF(祝日!$A:$A,A396)&gt;0,"祝",CHOOSE(WEEKDAY(A396,2),"月","火","水","木","金","土","日")),"")</f>
        <v/>
      </c>
    </row>
    <row r="397" customFormat="false" ht="15" hidden="false" customHeight="false" outlineLevel="0" collapsed="false">
      <c r="Z397" s="38" t="str">
        <f aca="false">IF(ISNUMBER(A397),IF(COUNTIF(祝日!$A:$A,A397)&gt;0,"祝",CHOOSE(WEEKDAY(A397,2),"月","火","水","木","金","土","日")),"")</f>
        <v/>
      </c>
    </row>
    <row r="398" customFormat="false" ht="15" hidden="false" customHeight="false" outlineLevel="0" collapsed="false">
      <c r="Z398" s="38" t="str">
        <f aca="false">IF(ISNUMBER(A398),IF(COUNTIF(祝日!$A:$A,A398)&gt;0,"祝",CHOOSE(WEEKDAY(A398,2),"月","火","水","木","金","土","日")),"")</f>
        <v/>
      </c>
    </row>
    <row r="399" customFormat="false" ht="15" hidden="false" customHeight="false" outlineLevel="0" collapsed="false">
      <c r="Z399" s="38" t="str">
        <f aca="false">IF(ISNUMBER(A399),IF(COUNTIF(祝日!$A:$A,A399)&gt;0,"祝",CHOOSE(WEEKDAY(A399,2),"月","火","水","木","金","土","日")),"")</f>
        <v/>
      </c>
    </row>
    <row r="400" customFormat="false" ht="15" hidden="false" customHeight="false" outlineLevel="0" collapsed="false">
      <c r="Z400" s="38" t="str">
        <f aca="false">IF(ISNUMBER(A400),IF(COUNTIF(祝日!$A:$A,A400)&gt;0,"祝",CHOOSE(WEEKDAY(A400,2),"月","火","水","木","金","土","日")),"")</f>
        <v/>
      </c>
    </row>
    <row r="401" customFormat="false" ht="15" hidden="false" customHeight="false" outlineLevel="0" collapsed="false">
      <c r="Z401" s="38" t="str">
        <f aca="false">IF(ISNUMBER(A401),IF(COUNTIF(祝日!$A:$A,A401)&gt;0,"祝",CHOOSE(WEEKDAY(A401,2),"月","火","水","木","金","土","日")),"")</f>
        <v/>
      </c>
    </row>
    <row r="402" customFormat="false" ht="15" hidden="false" customHeight="false" outlineLevel="0" collapsed="false">
      <c r="Z402" s="38" t="str">
        <f aca="false">IF(ISNUMBER(A402),IF(COUNTIF(祝日!$A:$A,A402)&gt;0,"祝",CHOOSE(WEEKDAY(A402,2),"月","火","水","木","金","土","日")),"")</f>
        <v/>
      </c>
    </row>
    <row r="403" customFormat="false" ht="15" hidden="false" customHeight="false" outlineLevel="0" collapsed="false">
      <c r="Z403" s="38" t="str">
        <f aca="false">IF(ISNUMBER(A403),IF(COUNTIF(祝日!$A:$A,A403)&gt;0,"祝",CHOOSE(WEEKDAY(A403,2),"月","火","水","木","金","土","日")),"")</f>
        <v/>
      </c>
    </row>
    <row r="404" customFormat="false" ht="15" hidden="false" customHeight="false" outlineLevel="0" collapsed="false">
      <c r="Z404" s="38" t="str">
        <f aca="false">IF(ISNUMBER(A404),IF(COUNTIF(祝日!$A:$A,A404)&gt;0,"祝",CHOOSE(WEEKDAY(A404,2),"月","火","水","木","金","土","日")),"")</f>
        <v/>
      </c>
    </row>
    <row r="405" customFormat="false" ht="15" hidden="false" customHeight="false" outlineLevel="0" collapsed="false">
      <c r="Z405" s="38" t="str">
        <f aca="false">IF(ISNUMBER(A405),IF(COUNTIF(祝日!$A:$A,A405)&gt;0,"祝",CHOOSE(WEEKDAY(A405,2),"月","火","水","木","金","土","日")),"")</f>
        <v/>
      </c>
    </row>
    <row r="406" customFormat="false" ht="15" hidden="false" customHeight="false" outlineLevel="0" collapsed="false">
      <c r="Z406" s="38" t="str">
        <f aca="false">IF(ISNUMBER(A406),IF(COUNTIF(祝日!$A:$A,A406)&gt;0,"祝",CHOOSE(WEEKDAY(A406,2),"月","火","水","木","金","土","日")),"")</f>
        <v/>
      </c>
    </row>
    <row r="407" customFormat="false" ht="15" hidden="false" customHeight="false" outlineLevel="0" collapsed="false">
      <c r="Z407" s="38" t="str">
        <f aca="false">IF(ISNUMBER(A407),IF(COUNTIF(祝日!$A:$A,A407)&gt;0,"祝",CHOOSE(WEEKDAY(A407,2),"月","火","水","木","金","土","日")),"")</f>
        <v/>
      </c>
    </row>
    <row r="408" customFormat="false" ht="15" hidden="false" customHeight="false" outlineLevel="0" collapsed="false">
      <c r="Z408" s="38" t="str">
        <f aca="false">IF(ISNUMBER(A408),IF(COUNTIF(祝日!$A:$A,A408)&gt;0,"祝",CHOOSE(WEEKDAY(A408,2),"月","火","水","木","金","土","日")),"")</f>
        <v/>
      </c>
    </row>
    <row r="409" customFormat="false" ht="15" hidden="false" customHeight="false" outlineLevel="0" collapsed="false">
      <c r="Z409" s="38" t="str">
        <f aca="false">IF(ISNUMBER(A409),IF(COUNTIF(祝日!$A:$A,A409)&gt;0,"祝",CHOOSE(WEEKDAY(A409,2),"月","火","水","木","金","土","日")),"")</f>
        <v/>
      </c>
    </row>
    <row r="410" customFormat="false" ht="15" hidden="false" customHeight="false" outlineLevel="0" collapsed="false">
      <c r="Z410" s="38" t="str">
        <f aca="false">IF(ISNUMBER(A410),IF(COUNTIF(祝日!$A:$A,A410)&gt;0,"祝",CHOOSE(WEEKDAY(A410,2),"月","火","水","木","金","土","日")),"")</f>
        <v/>
      </c>
    </row>
    <row r="411" customFormat="false" ht="15" hidden="false" customHeight="false" outlineLevel="0" collapsed="false">
      <c r="Z411" s="38" t="str">
        <f aca="false">IF(ISNUMBER(A411),IF(COUNTIF(祝日!$A:$A,A411)&gt;0,"祝",CHOOSE(WEEKDAY(A411,2),"月","火","水","木","金","土","日")),"")</f>
        <v/>
      </c>
    </row>
    <row r="412" customFormat="false" ht="15" hidden="false" customHeight="false" outlineLevel="0" collapsed="false">
      <c r="Z412" s="38" t="str">
        <f aca="false">IF(ISNUMBER(A412),IF(COUNTIF(祝日!$A:$A,A412)&gt;0,"祝",CHOOSE(WEEKDAY(A412,2),"月","火","水","木","金","土","日")),"")</f>
        <v/>
      </c>
    </row>
    <row r="413" customFormat="false" ht="15" hidden="false" customHeight="false" outlineLevel="0" collapsed="false">
      <c r="Z413" s="38" t="str">
        <f aca="false">IF(ISNUMBER(A413),IF(COUNTIF(祝日!$A:$A,A413)&gt;0,"祝",CHOOSE(WEEKDAY(A413,2),"月","火","水","木","金","土","日")),"")</f>
        <v/>
      </c>
    </row>
    <row r="414" customFormat="false" ht="15" hidden="false" customHeight="false" outlineLevel="0" collapsed="false">
      <c r="Z414" s="38" t="str">
        <f aca="false">IF(ISNUMBER(A414),IF(COUNTIF(祝日!$A:$A,A414)&gt;0,"祝",CHOOSE(WEEKDAY(A414,2),"月","火","水","木","金","土","日")),"")</f>
        <v/>
      </c>
    </row>
    <row r="415" customFormat="false" ht="15" hidden="false" customHeight="false" outlineLevel="0" collapsed="false">
      <c r="Z415" s="38" t="str">
        <f aca="false">IF(ISNUMBER(A415),IF(COUNTIF(祝日!$A:$A,A415)&gt;0,"祝",CHOOSE(WEEKDAY(A415,2),"月","火","水","木","金","土","日")),"")</f>
        <v/>
      </c>
    </row>
    <row r="416" customFormat="false" ht="15" hidden="false" customHeight="false" outlineLevel="0" collapsed="false">
      <c r="Z416" s="38" t="str">
        <f aca="false">IF(ISNUMBER(A416),IF(COUNTIF(祝日!$A:$A,A416)&gt;0,"祝",CHOOSE(WEEKDAY(A416,2),"月","火","水","木","金","土","日")),"")</f>
        <v/>
      </c>
    </row>
    <row r="417" customFormat="false" ht="15" hidden="false" customHeight="false" outlineLevel="0" collapsed="false">
      <c r="Z417" s="38" t="str">
        <f aca="false">IF(ISNUMBER(A417),IF(COUNTIF(祝日!$A:$A,A417)&gt;0,"祝",CHOOSE(WEEKDAY(A417,2),"月","火","水","木","金","土","日")),"")</f>
        <v/>
      </c>
    </row>
    <row r="418" customFormat="false" ht="15" hidden="false" customHeight="false" outlineLevel="0" collapsed="false">
      <c r="Z418" s="38" t="str">
        <f aca="false">IF(ISNUMBER(A418),IF(COUNTIF(祝日!$A:$A,A418)&gt;0,"祝",CHOOSE(WEEKDAY(A418,2),"月","火","水","木","金","土","日")),"")</f>
        <v/>
      </c>
    </row>
    <row r="419" customFormat="false" ht="15" hidden="false" customHeight="false" outlineLevel="0" collapsed="false">
      <c r="Z419" s="38" t="str">
        <f aca="false">IF(ISNUMBER(A419),IF(COUNTIF(祝日!$A:$A,A419)&gt;0,"祝",CHOOSE(WEEKDAY(A419,2),"月","火","水","木","金","土","日")),"")</f>
        <v/>
      </c>
    </row>
    <row r="420" customFormat="false" ht="15" hidden="false" customHeight="false" outlineLevel="0" collapsed="false">
      <c r="Z420" s="38" t="str">
        <f aca="false">IF(ISNUMBER(A420),IF(COUNTIF(祝日!$A:$A,A420)&gt;0,"祝",CHOOSE(WEEKDAY(A420,2),"月","火","水","木","金","土","日")),"")</f>
        <v/>
      </c>
    </row>
    <row r="421" customFormat="false" ht="15" hidden="false" customHeight="false" outlineLevel="0" collapsed="false">
      <c r="Z421" s="38" t="str">
        <f aca="false">IF(ISNUMBER(A421),IF(COUNTIF(祝日!$A:$A,A421)&gt;0,"祝",CHOOSE(WEEKDAY(A421,2),"月","火","水","木","金","土","日")),"")</f>
        <v/>
      </c>
    </row>
    <row r="422" customFormat="false" ht="15" hidden="false" customHeight="false" outlineLevel="0" collapsed="false">
      <c r="Z422" s="38" t="str">
        <f aca="false">IF(ISNUMBER(A422),IF(COUNTIF(祝日!$A:$A,A422)&gt;0,"祝",CHOOSE(WEEKDAY(A422,2),"月","火","水","木","金","土","日")),"")</f>
        <v/>
      </c>
    </row>
    <row r="423" customFormat="false" ht="15" hidden="false" customHeight="false" outlineLevel="0" collapsed="false">
      <c r="Z423" s="38" t="str">
        <f aca="false">IF(ISNUMBER(A423),IF(COUNTIF(祝日!$A:$A,A423)&gt;0,"祝",CHOOSE(WEEKDAY(A423,2),"月","火","水","木","金","土","日")),"")</f>
        <v/>
      </c>
    </row>
    <row r="424" customFormat="false" ht="15" hidden="false" customHeight="false" outlineLevel="0" collapsed="false">
      <c r="Z424" s="38" t="str">
        <f aca="false">IF(ISNUMBER(A424),IF(COUNTIF(祝日!$A:$A,A424)&gt;0,"祝",CHOOSE(WEEKDAY(A424,2),"月","火","水","木","金","土","日")),"")</f>
        <v/>
      </c>
    </row>
    <row r="425" customFormat="false" ht="15" hidden="false" customHeight="false" outlineLevel="0" collapsed="false">
      <c r="Z425" s="38" t="str">
        <f aca="false">IF(ISNUMBER(A425),IF(COUNTIF(祝日!$A:$A,A425)&gt;0,"祝",CHOOSE(WEEKDAY(A425,2),"月","火","水","木","金","土","日")),"")</f>
        <v/>
      </c>
    </row>
    <row r="426" customFormat="false" ht="15" hidden="false" customHeight="false" outlineLevel="0" collapsed="false">
      <c r="Z426" s="38" t="str">
        <f aca="false">IF(ISNUMBER(A426),IF(COUNTIF(祝日!$A:$A,A426)&gt;0,"祝",CHOOSE(WEEKDAY(A426,2),"月","火","水","木","金","土","日")),"")</f>
        <v/>
      </c>
    </row>
    <row r="427" customFormat="false" ht="15" hidden="false" customHeight="false" outlineLevel="0" collapsed="false">
      <c r="Z427" s="38" t="str">
        <f aca="false">IF(ISNUMBER(A427),IF(COUNTIF(祝日!$A:$A,A427)&gt;0,"祝",CHOOSE(WEEKDAY(A427,2),"月","火","水","木","金","土","日")),"")</f>
        <v/>
      </c>
    </row>
    <row r="428" customFormat="false" ht="15" hidden="false" customHeight="false" outlineLevel="0" collapsed="false">
      <c r="Z428" s="38" t="str">
        <f aca="false">IF(ISNUMBER(A428),IF(COUNTIF(祝日!$A:$A,A428)&gt;0,"祝",CHOOSE(WEEKDAY(A428,2),"月","火","水","木","金","土","日")),"")</f>
        <v/>
      </c>
    </row>
    <row r="429" customFormat="false" ht="15" hidden="false" customHeight="false" outlineLevel="0" collapsed="false">
      <c r="Z429" s="38" t="str">
        <f aca="false">IF(ISNUMBER(A429),IF(COUNTIF(祝日!$A:$A,A429)&gt;0,"祝",CHOOSE(WEEKDAY(A429,2),"月","火","水","木","金","土","日")),"")</f>
        <v/>
      </c>
    </row>
    <row r="430" customFormat="false" ht="15" hidden="false" customHeight="false" outlineLevel="0" collapsed="false">
      <c r="Z430" s="38" t="str">
        <f aca="false">IF(ISNUMBER(A430),IF(COUNTIF(祝日!$A:$A,A430)&gt;0,"祝",CHOOSE(WEEKDAY(A430,2),"月","火","水","木","金","土","日")),"")</f>
        <v/>
      </c>
    </row>
    <row r="431" customFormat="false" ht="15" hidden="false" customHeight="false" outlineLevel="0" collapsed="false">
      <c r="Z431" s="38" t="str">
        <f aca="false">IF(ISNUMBER(A431),IF(COUNTIF(祝日!$A:$A,A431)&gt;0,"祝",CHOOSE(WEEKDAY(A431,2),"月","火","水","木","金","土","日")),"")</f>
        <v/>
      </c>
    </row>
    <row r="432" customFormat="false" ht="15" hidden="false" customHeight="false" outlineLevel="0" collapsed="false">
      <c r="Z432" s="38" t="str">
        <f aca="false">IF(ISNUMBER(A432),IF(COUNTIF(祝日!$A:$A,A432)&gt;0,"祝",CHOOSE(WEEKDAY(A432,2),"月","火","水","木","金","土","日")),"")</f>
        <v/>
      </c>
    </row>
    <row r="433" customFormat="false" ht="15" hidden="false" customHeight="false" outlineLevel="0" collapsed="false">
      <c r="Z433" s="38" t="str">
        <f aca="false">IF(ISNUMBER(A433),IF(COUNTIF(祝日!$A:$A,A433)&gt;0,"祝",CHOOSE(WEEKDAY(A433,2),"月","火","水","木","金","土","日")),"")</f>
        <v/>
      </c>
    </row>
    <row r="434" customFormat="false" ht="15" hidden="false" customHeight="false" outlineLevel="0" collapsed="false">
      <c r="Z434" s="38" t="str">
        <f aca="false">IF(ISNUMBER(A434),IF(COUNTIF(祝日!$A:$A,A434)&gt;0,"祝",CHOOSE(WEEKDAY(A434,2),"月","火","水","木","金","土","日")),"")</f>
        <v/>
      </c>
    </row>
    <row r="435" customFormat="false" ht="15" hidden="false" customHeight="false" outlineLevel="0" collapsed="false">
      <c r="Z435" s="38" t="str">
        <f aca="false">IF(ISNUMBER(A435),IF(COUNTIF(祝日!$A:$A,A435)&gt;0,"祝",CHOOSE(WEEKDAY(A435,2),"月","火","水","木","金","土","日")),"")</f>
        <v/>
      </c>
    </row>
    <row r="436" customFormat="false" ht="15" hidden="false" customHeight="false" outlineLevel="0" collapsed="false">
      <c r="Z436" s="38" t="str">
        <f aca="false">IF(ISNUMBER(A436),IF(COUNTIF(祝日!$A:$A,A436)&gt;0,"祝",CHOOSE(WEEKDAY(A436,2),"月","火","水","木","金","土","日")),"")</f>
        <v/>
      </c>
    </row>
    <row r="437" customFormat="false" ht="15" hidden="false" customHeight="false" outlineLevel="0" collapsed="false">
      <c r="Z437" s="38" t="str">
        <f aca="false">IF(ISNUMBER(A437),IF(COUNTIF(祝日!$A:$A,A437)&gt;0,"祝",CHOOSE(WEEKDAY(A437,2),"月","火","水","木","金","土","日")),"")</f>
        <v/>
      </c>
    </row>
    <row r="438" customFormat="false" ht="15" hidden="false" customHeight="false" outlineLevel="0" collapsed="false">
      <c r="Z438" s="38" t="str">
        <f aca="false">IF(ISNUMBER(A438),IF(COUNTIF(祝日!$A:$A,A438)&gt;0,"祝",CHOOSE(WEEKDAY(A438,2),"月","火","水","木","金","土","日")),"")</f>
        <v/>
      </c>
    </row>
    <row r="439" customFormat="false" ht="15" hidden="false" customHeight="false" outlineLevel="0" collapsed="false">
      <c r="Z439" s="38" t="str">
        <f aca="false">IF(ISNUMBER(A439),IF(COUNTIF(祝日!$A:$A,A439)&gt;0,"祝",CHOOSE(WEEKDAY(A439,2),"月","火","水","木","金","土","日")),"")</f>
        <v/>
      </c>
    </row>
    <row r="440" customFormat="false" ht="15" hidden="false" customHeight="false" outlineLevel="0" collapsed="false">
      <c r="Z440" s="38" t="str">
        <f aca="false">IF(ISNUMBER(A440),IF(COUNTIF(祝日!$A:$A,A440)&gt;0,"祝",CHOOSE(WEEKDAY(A440,2),"月","火","水","木","金","土","日")),"")</f>
        <v/>
      </c>
    </row>
    <row r="441" customFormat="false" ht="15" hidden="false" customHeight="false" outlineLevel="0" collapsed="false">
      <c r="Z441" s="38" t="str">
        <f aca="false">IF(ISNUMBER(A441),IF(COUNTIF(祝日!$A:$A,A441)&gt;0,"祝",CHOOSE(WEEKDAY(A441,2),"月","火","水","木","金","土","日")),"")</f>
        <v/>
      </c>
    </row>
    <row r="442" customFormat="false" ht="15" hidden="false" customHeight="false" outlineLevel="0" collapsed="false">
      <c r="Z442" s="38" t="str">
        <f aca="false">IF(ISNUMBER(A442),IF(COUNTIF(祝日!$A:$A,A442)&gt;0,"祝",CHOOSE(WEEKDAY(A442,2),"月","火","水","木","金","土","日")),"")</f>
        <v/>
      </c>
    </row>
    <row r="443" customFormat="false" ht="15" hidden="false" customHeight="false" outlineLevel="0" collapsed="false">
      <c r="Z443" s="38" t="str">
        <f aca="false">IF(ISNUMBER(A443),IF(COUNTIF(祝日!$A:$A,A443)&gt;0,"祝",CHOOSE(WEEKDAY(A443,2),"月","火","水","木","金","土","日")),"")</f>
        <v/>
      </c>
    </row>
    <row r="444" customFormat="false" ht="15" hidden="false" customHeight="false" outlineLevel="0" collapsed="false">
      <c r="Z444" s="38" t="str">
        <f aca="false">IF(ISNUMBER(A444),IF(COUNTIF(祝日!$A:$A,A444)&gt;0,"祝",CHOOSE(WEEKDAY(A444,2),"月","火","水","木","金","土","日")),"")</f>
        <v/>
      </c>
    </row>
    <row r="445" customFormat="false" ht="15" hidden="false" customHeight="false" outlineLevel="0" collapsed="false">
      <c r="Z445" s="38" t="str">
        <f aca="false">IF(ISNUMBER(A445),IF(COUNTIF(祝日!$A:$A,A445)&gt;0,"祝",CHOOSE(WEEKDAY(A445,2),"月","火","水","木","金","土","日")),"")</f>
        <v/>
      </c>
    </row>
    <row r="446" customFormat="false" ht="15" hidden="false" customHeight="false" outlineLevel="0" collapsed="false">
      <c r="Z446" s="38" t="str">
        <f aca="false">IF(ISNUMBER(A446),IF(COUNTIF(祝日!$A:$A,A446)&gt;0,"祝",CHOOSE(WEEKDAY(A446,2),"月","火","水","木","金","土","日")),"")</f>
        <v/>
      </c>
    </row>
    <row r="447" customFormat="false" ht="15" hidden="false" customHeight="false" outlineLevel="0" collapsed="false">
      <c r="Z447" s="38" t="str">
        <f aca="false">IF(ISNUMBER(A447),IF(COUNTIF(祝日!$A:$A,A447)&gt;0,"祝",CHOOSE(WEEKDAY(A447,2),"月","火","水","木","金","土","日")),"")</f>
        <v/>
      </c>
    </row>
    <row r="448" customFormat="false" ht="15" hidden="false" customHeight="false" outlineLevel="0" collapsed="false">
      <c r="Z448" s="38" t="str">
        <f aca="false">IF(ISNUMBER(A448),IF(COUNTIF(祝日!$A:$A,A448)&gt;0,"祝",CHOOSE(WEEKDAY(A448,2),"月","火","水","木","金","土","日")),"")</f>
        <v/>
      </c>
    </row>
    <row r="449" customFormat="false" ht="15" hidden="false" customHeight="false" outlineLevel="0" collapsed="false">
      <c r="Z449" s="38" t="str">
        <f aca="false">IF(ISNUMBER(A449),IF(COUNTIF(祝日!$A:$A,A449)&gt;0,"祝",CHOOSE(WEEKDAY(A449,2),"月","火","水","木","金","土","日")),"")</f>
        <v/>
      </c>
    </row>
    <row r="450" customFormat="false" ht="15" hidden="false" customHeight="false" outlineLevel="0" collapsed="false">
      <c r="Z450" s="38" t="str">
        <f aca="false">IF(ISNUMBER(A450),IF(COUNTIF(祝日!$A:$A,A450)&gt;0,"祝",CHOOSE(WEEKDAY(A450,2),"月","火","水","木","金","土","日")),"")</f>
        <v/>
      </c>
    </row>
    <row r="451" customFormat="false" ht="15" hidden="false" customHeight="false" outlineLevel="0" collapsed="false">
      <c r="Z451" s="38" t="str">
        <f aca="false">IF(ISNUMBER(A451),IF(COUNTIF(祝日!$A:$A,A451)&gt;0,"祝",CHOOSE(WEEKDAY(A451,2),"月","火","水","木","金","土","日")),"")</f>
        <v/>
      </c>
    </row>
    <row r="452" customFormat="false" ht="15" hidden="false" customHeight="false" outlineLevel="0" collapsed="false">
      <c r="Z452" s="38" t="str">
        <f aca="false">IF(ISNUMBER(A452),IF(COUNTIF(祝日!$A:$A,A452)&gt;0,"祝",CHOOSE(WEEKDAY(A452,2),"月","火","水","木","金","土","日")),"")</f>
        <v/>
      </c>
    </row>
    <row r="453" customFormat="false" ht="15" hidden="false" customHeight="false" outlineLevel="0" collapsed="false">
      <c r="Z453" s="38" t="str">
        <f aca="false">IF(ISNUMBER(A453),IF(COUNTIF(祝日!$A:$A,A453)&gt;0,"祝",CHOOSE(WEEKDAY(A453,2),"月","火","水","木","金","土","日")),"")</f>
        <v/>
      </c>
    </row>
    <row r="454" customFormat="false" ht="15" hidden="false" customHeight="false" outlineLevel="0" collapsed="false">
      <c r="Z454" s="38" t="str">
        <f aca="false">IF(ISNUMBER(A454),IF(COUNTIF(祝日!$A:$A,A454)&gt;0,"祝",CHOOSE(WEEKDAY(A454,2),"月","火","水","木","金","土","日")),"")</f>
        <v/>
      </c>
    </row>
    <row r="455" customFormat="false" ht="15" hidden="false" customHeight="false" outlineLevel="0" collapsed="false">
      <c r="Z455" s="38" t="str">
        <f aca="false">IF(ISNUMBER(A455),IF(COUNTIF(祝日!$A:$A,A455)&gt;0,"祝",CHOOSE(WEEKDAY(A455,2),"月","火","水","木","金","土","日")),"")</f>
        <v/>
      </c>
    </row>
    <row r="456" customFormat="false" ht="15" hidden="false" customHeight="false" outlineLevel="0" collapsed="false">
      <c r="Z456" s="38" t="str">
        <f aca="false">IF(ISNUMBER(A456),IF(COUNTIF(祝日!$A:$A,A456)&gt;0,"祝",CHOOSE(WEEKDAY(A456,2),"月","火","水","木","金","土","日")),"")</f>
        <v/>
      </c>
    </row>
    <row r="457" customFormat="false" ht="15" hidden="false" customHeight="false" outlineLevel="0" collapsed="false">
      <c r="Z457" s="38" t="str">
        <f aca="false">IF(ISNUMBER(A457),IF(COUNTIF(祝日!$A:$A,A457)&gt;0,"祝",CHOOSE(WEEKDAY(A457,2),"月","火","水","木","金","土","日")),"")</f>
        <v/>
      </c>
    </row>
    <row r="458" customFormat="false" ht="15" hidden="false" customHeight="false" outlineLevel="0" collapsed="false">
      <c r="Z458" s="38" t="str">
        <f aca="false">IF(ISNUMBER(A458),IF(COUNTIF(祝日!$A:$A,A458)&gt;0,"祝",CHOOSE(WEEKDAY(A458,2),"月","火","水","木","金","土","日")),"")</f>
        <v/>
      </c>
    </row>
    <row r="459" customFormat="false" ht="15" hidden="false" customHeight="false" outlineLevel="0" collapsed="false">
      <c r="Z459" s="38" t="str">
        <f aca="false">IF(ISNUMBER(A459),IF(COUNTIF(祝日!$A:$A,A459)&gt;0,"祝",CHOOSE(WEEKDAY(A459,2),"月","火","水","木","金","土","日")),"")</f>
        <v/>
      </c>
    </row>
    <row r="460" customFormat="false" ht="15" hidden="false" customHeight="false" outlineLevel="0" collapsed="false">
      <c r="Z460" s="38" t="str">
        <f aca="false">IF(ISNUMBER(A460),IF(COUNTIF(祝日!$A:$A,A460)&gt;0,"祝",CHOOSE(WEEKDAY(A460,2),"月","火","水","木","金","土","日")),"")</f>
        <v/>
      </c>
    </row>
    <row r="461" customFormat="false" ht="15" hidden="false" customHeight="false" outlineLevel="0" collapsed="false">
      <c r="Z461" s="38" t="str">
        <f aca="false">IF(ISNUMBER(A461),IF(COUNTIF(祝日!$A:$A,A461)&gt;0,"祝",CHOOSE(WEEKDAY(A461,2),"月","火","水","木","金","土","日")),"")</f>
        <v/>
      </c>
    </row>
    <row r="462" customFormat="false" ht="15" hidden="false" customHeight="false" outlineLevel="0" collapsed="false">
      <c r="Z462" s="38" t="str">
        <f aca="false">IF(ISNUMBER(A462),IF(COUNTIF(祝日!$A:$A,A462)&gt;0,"祝",CHOOSE(WEEKDAY(A462,2),"月","火","水","木","金","土","日")),"")</f>
        <v/>
      </c>
    </row>
    <row r="463" customFormat="false" ht="15" hidden="false" customHeight="false" outlineLevel="0" collapsed="false">
      <c r="Z463" s="38" t="str">
        <f aca="false">IF(ISNUMBER(A463),IF(COUNTIF(祝日!$A:$A,A463)&gt;0,"祝",CHOOSE(WEEKDAY(A463,2),"月","火","水","木","金","土","日")),"")</f>
        <v/>
      </c>
    </row>
    <row r="464" customFormat="false" ht="15" hidden="false" customHeight="false" outlineLevel="0" collapsed="false">
      <c r="Z464" s="38" t="str">
        <f aca="false">IF(ISNUMBER(A464),IF(COUNTIF(祝日!$A:$A,A464)&gt;0,"祝",CHOOSE(WEEKDAY(A464,2),"月","火","水","木","金","土","日")),"")</f>
        <v/>
      </c>
    </row>
    <row r="465" customFormat="false" ht="15" hidden="false" customHeight="false" outlineLevel="0" collapsed="false">
      <c r="Z465" s="38" t="str">
        <f aca="false">IF(ISNUMBER(A465),IF(COUNTIF(祝日!$A:$A,A465)&gt;0,"祝",CHOOSE(WEEKDAY(A465,2),"月","火","水","木","金","土","日")),"")</f>
        <v/>
      </c>
    </row>
    <row r="466" customFormat="false" ht="15" hidden="false" customHeight="false" outlineLevel="0" collapsed="false">
      <c r="Z466" s="38" t="str">
        <f aca="false">IF(ISNUMBER(A466),IF(COUNTIF(祝日!$A:$A,A466)&gt;0,"祝",CHOOSE(WEEKDAY(A466,2),"月","火","水","木","金","土","日")),"")</f>
        <v/>
      </c>
    </row>
    <row r="467" customFormat="false" ht="15" hidden="false" customHeight="false" outlineLevel="0" collapsed="false">
      <c r="Z467" s="38" t="str">
        <f aca="false">IF(ISNUMBER(A467),IF(COUNTIF(祝日!$A:$A,A467)&gt;0,"祝",CHOOSE(WEEKDAY(A467,2),"月","火","水","木","金","土","日")),"")</f>
        <v/>
      </c>
    </row>
    <row r="468" customFormat="false" ht="15" hidden="false" customHeight="false" outlineLevel="0" collapsed="false">
      <c r="Z468" s="38" t="str">
        <f aca="false">IF(ISNUMBER(A468),IF(COUNTIF(祝日!$A:$A,A468)&gt;0,"祝",CHOOSE(WEEKDAY(A468,2),"月","火","水","木","金","土","日")),"")</f>
        <v/>
      </c>
    </row>
    <row r="469" customFormat="false" ht="15" hidden="false" customHeight="false" outlineLevel="0" collapsed="false">
      <c r="Z469" s="38" t="str">
        <f aca="false">IF(ISNUMBER(A469),IF(COUNTIF(祝日!$A:$A,A469)&gt;0,"祝",CHOOSE(WEEKDAY(A469,2),"月","火","水","木","金","土","日")),"")</f>
        <v/>
      </c>
    </row>
    <row r="470" customFormat="false" ht="15" hidden="false" customHeight="false" outlineLevel="0" collapsed="false">
      <c r="Z470" s="38" t="str">
        <f aca="false">IF(ISNUMBER(A470),IF(COUNTIF(祝日!$A:$A,A470)&gt;0,"祝",CHOOSE(WEEKDAY(A470,2),"月","火","水","木","金","土","日")),"")</f>
        <v/>
      </c>
    </row>
    <row r="471" customFormat="false" ht="15" hidden="false" customHeight="false" outlineLevel="0" collapsed="false">
      <c r="Z471" s="38" t="str">
        <f aca="false">IF(ISNUMBER(A471),IF(COUNTIF(祝日!$A:$A,A471)&gt;0,"祝",CHOOSE(WEEKDAY(A471,2),"月","火","水","木","金","土","日")),"")</f>
        <v/>
      </c>
    </row>
    <row r="472" customFormat="false" ht="15" hidden="false" customHeight="false" outlineLevel="0" collapsed="false">
      <c r="Z472" s="38" t="str">
        <f aca="false">IF(ISNUMBER(A472),IF(COUNTIF(祝日!$A:$A,A472)&gt;0,"祝",CHOOSE(WEEKDAY(A472,2),"月","火","水","木","金","土","日")),"")</f>
        <v/>
      </c>
    </row>
    <row r="473" customFormat="false" ht="15" hidden="false" customHeight="false" outlineLevel="0" collapsed="false">
      <c r="Z473" s="38" t="str">
        <f aca="false">IF(ISNUMBER(A473),IF(COUNTIF(祝日!$A:$A,A473)&gt;0,"祝",CHOOSE(WEEKDAY(A473,2),"月","火","水","木","金","土","日")),"")</f>
        <v/>
      </c>
    </row>
    <row r="474" customFormat="false" ht="15" hidden="false" customHeight="false" outlineLevel="0" collapsed="false">
      <c r="Z474" s="38" t="str">
        <f aca="false">IF(ISNUMBER(A474),IF(COUNTIF(祝日!$A:$A,A474)&gt;0,"祝",CHOOSE(WEEKDAY(A474,2),"月","火","水","木","金","土","日")),"")</f>
        <v/>
      </c>
    </row>
    <row r="475" customFormat="false" ht="15" hidden="false" customHeight="false" outlineLevel="0" collapsed="false">
      <c r="Z475" s="38" t="str">
        <f aca="false">IF(ISNUMBER(A475),IF(COUNTIF(祝日!$A:$A,A475)&gt;0,"祝",CHOOSE(WEEKDAY(A475,2),"月","火","水","木","金","土","日")),"")</f>
        <v/>
      </c>
    </row>
    <row r="476" customFormat="false" ht="15" hidden="false" customHeight="false" outlineLevel="0" collapsed="false">
      <c r="Z476" s="38" t="str">
        <f aca="false">IF(ISNUMBER(A476),IF(COUNTIF(祝日!$A:$A,A476)&gt;0,"祝",CHOOSE(WEEKDAY(A476,2),"月","火","水","木","金","土","日")),"")</f>
        <v/>
      </c>
    </row>
    <row r="477" customFormat="false" ht="15" hidden="false" customHeight="false" outlineLevel="0" collapsed="false">
      <c r="Z477" s="38" t="str">
        <f aca="false">IF(ISNUMBER(A477),IF(COUNTIF(祝日!$A:$A,A477)&gt;0,"祝",CHOOSE(WEEKDAY(A477,2),"月","火","水","木","金","土","日")),"")</f>
        <v/>
      </c>
    </row>
    <row r="478" customFormat="false" ht="15" hidden="false" customHeight="false" outlineLevel="0" collapsed="false">
      <c r="Z478" s="38" t="str">
        <f aca="false">IF(ISNUMBER(A478),IF(COUNTIF(祝日!$A:$A,A478)&gt;0,"祝",CHOOSE(WEEKDAY(A478,2),"月","火","水","木","金","土","日")),"")</f>
        <v/>
      </c>
    </row>
    <row r="479" customFormat="false" ht="15" hidden="false" customHeight="false" outlineLevel="0" collapsed="false">
      <c r="Z479" s="38" t="str">
        <f aca="false">IF(ISNUMBER(A479),IF(COUNTIF(祝日!$A:$A,A479)&gt;0,"祝",CHOOSE(WEEKDAY(A479,2),"月","火","水","木","金","土","日")),"")</f>
        <v/>
      </c>
    </row>
    <row r="480" customFormat="false" ht="15" hidden="false" customHeight="false" outlineLevel="0" collapsed="false">
      <c r="Z480" s="38" t="str">
        <f aca="false">IF(ISNUMBER(A480),IF(COUNTIF(祝日!$A:$A,A480)&gt;0,"祝",CHOOSE(WEEKDAY(A480,2),"月","火","水","木","金","土","日")),"")</f>
        <v/>
      </c>
    </row>
    <row r="481" customFormat="false" ht="15" hidden="false" customHeight="false" outlineLevel="0" collapsed="false">
      <c r="Z481" s="38" t="str">
        <f aca="false">IF(ISNUMBER(A481),IF(COUNTIF(祝日!$A:$A,A481)&gt;0,"祝",CHOOSE(WEEKDAY(A481,2),"月","火","水","木","金","土","日")),"")</f>
        <v/>
      </c>
    </row>
    <row r="482" customFormat="false" ht="15" hidden="false" customHeight="false" outlineLevel="0" collapsed="false">
      <c r="Z482" s="38" t="str">
        <f aca="false">IF(ISNUMBER(A482),IF(COUNTIF(祝日!$A:$A,A482)&gt;0,"祝",CHOOSE(WEEKDAY(A482,2),"月","火","水","木","金","土","日")),"")</f>
        <v/>
      </c>
    </row>
    <row r="483" customFormat="false" ht="15" hidden="false" customHeight="false" outlineLevel="0" collapsed="false">
      <c r="Z483" s="38" t="str">
        <f aca="false">IF(ISNUMBER(A483),IF(COUNTIF(祝日!$A:$A,A483)&gt;0,"祝",CHOOSE(WEEKDAY(A483,2),"月","火","水","木","金","土","日")),"")</f>
        <v/>
      </c>
    </row>
    <row r="484" customFormat="false" ht="15" hidden="false" customHeight="false" outlineLevel="0" collapsed="false">
      <c r="Z484" s="38" t="str">
        <f aca="false">IF(ISNUMBER(A484),IF(COUNTIF(祝日!$A:$A,A484)&gt;0,"祝",CHOOSE(WEEKDAY(A484,2),"月","火","水","木","金","土","日")),"")</f>
        <v/>
      </c>
    </row>
    <row r="485" customFormat="false" ht="15" hidden="false" customHeight="false" outlineLevel="0" collapsed="false">
      <c r="Z485" s="38" t="str">
        <f aca="false">IF(ISNUMBER(A485),IF(COUNTIF(祝日!$A:$A,A485)&gt;0,"祝",CHOOSE(WEEKDAY(A485,2),"月","火","水","木","金","土","日")),"")</f>
        <v/>
      </c>
    </row>
    <row r="486" customFormat="false" ht="15" hidden="false" customHeight="false" outlineLevel="0" collapsed="false">
      <c r="Z486" s="38" t="str">
        <f aca="false">IF(ISNUMBER(A486),IF(COUNTIF(祝日!$A:$A,A486)&gt;0,"祝",CHOOSE(WEEKDAY(A486,2),"月","火","水","木","金","土","日")),"")</f>
        <v/>
      </c>
    </row>
    <row r="487" customFormat="false" ht="15" hidden="false" customHeight="false" outlineLevel="0" collapsed="false">
      <c r="Z487" s="38" t="str">
        <f aca="false">IF(ISNUMBER(A487),IF(COUNTIF(祝日!$A:$A,A487)&gt;0,"祝",CHOOSE(WEEKDAY(A487,2),"月","火","水","木","金","土","日")),"")</f>
        <v/>
      </c>
    </row>
    <row r="488" customFormat="false" ht="15" hidden="false" customHeight="false" outlineLevel="0" collapsed="false">
      <c r="Z488" s="38" t="str">
        <f aca="false">IF(ISNUMBER(A488),IF(COUNTIF(祝日!$A:$A,A488)&gt;0,"祝",CHOOSE(WEEKDAY(A488,2),"月","火","水","木","金","土","日")),"")</f>
        <v/>
      </c>
    </row>
    <row r="489" customFormat="false" ht="15" hidden="false" customHeight="false" outlineLevel="0" collapsed="false">
      <c r="Z489" s="38" t="str">
        <f aca="false">IF(ISNUMBER(A489),IF(COUNTIF(祝日!$A:$A,A489)&gt;0,"祝",CHOOSE(WEEKDAY(A489,2),"月","火","水","木","金","土","日")),"")</f>
        <v/>
      </c>
    </row>
    <row r="490" customFormat="false" ht="15" hidden="false" customHeight="false" outlineLevel="0" collapsed="false">
      <c r="Z490" s="38" t="str">
        <f aca="false">IF(ISNUMBER(A490),IF(COUNTIF(祝日!$A:$A,A490)&gt;0,"祝",CHOOSE(WEEKDAY(A490,2),"月","火","水","木","金","土","日")),"")</f>
        <v/>
      </c>
    </row>
    <row r="491" customFormat="false" ht="15" hidden="false" customHeight="false" outlineLevel="0" collapsed="false">
      <c r="Z491" s="38" t="str">
        <f aca="false">IF(ISNUMBER(A491),IF(COUNTIF(祝日!$A:$A,A491)&gt;0,"祝",CHOOSE(WEEKDAY(A491,2),"月","火","水","木","金","土","日")),"")</f>
        <v/>
      </c>
    </row>
    <row r="492" customFormat="false" ht="15" hidden="false" customHeight="false" outlineLevel="0" collapsed="false">
      <c r="Z492" s="38" t="str">
        <f aca="false">IF(ISNUMBER(A492),IF(COUNTIF(祝日!$A:$A,A492)&gt;0,"祝",CHOOSE(WEEKDAY(A492,2),"月","火","水","木","金","土","日")),"")</f>
        <v/>
      </c>
    </row>
    <row r="493" customFormat="false" ht="15" hidden="false" customHeight="false" outlineLevel="0" collapsed="false">
      <c r="Z493" s="38" t="str">
        <f aca="false">IF(ISNUMBER(A493),IF(COUNTIF(祝日!$A:$A,A493)&gt;0,"祝",CHOOSE(WEEKDAY(A493,2),"月","火","水","木","金","土","日")),"")</f>
        <v/>
      </c>
    </row>
    <row r="494" customFormat="false" ht="15" hidden="false" customHeight="false" outlineLevel="0" collapsed="false">
      <c r="Z494" s="38" t="str">
        <f aca="false">IF(ISNUMBER(A494),IF(COUNTIF(祝日!$A:$A,A494)&gt;0,"祝",CHOOSE(WEEKDAY(A494,2),"月","火","水","木","金","土","日")),"")</f>
        <v/>
      </c>
    </row>
    <row r="495" customFormat="false" ht="15" hidden="false" customHeight="false" outlineLevel="0" collapsed="false">
      <c r="Z495" s="38" t="str">
        <f aca="false">IF(ISNUMBER(A495),IF(COUNTIF(祝日!$A:$A,A495)&gt;0,"祝",CHOOSE(WEEKDAY(A495,2),"月","火","水","木","金","土","日")),"")</f>
        <v/>
      </c>
    </row>
    <row r="496" customFormat="false" ht="15" hidden="false" customHeight="false" outlineLevel="0" collapsed="false">
      <c r="Z496" s="38" t="str">
        <f aca="false">IF(ISNUMBER(A496),IF(COUNTIF(祝日!$A:$A,A496)&gt;0,"祝",CHOOSE(WEEKDAY(A496,2),"月","火","水","木","金","土","日")),"")</f>
        <v/>
      </c>
    </row>
    <row r="497" customFormat="false" ht="15" hidden="false" customHeight="false" outlineLevel="0" collapsed="false">
      <c r="Z497" s="38" t="str">
        <f aca="false">IF(ISNUMBER(A497),IF(COUNTIF(祝日!$A:$A,A497)&gt;0,"祝",CHOOSE(WEEKDAY(A497,2),"月","火","水","木","金","土","日")),"")</f>
        <v/>
      </c>
    </row>
    <row r="498" customFormat="false" ht="15" hidden="false" customHeight="false" outlineLevel="0" collapsed="false">
      <c r="Z498" s="38" t="str">
        <f aca="false">IF(ISNUMBER(A498),IF(COUNTIF(祝日!$A:$A,A498)&gt;0,"祝",CHOOSE(WEEKDAY(A498,2),"月","火","水","木","金","土","日")),"")</f>
        <v/>
      </c>
    </row>
    <row r="499" customFormat="false" ht="15" hidden="false" customHeight="false" outlineLevel="0" collapsed="false">
      <c r="Z499" s="38" t="str">
        <f aca="false">IF(ISNUMBER(A499),IF(COUNTIF(祝日!$A:$A,A499)&gt;0,"祝",CHOOSE(WEEKDAY(A499,2),"月","火","水","木","金","土","日")),"")</f>
        <v/>
      </c>
    </row>
    <row r="500" customFormat="false" ht="15" hidden="false" customHeight="false" outlineLevel="0" collapsed="false">
      <c r="Z500" s="38" t="str">
        <f aca="false">IF(ISNUMBER(A500),IF(COUNTIF(祝日!$A:$A,A500)&gt;0,"祝",CHOOSE(WEEKDAY(A500,2),"月","火","水","木","金","土","日")),"")</f>
        <v/>
      </c>
    </row>
    <row r="501" customFormat="false" ht="15" hidden="false" customHeight="false" outlineLevel="0" collapsed="false">
      <c r="Z501" s="38" t="str">
        <f aca="false">IF(ISNUMBER(A501),IF(COUNTIF(祝日!$A:$A,A501)&gt;0,"祝",CHOOSE(WEEKDAY(A501,2),"月","火","水","木","金","土","日")),"")</f>
        <v/>
      </c>
    </row>
    <row r="502" customFormat="false" ht="15" hidden="false" customHeight="false" outlineLevel="0" collapsed="false">
      <c r="Z502" s="38" t="str">
        <f aca="false">IF(ISNUMBER(A502),IF(COUNTIF(祝日!$A:$A,A502)&gt;0,"祝",CHOOSE(WEEKDAY(A502,2),"月","火","水","木","金","土","日")),"")</f>
        <v/>
      </c>
    </row>
    <row r="503" customFormat="false" ht="15" hidden="false" customHeight="false" outlineLevel="0" collapsed="false">
      <c r="Z503" s="38" t="str">
        <f aca="false">IF(ISNUMBER(A503),IF(COUNTIF(祝日!$A:$A,A503)&gt;0,"祝",CHOOSE(WEEKDAY(A503,2),"月","火","水","木","金","土","日")),"")</f>
        <v/>
      </c>
    </row>
    <row r="504" customFormat="false" ht="15" hidden="false" customHeight="false" outlineLevel="0" collapsed="false">
      <c r="Z504" s="38" t="str">
        <f aca="false">IF(ISNUMBER(A504),IF(COUNTIF(祝日!$A:$A,A504)&gt;0,"祝",CHOOSE(WEEKDAY(A504,2),"月","火","水","木","金","土","日")),"")</f>
        <v/>
      </c>
    </row>
    <row r="505" customFormat="false" ht="15" hidden="false" customHeight="false" outlineLevel="0" collapsed="false">
      <c r="Z505" s="38" t="str">
        <f aca="false">IF(ISNUMBER(A505),IF(COUNTIF(祝日!$A:$A,A505)&gt;0,"祝",CHOOSE(WEEKDAY(A505,2),"月","火","水","木","金","土","日")),"")</f>
        <v/>
      </c>
    </row>
    <row r="506" customFormat="false" ht="15" hidden="false" customHeight="false" outlineLevel="0" collapsed="false">
      <c r="Z506" s="38" t="str">
        <f aca="false">IF(ISNUMBER(A506),IF(COUNTIF(祝日!$A:$A,A506)&gt;0,"祝",CHOOSE(WEEKDAY(A506,2),"月","火","水","木","金","土","日")),"")</f>
        <v/>
      </c>
    </row>
    <row r="507" customFormat="false" ht="15" hidden="false" customHeight="false" outlineLevel="0" collapsed="false">
      <c r="Z507" s="38" t="str">
        <f aca="false">IF(ISNUMBER(A507),IF(COUNTIF(祝日!$A:$A,A507)&gt;0,"祝",CHOOSE(WEEKDAY(A507,2),"月","火","水","木","金","土","日")),"")</f>
        <v/>
      </c>
    </row>
    <row r="508" customFormat="false" ht="15" hidden="false" customHeight="false" outlineLevel="0" collapsed="false">
      <c r="Z508" s="38" t="str">
        <f aca="false">IF(ISNUMBER(A508),IF(COUNTIF(祝日!$A:$A,A508)&gt;0,"祝",CHOOSE(WEEKDAY(A508,2),"月","火","水","木","金","土","日")),"")</f>
        <v/>
      </c>
    </row>
    <row r="509" customFormat="false" ht="15" hidden="false" customHeight="false" outlineLevel="0" collapsed="false">
      <c r="Z509" s="38" t="str">
        <f aca="false">IF(ISNUMBER(A509),IF(COUNTIF(祝日!$A:$A,A509)&gt;0,"祝",CHOOSE(WEEKDAY(A509,2),"月","火","水","木","金","土","日")),"")</f>
        <v/>
      </c>
    </row>
    <row r="510" customFormat="false" ht="15" hidden="false" customHeight="false" outlineLevel="0" collapsed="false">
      <c r="Z510" s="38" t="str">
        <f aca="false">IF(ISNUMBER(A510),IF(COUNTIF(祝日!$A:$A,A510)&gt;0,"祝",CHOOSE(WEEKDAY(A510,2),"月","火","水","木","金","土","日")),"")</f>
        <v/>
      </c>
    </row>
    <row r="511" customFormat="false" ht="15" hidden="false" customHeight="false" outlineLevel="0" collapsed="false">
      <c r="Z511" s="38" t="str">
        <f aca="false">IF(ISNUMBER(A511),IF(COUNTIF(祝日!$A:$A,A511)&gt;0,"祝",CHOOSE(WEEKDAY(A511,2),"月","火","水","木","金","土","日")),"")</f>
        <v/>
      </c>
    </row>
    <row r="512" customFormat="false" ht="15" hidden="false" customHeight="false" outlineLevel="0" collapsed="false">
      <c r="Z512" s="38" t="str">
        <f aca="false">IF(ISNUMBER(A512),IF(COUNTIF(祝日!$A:$A,A512)&gt;0,"祝",CHOOSE(WEEKDAY(A512,2),"月","火","水","木","金","土","日")),"")</f>
        <v/>
      </c>
    </row>
    <row r="513" customFormat="false" ht="15" hidden="false" customHeight="false" outlineLevel="0" collapsed="false">
      <c r="Z513" s="38" t="str">
        <f aca="false">IF(ISNUMBER(A513),IF(COUNTIF(祝日!$A:$A,A513)&gt;0,"祝",CHOOSE(WEEKDAY(A513,2),"月","火","水","木","金","土","日")),"")</f>
        <v/>
      </c>
    </row>
    <row r="514" customFormat="false" ht="15" hidden="false" customHeight="false" outlineLevel="0" collapsed="false">
      <c r="Z514" s="38" t="str">
        <f aca="false">IF(ISNUMBER(A514),IF(COUNTIF(祝日!$A:$A,A514)&gt;0,"祝",CHOOSE(WEEKDAY(A514,2),"月","火","水","木","金","土","日")),"")</f>
        <v/>
      </c>
    </row>
    <row r="515" customFormat="false" ht="15" hidden="false" customHeight="false" outlineLevel="0" collapsed="false">
      <c r="Z515" s="38" t="str">
        <f aca="false">IF(ISNUMBER(A515),IF(COUNTIF(祝日!$A:$A,A515)&gt;0,"祝",CHOOSE(WEEKDAY(A515,2),"月","火","水","木","金","土","日")),"")</f>
        <v/>
      </c>
    </row>
    <row r="516" customFormat="false" ht="15" hidden="false" customHeight="false" outlineLevel="0" collapsed="false">
      <c r="Z516" s="38" t="str">
        <f aca="false">IF(ISNUMBER(A516),IF(COUNTIF(祝日!$A:$A,A516)&gt;0,"祝",CHOOSE(WEEKDAY(A516,2),"月","火","水","木","金","土","日")),"")</f>
        <v/>
      </c>
    </row>
    <row r="517" customFormat="false" ht="15" hidden="false" customHeight="false" outlineLevel="0" collapsed="false">
      <c r="Z517" s="38" t="str">
        <f aca="false">IF(ISNUMBER(A517),IF(COUNTIF(祝日!$A:$A,A517)&gt;0,"祝",CHOOSE(WEEKDAY(A517,2),"月","火","水","木","金","土","日")),"")</f>
        <v/>
      </c>
    </row>
    <row r="518" customFormat="false" ht="15" hidden="false" customHeight="false" outlineLevel="0" collapsed="false">
      <c r="Z518" s="38" t="str">
        <f aca="false">IF(ISNUMBER(A518),IF(COUNTIF(祝日!$A:$A,A518)&gt;0,"祝",CHOOSE(WEEKDAY(A518,2),"月","火","水","木","金","土","日")),"")</f>
        <v/>
      </c>
    </row>
    <row r="519" customFormat="false" ht="15" hidden="false" customHeight="false" outlineLevel="0" collapsed="false">
      <c r="Z519" s="38" t="str">
        <f aca="false">IF(ISNUMBER(A519),IF(COUNTIF(祝日!$A:$A,A519)&gt;0,"祝",CHOOSE(WEEKDAY(A519,2),"月","火","水","木","金","土","日")),"")</f>
        <v/>
      </c>
    </row>
    <row r="520" customFormat="false" ht="15" hidden="false" customHeight="false" outlineLevel="0" collapsed="false">
      <c r="Z520" s="38" t="str">
        <f aca="false">IF(ISNUMBER(A520),IF(COUNTIF(祝日!$A:$A,A520)&gt;0,"祝",CHOOSE(WEEKDAY(A520,2),"月","火","水","木","金","土","日")),"")</f>
        <v/>
      </c>
    </row>
    <row r="521" customFormat="false" ht="15" hidden="false" customHeight="false" outlineLevel="0" collapsed="false">
      <c r="Z521" s="38" t="str">
        <f aca="false">IF(ISNUMBER(A521),IF(COUNTIF(祝日!$A:$A,A521)&gt;0,"祝",CHOOSE(WEEKDAY(A521,2),"月","火","水","木","金","土","日")),"")</f>
        <v/>
      </c>
    </row>
    <row r="522" customFormat="false" ht="15" hidden="false" customHeight="false" outlineLevel="0" collapsed="false">
      <c r="Z522" s="38" t="str">
        <f aca="false">IF(ISNUMBER(A522),IF(COUNTIF(祝日!$A:$A,A522)&gt;0,"祝",CHOOSE(WEEKDAY(A522,2),"月","火","水","木","金","土","日")),"")</f>
        <v/>
      </c>
    </row>
    <row r="523" customFormat="false" ht="15" hidden="false" customHeight="false" outlineLevel="0" collapsed="false">
      <c r="Z523" s="38" t="str">
        <f aca="false">IF(ISNUMBER(A523),IF(COUNTIF(祝日!$A:$A,A523)&gt;0,"祝",CHOOSE(WEEKDAY(A523,2),"月","火","水","木","金","土","日")),"")</f>
        <v/>
      </c>
    </row>
    <row r="524" customFormat="false" ht="15" hidden="false" customHeight="false" outlineLevel="0" collapsed="false">
      <c r="Z524" s="38" t="str">
        <f aca="false">IF(ISNUMBER(A524),IF(COUNTIF(祝日!$A:$A,A524)&gt;0,"祝",CHOOSE(WEEKDAY(A524,2),"月","火","水","木","金","土","日")),"")</f>
        <v/>
      </c>
    </row>
    <row r="525" customFormat="false" ht="15" hidden="false" customHeight="false" outlineLevel="0" collapsed="false">
      <c r="Z525" s="38" t="str">
        <f aca="false">IF(ISNUMBER(A525),IF(COUNTIF(祝日!$A:$A,A525)&gt;0,"祝",CHOOSE(WEEKDAY(A525,2),"月","火","水","木","金","土","日")),"")</f>
        <v/>
      </c>
    </row>
    <row r="526" customFormat="false" ht="15" hidden="false" customHeight="false" outlineLevel="0" collapsed="false">
      <c r="Z526" s="38" t="str">
        <f aca="false">IF(ISNUMBER(A526),IF(COUNTIF(祝日!$A:$A,A526)&gt;0,"祝",CHOOSE(WEEKDAY(A526,2),"月","火","水","木","金","土","日")),"")</f>
        <v/>
      </c>
    </row>
    <row r="527" customFormat="false" ht="15" hidden="false" customHeight="false" outlineLevel="0" collapsed="false">
      <c r="Z527" s="38" t="str">
        <f aca="false">IF(ISNUMBER(A527),IF(COUNTIF(祝日!$A:$A,A527)&gt;0,"祝",CHOOSE(WEEKDAY(A527,2),"月","火","水","木","金","土","日")),"")</f>
        <v/>
      </c>
    </row>
    <row r="528" customFormat="false" ht="15" hidden="false" customHeight="false" outlineLevel="0" collapsed="false">
      <c r="Z528" s="38" t="str">
        <f aca="false">IF(ISNUMBER(A528),IF(COUNTIF(祝日!$A:$A,A528)&gt;0,"祝",CHOOSE(WEEKDAY(A528,2),"月","火","水","木","金","土","日")),"")</f>
        <v/>
      </c>
    </row>
    <row r="529" customFormat="false" ht="15" hidden="false" customHeight="false" outlineLevel="0" collapsed="false">
      <c r="Z529" s="38" t="str">
        <f aca="false">IF(ISNUMBER(A529),IF(COUNTIF(祝日!$A:$A,A529)&gt;0,"祝",CHOOSE(WEEKDAY(A529,2),"月","火","水","木","金","土","日")),"")</f>
        <v/>
      </c>
    </row>
    <row r="530" customFormat="false" ht="15" hidden="false" customHeight="false" outlineLevel="0" collapsed="false">
      <c r="Z530" s="38" t="str">
        <f aca="false">IF(ISNUMBER(A530),IF(COUNTIF(祝日!$A:$A,A530)&gt;0,"祝",CHOOSE(WEEKDAY(A530,2),"月","火","水","木","金","土","日")),"")</f>
        <v/>
      </c>
    </row>
    <row r="531" customFormat="false" ht="15" hidden="false" customHeight="false" outlineLevel="0" collapsed="false">
      <c r="Z531" s="38" t="str">
        <f aca="false">IF(ISNUMBER(A531),IF(COUNTIF(祝日!$A:$A,A531)&gt;0,"祝",CHOOSE(WEEKDAY(A531,2),"月","火","水","木","金","土","日")),"")</f>
        <v/>
      </c>
    </row>
    <row r="532" customFormat="false" ht="15" hidden="false" customHeight="false" outlineLevel="0" collapsed="false">
      <c r="Z532" s="38" t="str">
        <f aca="false">IF(ISNUMBER(A532),IF(COUNTIF(祝日!$A:$A,A532)&gt;0,"祝",CHOOSE(WEEKDAY(A532,2),"月","火","水","木","金","土","日")),"")</f>
        <v/>
      </c>
    </row>
    <row r="533" customFormat="false" ht="15" hidden="false" customHeight="false" outlineLevel="0" collapsed="false">
      <c r="Z533" s="38" t="str">
        <f aca="false">IF(ISNUMBER(A533),IF(COUNTIF(祝日!$A:$A,A533)&gt;0,"祝",CHOOSE(WEEKDAY(A533,2),"月","火","水","木","金","土","日")),"")</f>
        <v/>
      </c>
    </row>
    <row r="534" customFormat="false" ht="15" hidden="false" customHeight="false" outlineLevel="0" collapsed="false">
      <c r="Z534" s="38" t="str">
        <f aca="false">IF(ISNUMBER(A534),IF(COUNTIF(祝日!$A:$A,A534)&gt;0,"祝",CHOOSE(WEEKDAY(A534,2),"月","火","水","木","金","土","日")),"")</f>
        <v/>
      </c>
    </row>
    <row r="535" customFormat="false" ht="15" hidden="false" customHeight="false" outlineLevel="0" collapsed="false">
      <c r="Z535" s="38" t="str">
        <f aca="false">IF(ISNUMBER(A535),IF(COUNTIF(祝日!$A:$A,A535)&gt;0,"祝",CHOOSE(WEEKDAY(A535,2),"月","火","水","木","金","土","日")),"")</f>
        <v/>
      </c>
    </row>
    <row r="536" customFormat="false" ht="15" hidden="false" customHeight="false" outlineLevel="0" collapsed="false">
      <c r="Z536" s="38" t="str">
        <f aca="false">IF(ISNUMBER(A536),IF(COUNTIF(祝日!$A:$A,A536)&gt;0,"祝",CHOOSE(WEEKDAY(A536,2),"月","火","水","木","金","土","日")),"")</f>
        <v/>
      </c>
    </row>
    <row r="537" customFormat="false" ht="15" hidden="false" customHeight="false" outlineLevel="0" collapsed="false">
      <c r="Z537" s="38" t="str">
        <f aca="false">IF(ISNUMBER(A537),IF(COUNTIF(祝日!$A:$A,A537)&gt;0,"祝",CHOOSE(WEEKDAY(A537,2),"月","火","水","木","金","土","日")),"")</f>
        <v/>
      </c>
    </row>
    <row r="538" customFormat="false" ht="15" hidden="false" customHeight="false" outlineLevel="0" collapsed="false">
      <c r="Z538" s="38" t="str">
        <f aca="false">IF(ISNUMBER(A538),IF(COUNTIF(祝日!$A:$A,A538)&gt;0,"祝",CHOOSE(WEEKDAY(A538,2),"月","火","水","木","金","土","日")),"")</f>
        <v/>
      </c>
    </row>
    <row r="539" customFormat="false" ht="15" hidden="false" customHeight="false" outlineLevel="0" collapsed="false">
      <c r="Z539" s="38" t="str">
        <f aca="false">IF(ISNUMBER(A539),IF(COUNTIF(祝日!$A:$A,A539)&gt;0,"祝",CHOOSE(WEEKDAY(A539,2),"月","火","水","木","金","土","日")),"")</f>
        <v/>
      </c>
    </row>
    <row r="540" customFormat="false" ht="15" hidden="false" customHeight="false" outlineLevel="0" collapsed="false">
      <c r="Z540" s="38" t="str">
        <f aca="false">IF(ISNUMBER(A540),IF(COUNTIF(祝日!$A:$A,A540)&gt;0,"祝",CHOOSE(WEEKDAY(A540,2),"月","火","水","木","金","土","日")),"")</f>
        <v/>
      </c>
    </row>
    <row r="541" customFormat="false" ht="15" hidden="false" customHeight="false" outlineLevel="0" collapsed="false">
      <c r="Z541" s="38" t="str">
        <f aca="false">IF(ISNUMBER(A541),IF(COUNTIF(祝日!$A:$A,A541)&gt;0,"祝",CHOOSE(WEEKDAY(A541,2),"月","火","水","木","金","土","日")),"")</f>
        <v/>
      </c>
    </row>
    <row r="542" customFormat="false" ht="15" hidden="false" customHeight="false" outlineLevel="0" collapsed="false">
      <c r="Z542" s="38" t="str">
        <f aca="false">IF(ISNUMBER(A542),IF(COUNTIF(祝日!$A:$A,A542)&gt;0,"祝",CHOOSE(WEEKDAY(A542,2),"月","火","水","木","金","土","日")),"")</f>
        <v/>
      </c>
    </row>
    <row r="543" customFormat="false" ht="15" hidden="false" customHeight="false" outlineLevel="0" collapsed="false">
      <c r="Z543" s="38" t="str">
        <f aca="false">IF(ISNUMBER(A543),IF(COUNTIF(祝日!$A:$A,A543)&gt;0,"祝",CHOOSE(WEEKDAY(A543,2),"月","火","水","木","金","土","日")),"")</f>
        <v/>
      </c>
    </row>
    <row r="544" customFormat="false" ht="15" hidden="false" customHeight="false" outlineLevel="0" collapsed="false">
      <c r="Z544" s="38" t="str">
        <f aca="false">IF(ISNUMBER(A544),IF(COUNTIF(祝日!$A:$A,A544)&gt;0,"祝",CHOOSE(WEEKDAY(A544,2),"月","火","水","木","金","土","日")),"")</f>
        <v/>
      </c>
    </row>
    <row r="545" customFormat="false" ht="15" hidden="false" customHeight="false" outlineLevel="0" collapsed="false">
      <c r="Z545" s="38" t="str">
        <f aca="false">IF(ISNUMBER(A545),IF(COUNTIF(祝日!$A:$A,A545)&gt;0,"祝",CHOOSE(WEEKDAY(A545,2),"月","火","水","木","金","土","日")),"")</f>
        <v/>
      </c>
    </row>
    <row r="546" customFormat="false" ht="15" hidden="false" customHeight="false" outlineLevel="0" collapsed="false">
      <c r="Z546" s="38" t="str">
        <f aca="false">IF(ISNUMBER(A546),IF(COUNTIF(祝日!$A:$A,A546)&gt;0,"祝",CHOOSE(WEEKDAY(A546,2),"月","火","水","木","金","土","日")),"")</f>
        <v/>
      </c>
    </row>
    <row r="547" customFormat="false" ht="15" hidden="false" customHeight="false" outlineLevel="0" collapsed="false">
      <c r="Z547" s="38" t="str">
        <f aca="false">IF(ISNUMBER(A547),IF(COUNTIF(祝日!$A:$A,A547)&gt;0,"祝",CHOOSE(WEEKDAY(A547,2),"月","火","水","木","金","土","日")),"")</f>
        <v/>
      </c>
    </row>
    <row r="548" customFormat="false" ht="15" hidden="false" customHeight="false" outlineLevel="0" collapsed="false">
      <c r="Z548" s="38" t="str">
        <f aca="false">IF(ISNUMBER(A548),IF(COUNTIF(祝日!$A:$A,A548)&gt;0,"祝",CHOOSE(WEEKDAY(A548,2),"月","火","水","木","金","土","日")),"")</f>
        <v/>
      </c>
    </row>
    <row r="549" customFormat="false" ht="15" hidden="false" customHeight="false" outlineLevel="0" collapsed="false">
      <c r="Z549" s="38" t="str">
        <f aca="false">IF(ISNUMBER(A549),IF(COUNTIF(祝日!$A:$A,A549)&gt;0,"祝",CHOOSE(WEEKDAY(A549,2),"月","火","水","木","金","土","日")),"")</f>
        <v/>
      </c>
    </row>
    <row r="550" customFormat="false" ht="15" hidden="false" customHeight="false" outlineLevel="0" collapsed="false">
      <c r="Z550" s="38" t="str">
        <f aca="false">IF(ISNUMBER(A550),IF(COUNTIF(祝日!$A:$A,A550)&gt;0,"祝",CHOOSE(WEEKDAY(A550,2),"月","火","水","木","金","土","日")),"")</f>
        <v/>
      </c>
    </row>
    <row r="551" customFormat="false" ht="15" hidden="false" customHeight="false" outlineLevel="0" collapsed="false">
      <c r="Z551" s="38" t="str">
        <f aca="false">IF(ISNUMBER(A551),IF(COUNTIF(祝日!$A:$A,A551)&gt;0,"祝",CHOOSE(WEEKDAY(A551,2),"月","火","水","木","金","土","日")),"")</f>
        <v/>
      </c>
    </row>
    <row r="552" customFormat="false" ht="15" hidden="false" customHeight="false" outlineLevel="0" collapsed="false">
      <c r="Z552" s="38" t="str">
        <f aca="false">IF(ISNUMBER(A552),IF(COUNTIF(祝日!$A:$A,A552)&gt;0,"祝",CHOOSE(WEEKDAY(A552,2),"月","火","水","木","金","土","日")),"")</f>
        <v/>
      </c>
    </row>
    <row r="553" customFormat="false" ht="15" hidden="false" customHeight="false" outlineLevel="0" collapsed="false">
      <c r="Z553" s="38" t="str">
        <f aca="false">IF(ISNUMBER(A553),IF(COUNTIF(祝日!$A:$A,A553)&gt;0,"祝",CHOOSE(WEEKDAY(A553,2),"月","火","水","木","金","土","日")),"")</f>
        <v/>
      </c>
    </row>
    <row r="554" customFormat="false" ht="15" hidden="false" customHeight="false" outlineLevel="0" collapsed="false">
      <c r="Z554" s="38" t="str">
        <f aca="false">IF(ISNUMBER(A554),IF(COUNTIF(祝日!$A:$A,A554)&gt;0,"祝",CHOOSE(WEEKDAY(A554,2),"月","火","水","木","金","土","日")),"")</f>
        <v/>
      </c>
    </row>
    <row r="555" customFormat="false" ht="15" hidden="false" customHeight="false" outlineLevel="0" collapsed="false">
      <c r="Z555" s="38" t="str">
        <f aca="false">IF(ISNUMBER(A555),IF(COUNTIF(祝日!$A:$A,A555)&gt;0,"祝",CHOOSE(WEEKDAY(A555,2),"月","火","水","木","金","土","日")),"")</f>
        <v/>
      </c>
    </row>
    <row r="556" customFormat="false" ht="15" hidden="false" customHeight="false" outlineLevel="0" collapsed="false">
      <c r="Z556" s="38" t="str">
        <f aca="false">IF(ISNUMBER(A556),IF(COUNTIF(祝日!$A:$A,A556)&gt;0,"祝",CHOOSE(WEEKDAY(A556,2),"月","火","水","木","金","土","日")),"")</f>
        <v/>
      </c>
    </row>
    <row r="557" customFormat="false" ht="15" hidden="false" customHeight="false" outlineLevel="0" collapsed="false">
      <c r="Z557" s="38" t="str">
        <f aca="false">IF(ISNUMBER(A557),IF(COUNTIF(祝日!$A:$A,A557)&gt;0,"祝",CHOOSE(WEEKDAY(A557,2),"月","火","水","木","金","土","日")),"")</f>
        <v/>
      </c>
    </row>
    <row r="558" customFormat="false" ht="15" hidden="false" customHeight="false" outlineLevel="0" collapsed="false">
      <c r="Z558" s="38" t="str">
        <f aca="false">IF(ISNUMBER(A558),IF(COUNTIF(祝日!$A:$A,A558)&gt;0,"祝",CHOOSE(WEEKDAY(A558,2),"月","火","水","木","金","土","日")),"")</f>
        <v/>
      </c>
    </row>
    <row r="559" customFormat="false" ht="15" hidden="false" customHeight="false" outlineLevel="0" collapsed="false">
      <c r="Z559" s="38" t="str">
        <f aca="false">IF(ISNUMBER(A559),IF(COUNTIF(祝日!$A:$A,A559)&gt;0,"祝",CHOOSE(WEEKDAY(A559,2),"月","火","水","木","金","土","日")),"")</f>
        <v/>
      </c>
    </row>
    <row r="560" customFormat="false" ht="15" hidden="false" customHeight="false" outlineLevel="0" collapsed="false">
      <c r="Z560" s="38" t="str">
        <f aca="false">IF(ISNUMBER(A560),IF(COUNTIF(祝日!$A:$A,A560)&gt;0,"祝",CHOOSE(WEEKDAY(A560,2),"月","火","水","木","金","土","日")),"")</f>
        <v/>
      </c>
    </row>
    <row r="561" customFormat="false" ht="15" hidden="false" customHeight="false" outlineLevel="0" collapsed="false">
      <c r="Z561" s="38" t="str">
        <f aca="false">IF(ISNUMBER(A561),IF(COUNTIF(祝日!$A:$A,A561)&gt;0,"祝",CHOOSE(WEEKDAY(A561,2),"月","火","水","木","金","土","日")),"")</f>
        <v/>
      </c>
    </row>
    <row r="562" customFormat="false" ht="15" hidden="false" customHeight="false" outlineLevel="0" collapsed="false">
      <c r="Z562" s="38" t="str">
        <f aca="false">IF(ISNUMBER(A562),IF(COUNTIF(祝日!$A:$A,A562)&gt;0,"祝",CHOOSE(WEEKDAY(A562,2),"月","火","水","木","金","土","日")),"")</f>
        <v/>
      </c>
    </row>
    <row r="563" customFormat="false" ht="15" hidden="false" customHeight="false" outlineLevel="0" collapsed="false">
      <c r="Z563" s="38" t="str">
        <f aca="false">IF(ISNUMBER(A563),IF(COUNTIF(祝日!$A:$A,A563)&gt;0,"祝",CHOOSE(WEEKDAY(A563,2),"月","火","水","木","金","土","日")),"")</f>
        <v/>
      </c>
    </row>
    <row r="564" customFormat="false" ht="15" hidden="false" customHeight="false" outlineLevel="0" collapsed="false">
      <c r="Z564" s="38" t="str">
        <f aca="false">IF(ISNUMBER(A564),IF(COUNTIF(祝日!$A:$A,A564)&gt;0,"祝",CHOOSE(WEEKDAY(A564,2),"月","火","水","木","金","土","日")),"")</f>
        <v/>
      </c>
    </row>
    <row r="565" customFormat="false" ht="15" hidden="false" customHeight="false" outlineLevel="0" collapsed="false">
      <c r="Z565" s="38" t="str">
        <f aca="false">IF(ISNUMBER(A565),IF(COUNTIF(祝日!$A:$A,A565)&gt;0,"祝",CHOOSE(WEEKDAY(A565,2),"月","火","水","木","金","土","日")),"")</f>
        <v/>
      </c>
    </row>
    <row r="566" customFormat="false" ht="15" hidden="false" customHeight="false" outlineLevel="0" collapsed="false">
      <c r="Z566" s="38" t="str">
        <f aca="false">IF(ISNUMBER(A566),IF(COUNTIF(祝日!$A:$A,A566)&gt;0,"祝",CHOOSE(WEEKDAY(A566,2),"月","火","水","木","金","土","日")),"")</f>
        <v/>
      </c>
    </row>
    <row r="567" customFormat="false" ht="15" hidden="false" customHeight="false" outlineLevel="0" collapsed="false">
      <c r="Z567" s="38" t="str">
        <f aca="false">IF(ISNUMBER(A567),IF(COUNTIF(祝日!$A:$A,A567)&gt;0,"祝",CHOOSE(WEEKDAY(A567,2),"月","火","水","木","金","土","日")),"")</f>
        <v/>
      </c>
    </row>
    <row r="568" customFormat="false" ht="15" hidden="false" customHeight="false" outlineLevel="0" collapsed="false">
      <c r="Z568" s="38" t="str">
        <f aca="false">IF(ISNUMBER(A568),IF(COUNTIF(祝日!$A:$A,A568)&gt;0,"祝",CHOOSE(WEEKDAY(A568,2),"月","火","水","木","金","土","日")),"")</f>
        <v/>
      </c>
    </row>
    <row r="569" customFormat="false" ht="15" hidden="false" customHeight="false" outlineLevel="0" collapsed="false">
      <c r="Z569" s="38" t="str">
        <f aca="false">IF(ISNUMBER(A569),IF(COUNTIF(祝日!$A:$A,A569)&gt;0,"祝",CHOOSE(WEEKDAY(A569,2),"月","火","水","木","金","土","日")),"")</f>
        <v/>
      </c>
    </row>
    <row r="570" customFormat="false" ht="15" hidden="false" customHeight="false" outlineLevel="0" collapsed="false">
      <c r="Z570" s="38" t="str">
        <f aca="false">IF(ISNUMBER(A570),IF(COUNTIF(祝日!$A:$A,A570)&gt;0,"祝",CHOOSE(WEEKDAY(A570,2),"月","火","水","木","金","土","日")),"")</f>
        <v/>
      </c>
    </row>
    <row r="571" customFormat="false" ht="15" hidden="false" customHeight="false" outlineLevel="0" collapsed="false">
      <c r="Z571" s="38" t="str">
        <f aca="false">IF(ISNUMBER(A571),IF(COUNTIF(祝日!$A:$A,A571)&gt;0,"祝",CHOOSE(WEEKDAY(A571,2),"月","火","水","木","金","土","日")),"")</f>
        <v/>
      </c>
    </row>
    <row r="572" customFormat="false" ht="15" hidden="false" customHeight="false" outlineLevel="0" collapsed="false">
      <c r="Z572" s="38" t="str">
        <f aca="false">IF(ISNUMBER(A572),IF(COUNTIF(祝日!$A:$A,A572)&gt;0,"祝",CHOOSE(WEEKDAY(A572,2),"月","火","水","木","金","土","日")),"")</f>
        <v/>
      </c>
    </row>
    <row r="573" customFormat="false" ht="15" hidden="false" customHeight="false" outlineLevel="0" collapsed="false">
      <c r="Z573" s="38" t="str">
        <f aca="false">IF(ISNUMBER(A573),IF(COUNTIF(祝日!$A:$A,A573)&gt;0,"祝",CHOOSE(WEEKDAY(A573,2),"月","火","水","木","金","土","日")),"")</f>
        <v/>
      </c>
    </row>
    <row r="574" customFormat="false" ht="15" hidden="false" customHeight="false" outlineLevel="0" collapsed="false">
      <c r="Z574" s="38" t="str">
        <f aca="false">IF(ISNUMBER(A574),IF(COUNTIF(祝日!$A:$A,A574)&gt;0,"祝",CHOOSE(WEEKDAY(A574,2),"月","火","水","木","金","土","日")),"")</f>
        <v/>
      </c>
    </row>
    <row r="575" customFormat="false" ht="15" hidden="false" customHeight="false" outlineLevel="0" collapsed="false">
      <c r="Z575" s="38" t="str">
        <f aca="false">IF(ISNUMBER(A575),IF(COUNTIF(祝日!$A:$A,A575)&gt;0,"祝",CHOOSE(WEEKDAY(A575,2),"月","火","水","木","金","土","日")),"")</f>
        <v/>
      </c>
    </row>
    <row r="576" customFormat="false" ht="15" hidden="false" customHeight="false" outlineLevel="0" collapsed="false">
      <c r="Z576" s="38" t="str">
        <f aca="false">IF(ISNUMBER(A576),IF(COUNTIF(祝日!$A:$A,A576)&gt;0,"祝",CHOOSE(WEEKDAY(A576,2),"月","火","水","木","金","土","日")),"")</f>
        <v/>
      </c>
    </row>
    <row r="577" customFormat="false" ht="15" hidden="false" customHeight="false" outlineLevel="0" collapsed="false">
      <c r="Z577" s="38" t="str">
        <f aca="false">IF(ISNUMBER(A577),IF(COUNTIF(祝日!$A:$A,A577)&gt;0,"祝",CHOOSE(WEEKDAY(A577,2),"月","火","水","木","金","土","日")),"")</f>
        <v/>
      </c>
    </row>
    <row r="578" customFormat="false" ht="15" hidden="false" customHeight="false" outlineLevel="0" collapsed="false">
      <c r="Z578" s="38" t="str">
        <f aca="false">IF(ISNUMBER(A578),IF(COUNTIF(祝日!$A:$A,A578)&gt;0,"祝",CHOOSE(WEEKDAY(A578,2),"月","火","水","木","金","土","日")),"")</f>
        <v/>
      </c>
    </row>
    <row r="579" customFormat="false" ht="15" hidden="false" customHeight="false" outlineLevel="0" collapsed="false">
      <c r="Z579" s="38" t="str">
        <f aca="false">IF(ISNUMBER(A579),IF(COUNTIF(祝日!$A:$A,A579)&gt;0,"祝",CHOOSE(WEEKDAY(A579,2),"月","火","水","木","金","土","日")),"")</f>
        <v/>
      </c>
    </row>
    <row r="580" customFormat="false" ht="15" hidden="false" customHeight="false" outlineLevel="0" collapsed="false">
      <c r="Z580" s="38" t="str">
        <f aca="false">IF(ISNUMBER(A580),IF(COUNTIF(祝日!$A:$A,A580)&gt;0,"祝",CHOOSE(WEEKDAY(A580,2),"月","火","水","木","金","土","日")),"")</f>
        <v/>
      </c>
    </row>
    <row r="581" customFormat="false" ht="15" hidden="false" customHeight="false" outlineLevel="0" collapsed="false">
      <c r="Z581" s="38" t="str">
        <f aca="false">IF(ISNUMBER(A581),IF(COUNTIF(祝日!$A:$A,A581)&gt;0,"祝",CHOOSE(WEEKDAY(A581,2),"月","火","水","木","金","土","日")),"")</f>
        <v/>
      </c>
    </row>
    <row r="582" customFormat="false" ht="15" hidden="false" customHeight="false" outlineLevel="0" collapsed="false">
      <c r="Z582" s="38" t="str">
        <f aca="false">IF(ISNUMBER(A582),IF(COUNTIF(祝日!$A:$A,A582)&gt;0,"祝",CHOOSE(WEEKDAY(A582,2),"月","火","水","木","金","土","日")),"")</f>
        <v/>
      </c>
    </row>
    <row r="583" customFormat="false" ht="15" hidden="false" customHeight="false" outlineLevel="0" collapsed="false">
      <c r="Z583" s="38" t="str">
        <f aca="false">IF(ISNUMBER(A583),IF(COUNTIF(祝日!$A:$A,A583)&gt;0,"祝",CHOOSE(WEEKDAY(A583,2),"月","火","水","木","金","土","日")),"")</f>
        <v/>
      </c>
    </row>
    <row r="584" customFormat="false" ht="15" hidden="false" customHeight="false" outlineLevel="0" collapsed="false">
      <c r="Z584" s="38" t="str">
        <f aca="false">IF(ISNUMBER(A584),IF(COUNTIF(祝日!$A:$A,A584)&gt;0,"祝",CHOOSE(WEEKDAY(A584,2),"月","火","水","木","金","土","日")),"")</f>
        <v/>
      </c>
    </row>
    <row r="585" customFormat="false" ht="15" hidden="false" customHeight="false" outlineLevel="0" collapsed="false">
      <c r="Z585" s="38" t="str">
        <f aca="false">IF(ISNUMBER(A585),IF(COUNTIF(祝日!$A:$A,A585)&gt;0,"祝",CHOOSE(WEEKDAY(A585,2),"月","火","水","木","金","土","日")),"")</f>
        <v/>
      </c>
    </row>
    <row r="586" customFormat="false" ht="15" hidden="false" customHeight="false" outlineLevel="0" collapsed="false">
      <c r="Z586" s="38" t="str">
        <f aca="false">IF(ISNUMBER(A586),IF(COUNTIF(祝日!$A:$A,A586)&gt;0,"祝",CHOOSE(WEEKDAY(A586,2),"月","火","水","木","金","土","日")),"")</f>
        <v/>
      </c>
    </row>
    <row r="587" customFormat="false" ht="15" hidden="false" customHeight="false" outlineLevel="0" collapsed="false">
      <c r="Z587" s="38" t="str">
        <f aca="false">IF(ISNUMBER(A587),IF(COUNTIF(祝日!$A:$A,A587)&gt;0,"祝",CHOOSE(WEEKDAY(A587,2),"月","火","水","木","金","土","日")),"")</f>
        <v/>
      </c>
    </row>
    <row r="588" customFormat="false" ht="15" hidden="false" customHeight="false" outlineLevel="0" collapsed="false">
      <c r="Z588" s="38" t="str">
        <f aca="false">IF(ISNUMBER(A588),IF(COUNTIF(祝日!$A:$A,A588)&gt;0,"祝",CHOOSE(WEEKDAY(A588,2),"月","火","水","木","金","土","日")),"")</f>
        <v/>
      </c>
    </row>
    <row r="589" customFormat="false" ht="15" hidden="false" customHeight="false" outlineLevel="0" collapsed="false">
      <c r="Z589" s="38" t="str">
        <f aca="false">IF(ISNUMBER(A589),IF(COUNTIF(祝日!$A:$A,A589)&gt;0,"祝",CHOOSE(WEEKDAY(A589,2),"月","火","水","木","金","土","日")),"")</f>
        <v/>
      </c>
    </row>
    <row r="590" customFormat="false" ht="15" hidden="false" customHeight="false" outlineLevel="0" collapsed="false">
      <c r="Z590" s="38" t="str">
        <f aca="false">IF(ISNUMBER(A590),IF(COUNTIF(祝日!$A:$A,A590)&gt;0,"祝",CHOOSE(WEEKDAY(A590,2),"月","火","水","木","金","土","日")),"")</f>
        <v/>
      </c>
    </row>
    <row r="591" customFormat="false" ht="15" hidden="false" customHeight="false" outlineLevel="0" collapsed="false">
      <c r="Z591" s="38" t="str">
        <f aca="false">IF(ISNUMBER(A591),IF(COUNTIF(祝日!$A:$A,A591)&gt;0,"祝",CHOOSE(WEEKDAY(A591,2),"月","火","水","木","金","土","日")),"")</f>
        <v/>
      </c>
    </row>
    <row r="592" customFormat="false" ht="15" hidden="false" customHeight="false" outlineLevel="0" collapsed="false">
      <c r="Z592" s="38" t="str">
        <f aca="false">IF(ISNUMBER(A592),IF(COUNTIF(祝日!$A:$A,A592)&gt;0,"祝",CHOOSE(WEEKDAY(A592,2),"月","火","水","木","金","土","日")),"")</f>
        <v/>
      </c>
    </row>
    <row r="593" customFormat="false" ht="15" hidden="false" customHeight="false" outlineLevel="0" collapsed="false">
      <c r="Z593" s="38" t="str">
        <f aca="false">IF(ISNUMBER(A593),IF(COUNTIF(祝日!$A:$A,A593)&gt;0,"祝",CHOOSE(WEEKDAY(A593,2),"月","火","水","木","金","土","日")),"")</f>
        <v/>
      </c>
    </row>
    <row r="594" customFormat="false" ht="15" hidden="false" customHeight="false" outlineLevel="0" collapsed="false">
      <c r="Z594" s="38" t="str">
        <f aca="false">IF(ISNUMBER(A594),IF(COUNTIF(祝日!$A:$A,A594)&gt;0,"祝",CHOOSE(WEEKDAY(A594,2),"月","火","水","木","金","土","日")),"")</f>
        <v/>
      </c>
    </row>
    <row r="595" customFormat="false" ht="15" hidden="false" customHeight="false" outlineLevel="0" collapsed="false">
      <c r="Z595" s="38" t="str">
        <f aca="false">IF(ISNUMBER(A595),IF(COUNTIF(祝日!$A:$A,A595)&gt;0,"祝",CHOOSE(WEEKDAY(A595,2),"月","火","水","木","金","土","日")),"")</f>
        <v/>
      </c>
    </row>
    <row r="596" customFormat="false" ht="15" hidden="false" customHeight="false" outlineLevel="0" collapsed="false">
      <c r="Z596" s="38" t="str">
        <f aca="false">IF(ISNUMBER(A596),IF(COUNTIF(祝日!$A:$A,A596)&gt;0,"祝",CHOOSE(WEEKDAY(A596,2),"月","火","水","木","金","土","日")),"")</f>
        <v/>
      </c>
    </row>
    <row r="597" customFormat="false" ht="15" hidden="false" customHeight="false" outlineLevel="0" collapsed="false">
      <c r="Z597" s="38" t="str">
        <f aca="false">IF(ISNUMBER(A597),IF(COUNTIF(祝日!$A:$A,A597)&gt;0,"祝",CHOOSE(WEEKDAY(A597,2),"月","火","水","木","金","土","日")),"")</f>
        <v/>
      </c>
    </row>
    <row r="598" customFormat="false" ht="15" hidden="false" customHeight="false" outlineLevel="0" collapsed="false">
      <c r="Z598" s="38" t="str">
        <f aca="false">IF(ISNUMBER(A598),IF(COUNTIF(祝日!$A:$A,A598)&gt;0,"祝",CHOOSE(WEEKDAY(A598,2),"月","火","水","木","金","土","日")),"")</f>
        <v/>
      </c>
    </row>
    <row r="599" customFormat="false" ht="15" hidden="false" customHeight="false" outlineLevel="0" collapsed="false">
      <c r="Z599" s="38" t="str">
        <f aca="false">IF(ISNUMBER(A599),IF(COUNTIF(祝日!$A:$A,A599)&gt;0,"祝",CHOOSE(WEEKDAY(A599,2),"月","火","水","木","金","土","日")),"")</f>
        <v/>
      </c>
    </row>
    <row r="600" customFormat="false" ht="15" hidden="false" customHeight="false" outlineLevel="0" collapsed="false">
      <c r="Z600" s="38" t="str">
        <f aca="false">IF(ISNUMBER(A600),IF(COUNTIF(祝日!$A:$A,A600)&gt;0,"祝",CHOOSE(WEEKDAY(A600,2),"月","火","水","木","金","土","日")),"")</f>
        <v/>
      </c>
    </row>
    <row r="601" customFormat="false" ht="15" hidden="false" customHeight="false" outlineLevel="0" collapsed="false">
      <c r="Z601" s="38" t="str">
        <f aca="false">IF(ISNUMBER(A601),IF(COUNTIF(祝日!$A:$A,A601)&gt;0,"祝",CHOOSE(WEEKDAY(A601,2),"月","火","水","木","金","土","日")),"")</f>
        <v/>
      </c>
    </row>
    <row r="602" customFormat="false" ht="15" hidden="false" customHeight="false" outlineLevel="0" collapsed="false">
      <c r="Z602" s="38" t="str">
        <f aca="false">IF(ISNUMBER(A602),IF(COUNTIF(祝日!$A:$A,A602)&gt;0,"祝",CHOOSE(WEEKDAY(A602,2),"月","火","水","木","金","土","日")),"")</f>
        <v/>
      </c>
    </row>
    <row r="603" customFormat="false" ht="15" hidden="false" customHeight="false" outlineLevel="0" collapsed="false">
      <c r="Z603" s="38" t="str">
        <f aca="false">IF(ISNUMBER(A603),IF(COUNTIF(祝日!$A:$A,A603)&gt;0,"祝",CHOOSE(WEEKDAY(A603,2),"月","火","水","木","金","土","日")),"")</f>
        <v/>
      </c>
    </row>
    <row r="604" customFormat="false" ht="15" hidden="false" customHeight="false" outlineLevel="0" collapsed="false">
      <c r="Z604" s="38" t="str">
        <f aca="false">IF(ISNUMBER(A604),IF(COUNTIF(祝日!$A:$A,A604)&gt;0,"祝",CHOOSE(WEEKDAY(A604,2),"月","火","水","木","金","土","日")),"")</f>
        <v/>
      </c>
    </row>
    <row r="605" customFormat="false" ht="15" hidden="false" customHeight="false" outlineLevel="0" collapsed="false">
      <c r="Z605" s="38" t="str">
        <f aca="false">IF(ISNUMBER(A605),IF(COUNTIF(祝日!$A:$A,A605)&gt;0,"祝",CHOOSE(WEEKDAY(A605,2),"月","火","水","木","金","土","日")),"")</f>
        <v/>
      </c>
    </row>
    <row r="606" customFormat="false" ht="15" hidden="false" customHeight="false" outlineLevel="0" collapsed="false">
      <c r="Z606" s="38" t="str">
        <f aca="false">IF(ISNUMBER(A606),IF(COUNTIF(祝日!$A:$A,A606)&gt;0,"祝",CHOOSE(WEEKDAY(A606,2),"月","火","水","木","金","土","日")),"")</f>
        <v/>
      </c>
    </row>
    <row r="607" customFormat="false" ht="15" hidden="false" customHeight="false" outlineLevel="0" collapsed="false">
      <c r="Z607" s="38" t="str">
        <f aca="false">IF(ISNUMBER(A607),IF(COUNTIF(祝日!$A:$A,A607)&gt;0,"祝",CHOOSE(WEEKDAY(A607,2),"月","火","水","木","金","土","日")),"")</f>
        <v/>
      </c>
    </row>
    <row r="608" customFormat="false" ht="15" hidden="false" customHeight="false" outlineLevel="0" collapsed="false">
      <c r="Z608" s="38" t="str">
        <f aca="false">IF(ISNUMBER(A608),IF(COUNTIF(祝日!$A:$A,A608)&gt;0,"祝",CHOOSE(WEEKDAY(A608,2),"月","火","水","木","金","土","日")),"")</f>
        <v/>
      </c>
    </row>
    <row r="609" customFormat="false" ht="15" hidden="false" customHeight="false" outlineLevel="0" collapsed="false">
      <c r="Z609" s="38" t="str">
        <f aca="false">IF(ISNUMBER(A609),IF(COUNTIF(祝日!$A:$A,A609)&gt;0,"祝",CHOOSE(WEEKDAY(A609,2),"月","火","水","木","金","土","日")),"")</f>
        <v/>
      </c>
    </row>
    <row r="610" customFormat="false" ht="15" hidden="false" customHeight="false" outlineLevel="0" collapsed="false">
      <c r="Z610" s="38" t="str">
        <f aca="false">IF(ISNUMBER(A610),IF(COUNTIF(祝日!$A:$A,A610)&gt;0,"祝",CHOOSE(WEEKDAY(A610,2),"月","火","水","木","金","土","日")),"")</f>
        <v/>
      </c>
    </row>
    <row r="611" customFormat="false" ht="15" hidden="false" customHeight="false" outlineLevel="0" collapsed="false">
      <c r="Z611" s="38" t="str">
        <f aca="false">IF(ISNUMBER(A611),IF(COUNTIF(祝日!$A:$A,A611)&gt;0,"祝",CHOOSE(WEEKDAY(A611,2),"月","火","水","木","金","土","日")),"")</f>
        <v/>
      </c>
    </row>
    <row r="612" customFormat="false" ht="15" hidden="false" customHeight="false" outlineLevel="0" collapsed="false">
      <c r="Z612" s="38" t="str">
        <f aca="false">IF(ISNUMBER(A612),IF(COUNTIF(祝日!$A:$A,A612)&gt;0,"祝",CHOOSE(WEEKDAY(A612,2),"月","火","水","木","金","土","日")),"")</f>
        <v/>
      </c>
    </row>
    <row r="613" customFormat="false" ht="15" hidden="false" customHeight="false" outlineLevel="0" collapsed="false">
      <c r="Z613" s="38" t="str">
        <f aca="false">IF(ISNUMBER(A613),IF(COUNTIF(祝日!$A:$A,A613)&gt;0,"祝",CHOOSE(WEEKDAY(A613,2),"月","火","水","木","金","土","日")),"")</f>
        <v/>
      </c>
    </row>
    <row r="614" customFormat="false" ht="15" hidden="false" customHeight="false" outlineLevel="0" collapsed="false">
      <c r="Z614" s="38" t="str">
        <f aca="false">IF(ISNUMBER(A614),IF(COUNTIF(祝日!$A:$A,A614)&gt;0,"祝",CHOOSE(WEEKDAY(A614,2),"月","火","水","木","金","土","日")),"")</f>
        <v/>
      </c>
    </row>
    <row r="615" customFormat="false" ht="15" hidden="false" customHeight="false" outlineLevel="0" collapsed="false">
      <c r="Z615" s="38" t="str">
        <f aca="false">IF(ISNUMBER(A615),IF(COUNTIF(祝日!$A:$A,A615)&gt;0,"祝",CHOOSE(WEEKDAY(A615,2),"月","火","水","木","金","土","日")),"")</f>
        <v/>
      </c>
    </row>
    <row r="616" customFormat="false" ht="15" hidden="false" customHeight="false" outlineLevel="0" collapsed="false">
      <c r="Z616" s="38" t="str">
        <f aca="false">IF(ISNUMBER(A616),IF(COUNTIF(祝日!$A:$A,A616)&gt;0,"祝",CHOOSE(WEEKDAY(A616,2),"月","火","水","木","金","土","日")),"")</f>
        <v/>
      </c>
    </row>
    <row r="617" customFormat="false" ht="15" hidden="false" customHeight="false" outlineLevel="0" collapsed="false">
      <c r="Z617" s="38" t="str">
        <f aca="false">IF(ISNUMBER(A617),IF(COUNTIF(祝日!$A:$A,A617)&gt;0,"祝",CHOOSE(WEEKDAY(A617,2),"月","火","水","木","金","土","日")),"")</f>
        <v/>
      </c>
    </row>
    <row r="618" customFormat="false" ht="15" hidden="false" customHeight="false" outlineLevel="0" collapsed="false">
      <c r="Z618" s="38" t="str">
        <f aca="false">IF(ISNUMBER(A618),IF(COUNTIF(祝日!$A:$A,A618)&gt;0,"祝",CHOOSE(WEEKDAY(A618,2),"月","火","水","木","金","土","日")),"")</f>
        <v/>
      </c>
    </row>
    <row r="619" customFormat="false" ht="15" hidden="false" customHeight="false" outlineLevel="0" collapsed="false">
      <c r="Z619" s="38" t="str">
        <f aca="false">IF(ISNUMBER(A619),IF(COUNTIF(祝日!$A:$A,A619)&gt;0,"祝",CHOOSE(WEEKDAY(A619,2),"月","火","水","木","金","土","日")),"")</f>
        <v/>
      </c>
    </row>
    <row r="620" customFormat="false" ht="15" hidden="false" customHeight="false" outlineLevel="0" collapsed="false">
      <c r="Z620" s="38" t="str">
        <f aca="false">IF(ISNUMBER(A620),IF(COUNTIF(祝日!$A:$A,A620)&gt;0,"祝",CHOOSE(WEEKDAY(A620,2),"月","火","水","木","金","土","日")),"")</f>
        <v/>
      </c>
    </row>
    <row r="621" customFormat="false" ht="15" hidden="false" customHeight="false" outlineLevel="0" collapsed="false">
      <c r="Z621" s="38" t="str">
        <f aca="false">IF(ISNUMBER(A621),IF(COUNTIF(祝日!$A:$A,A621)&gt;0,"祝",CHOOSE(WEEKDAY(A621,2),"月","火","水","木","金","土","日")),"")</f>
        <v/>
      </c>
    </row>
    <row r="622" customFormat="false" ht="15" hidden="false" customHeight="false" outlineLevel="0" collapsed="false">
      <c r="Z622" s="38" t="str">
        <f aca="false">IF(ISNUMBER(A622),IF(COUNTIF(祝日!$A:$A,A622)&gt;0,"祝",CHOOSE(WEEKDAY(A622,2),"月","火","水","木","金","土","日")),"")</f>
        <v/>
      </c>
    </row>
    <row r="623" customFormat="false" ht="15" hidden="false" customHeight="false" outlineLevel="0" collapsed="false">
      <c r="Z623" s="38" t="str">
        <f aca="false">IF(ISNUMBER(A623),IF(COUNTIF(祝日!$A:$A,A623)&gt;0,"祝",CHOOSE(WEEKDAY(A623,2),"月","火","水","木","金","土","日")),"")</f>
        <v/>
      </c>
    </row>
    <row r="624" customFormat="false" ht="15" hidden="false" customHeight="false" outlineLevel="0" collapsed="false">
      <c r="Z624" s="38" t="str">
        <f aca="false">IF(ISNUMBER(A624),IF(COUNTIF(祝日!$A:$A,A624)&gt;0,"祝",CHOOSE(WEEKDAY(A624,2),"月","火","水","木","金","土","日")),"")</f>
        <v/>
      </c>
    </row>
    <row r="625" customFormat="false" ht="15" hidden="false" customHeight="false" outlineLevel="0" collapsed="false">
      <c r="Z625" s="38" t="str">
        <f aca="false">IF(ISNUMBER(A625),IF(COUNTIF(祝日!$A:$A,A625)&gt;0,"祝",CHOOSE(WEEKDAY(A625,2),"月","火","水","木","金","土","日")),"")</f>
        <v/>
      </c>
    </row>
    <row r="626" customFormat="false" ht="15" hidden="false" customHeight="false" outlineLevel="0" collapsed="false">
      <c r="Z626" s="38" t="str">
        <f aca="false">IF(ISNUMBER(A626),IF(COUNTIF(祝日!$A:$A,A626)&gt;0,"祝",CHOOSE(WEEKDAY(A626,2),"月","火","水","木","金","土","日")),"")</f>
        <v/>
      </c>
    </row>
    <row r="627" customFormat="false" ht="15" hidden="false" customHeight="false" outlineLevel="0" collapsed="false">
      <c r="Z627" s="38" t="str">
        <f aca="false">IF(ISNUMBER(A627),IF(COUNTIF(祝日!$A:$A,A627)&gt;0,"祝",CHOOSE(WEEKDAY(A627,2),"月","火","水","木","金","土","日")),"")</f>
        <v/>
      </c>
    </row>
    <row r="628" customFormat="false" ht="15" hidden="false" customHeight="false" outlineLevel="0" collapsed="false">
      <c r="Z628" s="38" t="str">
        <f aca="false">IF(ISNUMBER(A628),IF(COUNTIF(祝日!$A:$A,A628)&gt;0,"祝",CHOOSE(WEEKDAY(A628,2),"月","火","水","木","金","土","日")),"")</f>
        <v/>
      </c>
    </row>
    <row r="629" customFormat="false" ht="15" hidden="false" customHeight="false" outlineLevel="0" collapsed="false">
      <c r="Z629" s="38" t="str">
        <f aca="false">IF(ISNUMBER(A629),IF(COUNTIF(祝日!$A:$A,A629)&gt;0,"祝",CHOOSE(WEEKDAY(A629,2),"月","火","水","木","金","土","日")),"")</f>
        <v/>
      </c>
    </row>
    <row r="630" customFormat="false" ht="15" hidden="false" customHeight="false" outlineLevel="0" collapsed="false">
      <c r="Z630" s="38" t="str">
        <f aca="false">IF(ISNUMBER(A630),IF(COUNTIF(祝日!$A:$A,A630)&gt;0,"祝",CHOOSE(WEEKDAY(A630,2),"月","火","水","木","金","土","日")),"")</f>
        <v/>
      </c>
    </row>
    <row r="631" customFormat="false" ht="15" hidden="false" customHeight="false" outlineLevel="0" collapsed="false">
      <c r="Z631" s="38" t="str">
        <f aca="false">IF(ISNUMBER(A631),IF(COUNTIF(祝日!$A:$A,A631)&gt;0,"祝",CHOOSE(WEEKDAY(A631,2),"月","火","水","木","金","土","日")),"")</f>
        <v/>
      </c>
    </row>
    <row r="632" customFormat="false" ht="15" hidden="false" customHeight="false" outlineLevel="0" collapsed="false">
      <c r="Z632" s="38" t="str">
        <f aca="false">IF(ISNUMBER(A632),IF(COUNTIF(祝日!$A:$A,A632)&gt;0,"祝",CHOOSE(WEEKDAY(A632,2),"月","火","水","木","金","土","日")),"")</f>
        <v/>
      </c>
    </row>
    <row r="633" customFormat="false" ht="15" hidden="false" customHeight="false" outlineLevel="0" collapsed="false">
      <c r="Z633" s="38" t="str">
        <f aca="false">IF(ISNUMBER(A633),IF(COUNTIF(祝日!$A:$A,A633)&gt;0,"祝",CHOOSE(WEEKDAY(A633,2),"月","火","水","木","金","土","日")),"")</f>
        <v/>
      </c>
    </row>
    <row r="634" customFormat="false" ht="15" hidden="false" customHeight="false" outlineLevel="0" collapsed="false">
      <c r="Z634" s="38" t="str">
        <f aca="false">IF(ISNUMBER(A634),IF(COUNTIF(祝日!$A:$A,A634)&gt;0,"祝",CHOOSE(WEEKDAY(A634,2),"月","火","水","木","金","土","日")),"")</f>
        <v/>
      </c>
    </row>
    <row r="635" customFormat="false" ht="15" hidden="false" customHeight="false" outlineLevel="0" collapsed="false">
      <c r="Z635" s="38" t="str">
        <f aca="false">IF(ISNUMBER(A635),IF(COUNTIF(祝日!$A:$A,A635)&gt;0,"祝",CHOOSE(WEEKDAY(A635,2),"月","火","水","木","金","土","日")),"")</f>
        <v/>
      </c>
    </row>
    <row r="636" customFormat="false" ht="15" hidden="false" customHeight="false" outlineLevel="0" collapsed="false">
      <c r="Z636" s="38" t="str">
        <f aca="false">IF(ISNUMBER(A636),IF(COUNTIF(祝日!$A:$A,A636)&gt;0,"祝",CHOOSE(WEEKDAY(A636,2),"月","火","水","木","金","土","日")),"")</f>
        <v/>
      </c>
    </row>
    <row r="637" customFormat="false" ht="15" hidden="false" customHeight="false" outlineLevel="0" collapsed="false">
      <c r="Z637" s="38" t="str">
        <f aca="false">IF(ISNUMBER(A637),IF(COUNTIF(祝日!$A:$A,A637)&gt;0,"祝",CHOOSE(WEEKDAY(A637,2),"月","火","水","木","金","土","日")),"")</f>
        <v/>
      </c>
    </row>
    <row r="638" customFormat="false" ht="15" hidden="false" customHeight="false" outlineLevel="0" collapsed="false">
      <c r="Z638" s="38" t="str">
        <f aca="false">IF(ISNUMBER(A638),IF(COUNTIF(祝日!$A:$A,A638)&gt;0,"祝",CHOOSE(WEEKDAY(A638,2),"月","火","水","木","金","土","日")),"")</f>
        <v/>
      </c>
    </row>
    <row r="639" customFormat="false" ht="15" hidden="false" customHeight="false" outlineLevel="0" collapsed="false">
      <c r="Z639" s="38" t="str">
        <f aca="false">IF(ISNUMBER(A639),IF(COUNTIF(祝日!$A:$A,A639)&gt;0,"祝",CHOOSE(WEEKDAY(A639,2),"月","火","水","木","金","土","日")),"")</f>
        <v/>
      </c>
    </row>
    <row r="640" customFormat="false" ht="15" hidden="false" customHeight="false" outlineLevel="0" collapsed="false">
      <c r="Z640" s="38" t="str">
        <f aca="false">IF(ISNUMBER(A640),IF(COUNTIF(祝日!$A:$A,A640)&gt;0,"祝",CHOOSE(WEEKDAY(A640,2),"月","火","水","木","金","土","日")),"")</f>
        <v/>
      </c>
    </row>
    <row r="641" customFormat="false" ht="15" hidden="false" customHeight="false" outlineLevel="0" collapsed="false">
      <c r="Z641" s="38" t="str">
        <f aca="false">IF(ISNUMBER(A641),IF(COUNTIF(祝日!$A:$A,A641)&gt;0,"祝",CHOOSE(WEEKDAY(A641,2),"月","火","水","木","金","土","日")),"")</f>
        <v/>
      </c>
    </row>
    <row r="642" customFormat="false" ht="15" hidden="false" customHeight="false" outlineLevel="0" collapsed="false">
      <c r="Z642" s="38" t="str">
        <f aca="false">IF(ISNUMBER(A642),IF(COUNTIF(祝日!$A:$A,A642)&gt;0,"祝",CHOOSE(WEEKDAY(A642,2),"月","火","水","木","金","土","日")),"")</f>
        <v/>
      </c>
    </row>
    <row r="643" customFormat="false" ht="15" hidden="false" customHeight="false" outlineLevel="0" collapsed="false">
      <c r="Z643" s="38" t="str">
        <f aca="false">IF(ISNUMBER(A643),IF(COUNTIF(祝日!$A:$A,A643)&gt;0,"祝",CHOOSE(WEEKDAY(A643,2),"月","火","水","木","金","土","日")),"")</f>
        <v/>
      </c>
    </row>
    <row r="644" customFormat="false" ht="15" hidden="false" customHeight="false" outlineLevel="0" collapsed="false">
      <c r="Z644" s="38" t="str">
        <f aca="false">IF(ISNUMBER(A644),IF(COUNTIF(祝日!$A:$A,A644)&gt;0,"祝",CHOOSE(WEEKDAY(A644,2),"月","火","水","木","金","土","日")),"")</f>
        <v/>
      </c>
    </row>
    <row r="645" customFormat="false" ht="15" hidden="false" customHeight="false" outlineLevel="0" collapsed="false">
      <c r="Z645" s="38" t="str">
        <f aca="false">IF(ISNUMBER(A645),IF(COUNTIF(祝日!$A:$A,A645)&gt;0,"祝",CHOOSE(WEEKDAY(A645,2),"月","火","水","木","金","土","日")),"")</f>
        <v/>
      </c>
    </row>
    <row r="646" customFormat="false" ht="15" hidden="false" customHeight="false" outlineLevel="0" collapsed="false">
      <c r="Z646" s="38" t="str">
        <f aca="false">IF(ISNUMBER(A646),IF(COUNTIF(祝日!$A:$A,A646)&gt;0,"祝",CHOOSE(WEEKDAY(A646,2),"月","火","水","木","金","土","日")),"")</f>
        <v/>
      </c>
    </row>
    <row r="647" customFormat="false" ht="15" hidden="false" customHeight="false" outlineLevel="0" collapsed="false">
      <c r="Z647" s="38" t="str">
        <f aca="false">IF(ISNUMBER(A647),IF(COUNTIF(祝日!$A:$A,A647)&gt;0,"祝",CHOOSE(WEEKDAY(A647,2),"月","火","水","木","金","土","日")),"")</f>
        <v/>
      </c>
    </row>
    <row r="648" customFormat="false" ht="15" hidden="false" customHeight="false" outlineLevel="0" collapsed="false">
      <c r="Z648" s="38" t="str">
        <f aca="false">IF(ISNUMBER(A648),IF(COUNTIF(祝日!$A:$A,A648)&gt;0,"祝",CHOOSE(WEEKDAY(A648,2),"月","火","水","木","金","土","日")),"")</f>
        <v/>
      </c>
    </row>
    <row r="649" customFormat="false" ht="15" hidden="false" customHeight="false" outlineLevel="0" collapsed="false">
      <c r="Z649" s="38" t="str">
        <f aca="false">IF(ISNUMBER(A649),IF(COUNTIF(祝日!$A:$A,A649)&gt;0,"祝",CHOOSE(WEEKDAY(A649,2),"月","火","水","木","金","土","日")),"")</f>
        <v/>
      </c>
    </row>
    <row r="650" customFormat="false" ht="15" hidden="false" customHeight="false" outlineLevel="0" collapsed="false">
      <c r="Z650" s="38" t="str">
        <f aca="false">IF(ISNUMBER(A650),IF(COUNTIF(祝日!$A:$A,A650)&gt;0,"祝",CHOOSE(WEEKDAY(A650,2),"月","火","水","木","金","土","日")),"")</f>
        <v/>
      </c>
    </row>
    <row r="651" customFormat="false" ht="15" hidden="false" customHeight="false" outlineLevel="0" collapsed="false">
      <c r="Z651" s="38" t="str">
        <f aca="false">IF(ISNUMBER(A651),IF(COUNTIF(祝日!$A:$A,A651)&gt;0,"祝",CHOOSE(WEEKDAY(A651,2),"月","火","水","木","金","土","日")),"")</f>
        <v/>
      </c>
    </row>
    <row r="652" customFormat="false" ht="15" hidden="false" customHeight="false" outlineLevel="0" collapsed="false">
      <c r="Z652" s="38" t="str">
        <f aca="false">IF(ISNUMBER(A652),IF(COUNTIF(祝日!$A:$A,A652)&gt;0,"祝",CHOOSE(WEEKDAY(A652,2),"月","火","水","木","金","土","日")),"")</f>
        <v/>
      </c>
    </row>
    <row r="653" customFormat="false" ht="15" hidden="false" customHeight="false" outlineLevel="0" collapsed="false">
      <c r="Z653" s="38" t="str">
        <f aca="false">IF(ISNUMBER(A653),IF(COUNTIF(祝日!$A:$A,A653)&gt;0,"祝",CHOOSE(WEEKDAY(A653,2),"月","火","水","木","金","土","日")),"")</f>
        <v/>
      </c>
    </row>
    <row r="654" customFormat="false" ht="15" hidden="false" customHeight="false" outlineLevel="0" collapsed="false">
      <c r="Z654" s="38" t="str">
        <f aca="false">IF(ISNUMBER(A654),IF(COUNTIF(祝日!$A:$A,A654)&gt;0,"祝",CHOOSE(WEEKDAY(A654,2),"月","火","水","木","金","土","日")),"")</f>
        <v/>
      </c>
    </row>
    <row r="655" customFormat="false" ht="15" hidden="false" customHeight="false" outlineLevel="0" collapsed="false">
      <c r="Z655" s="38" t="str">
        <f aca="false">IF(ISNUMBER(A655),IF(COUNTIF(祝日!$A:$A,A655)&gt;0,"祝",CHOOSE(WEEKDAY(A655,2),"月","火","水","木","金","土","日")),"")</f>
        <v/>
      </c>
    </row>
    <row r="656" customFormat="false" ht="15" hidden="false" customHeight="false" outlineLevel="0" collapsed="false">
      <c r="Z656" s="38" t="str">
        <f aca="false">IF(ISNUMBER(A656),IF(COUNTIF(祝日!$A:$A,A656)&gt;0,"祝",CHOOSE(WEEKDAY(A656,2),"月","火","水","木","金","土","日")),"")</f>
        <v/>
      </c>
    </row>
    <row r="657" customFormat="false" ht="15" hidden="false" customHeight="false" outlineLevel="0" collapsed="false">
      <c r="Z657" s="38" t="str">
        <f aca="false">IF(ISNUMBER(A657),IF(COUNTIF(祝日!$A:$A,A657)&gt;0,"祝",CHOOSE(WEEKDAY(A657,2),"月","火","水","木","金","土","日")),"")</f>
        <v/>
      </c>
    </row>
    <row r="658" customFormat="false" ht="15" hidden="false" customHeight="false" outlineLevel="0" collapsed="false">
      <c r="Z658" s="38" t="str">
        <f aca="false">IF(ISNUMBER(A658),IF(COUNTIF(祝日!$A:$A,A658)&gt;0,"祝",CHOOSE(WEEKDAY(A658,2),"月","火","水","木","金","土","日")),"")</f>
        <v/>
      </c>
    </row>
    <row r="659" customFormat="false" ht="15" hidden="false" customHeight="false" outlineLevel="0" collapsed="false">
      <c r="Z659" s="38" t="str">
        <f aca="false">IF(ISNUMBER(A659),IF(COUNTIF(祝日!$A:$A,A659)&gt;0,"祝",CHOOSE(WEEKDAY(A659,2),"月","火","水","木","金","土","日")),"")</f>
        <v/>
      </c>
    </row>
    <row r="660" customFormat="false" ht="15" hidden="false" customHeight="false" outlineLevel="0" collapsed="false">
      <c r="Z660" s="38" t="str">
        <f aca="false">IF(ISNUMBER(A660),IF(COUNTIF(祝日!$A:$A,A660)&gt;0,"祝",CHOOSE(WEEKDAY(A660,2),"月","火","水","木","金","土","日")),"")</f>
        <v/>
      </c>
    </row>
    <row r="661" customFormat="false" ht="15" hidden="false" customHeight="false" outlineLevel="0" collapsed="false">
      <c r="Z661" s="38" t="str">
        <f aca="false">IF(ISNUMBER(A661),IF(COUNTIF(祝日!$A:$A,A661)&gt;0,"祝",CHOOSE(WEEKDAY(A661,2),"月","火","水","木","金","土","日")),"")</f>
        <v/>
      </c>
    </row>
    <row r="662" customFormat="false" ht="15" hidden="false" customHeight="false" outlineLevel="0" collapsed="false">
      <c r="Z662" s="38" t="str">
        <f aca="false">IF(ISNUMBER(A662),IF(COUNTIF(祝日!$A:$A,A662)&gt;0,"祝",CHOOSE(WEEKDAY(A662,2),"月","火","水","木","金","土","日")),"")</f>
        <v/>
      </c>
    </row>
    <row r="663" customFormat="false" ht="15" hidden="false" customHeight="false" outlineLevel="0" collapsed="false">
      <c r="Z663" s="38" t="str">
        <f aca="false">IF(ISNUMBER(A663),IF(COUNTIF(祝日!$A:$A,A663)&gt;0,"祝",CHOOSE(WEEKDAY(A663,2),"月","火","水","木","金","土","日")),"")</f>
        <v/>
      </c>
    </row>
    <row r="664" customFormat="false" ht="15" hidden="false" customHeight="false" outlineLevel="0" collapsed="false">
      <c r="Z664" s="38" t="str">
        <f aca="false">IF(ISNUMBER(A664),IF(COUNTIF(祝日!$A:$A,A664)&gt;0,"祝",CHOOSE(WEEKDAY(A664,2),"月","火","水","木","金","土","日")),"")</f>
        <v/>
      </c>
    </row>
    <row r="665" customFormat="false" ht="15" hidden="false" customHeight="false" outlineLevel="0" collapsed="false">
      <c r="Z665" s="38" t="str">
        <f aca="false">IF(ISNUMBER(A665),IF(COUNTIF(祝日!$A:$A,A665)&gt;0,"祝",CHOOSE(WEEKDAY(A665,2),"月","火","水","木","金","土","日")),"")</f>
        <v/>
      </c>
    </row>
    <row r="666" customFormat="false" ht="15" hidden="false" customHeight="false" outlineLevel="0" collapsed="false">
      <c r="Z666" s="38" t="str">
        <f aca="false">IF(ISNUMBER(A666),IF(COUNTIF(祝日!$A:$A,A666)&gt;0,"祝",CHOOSE(WEEKDAY(A666,2),"月","火","水","木","金","土","日")),"")</f>
        <v/>
      </c>
    </row>
    <row r="667" customFormat="false" ht="15" hidden="false" customHeight="false" outlineLevel="0" collapsed="false">
      <c r="Z667" s="38" t="str">
        <f aca="false">IF(ISNUMBER(A667),IF(COUNTIF(祝日!$A:$A,A667)&gt;0,"祝",CHOOSE(WEEKDAY(A667,2),"月","火","水","木","金","土","日")),"")</f>
        <v/>
      </c>
    </row>
    <row r="668" customFormat="false" ht="15" hidden="false" customHeight="false" outlineLevel="0" collapsed="false">
      <c r="Z668" s="38" t="str">
        <f aca="false">IF(ISNUMBER(A668),IF(COUNTIF(祝日!$A:$A,A668)&gt;0,"祝",CHOOSE(WEEKDAY(A668,2),"月","火","水","木","金","土","日")),"")</f>
        <v/>
      </c>
    </row>
    <row r="669" customFormat="false" ht="15" hidden="false" customHeight="false" outlineLevel="0" collapsed="false">
      <c r="Z669" s="38" t="str">
        <f aca="false">IF(ISNUMBER(A669),IF(COUNTIF(祝日!$A:$A,A669)&gt;0,"祝",CHOOSE(WEEKDAY(A669,2),"月","火","水","木","金","土","日")),"")</f>
        <v/>
      </c>
    </row>
    <row r="670" customFormat="false" ht="15" hidden="false" customHeight="false" outlineLevel="0" collapsed="false">
      <c r="Z670" s="38" t="str">
        <f aca="false">IF(ISNUMBER(A670),IF(COUNTIF(祝日!$A:$A,A670)&gt;0,"祝",CHOOSE(WEEKDAY(A670,2),"月","火","水","木","金","土","日")),"")</f>
        <v/>
      </c>
    </row>
    <row r="671" customFormat="false" ht="15" hidden="false" customHeight="false" outlineLevel="0" collapsed="false">
      <c r="Z671" s="38" t="str">
        <f aca="false">IF(ISNUMBER(A671),IF(COUNTIF(祝日!$A:$A,A671)&gt;0,"祝",CHOOSE(WEEKDAY(A671,2),"月","火","水","木","金","土","日")),"")</f>
        <v/>
      </c>
    </row>
    <row r="672" customFormat="false" ht="15" hidden="false" customHeight="false" outlineLevel="0" collapsed="false">
      <c r="Z672" s="38" t="str">
        <f aca="false">IF(ISNUMBER(A672),IF(COUNTIF(祝日!$A:$A,A672)&gt;0,"祝",CHOOSE(WEEKDAY(A672,2),"月","火","水","木","金","土","日")),"")</f>
        <v/>
      </c>
    </row>
    <row r="673" customFormat="false" ht="15" hidden="false" customHeight="false" outlineLevel="0" collapsed="false">
      <c r="Z673" s="38" t="str">
        <f aca="false">IF(ISNUMBER(A673),IF(COUNTIF(祝日!$A:$A,A673)&gt;0,"祝",CHOOSE(WEEKDAY(A673,2),"月","火","水","木","金","土","日")),"")</f>
        <v/>
      </c>
    </row>
    <row r="674" customFormat="false" ht="15" hidden="false" customHeight="false" outlineLevel="0" collapsed="false">
      <c r="Z674" s="38" t="str">
        <f aca="false">IF(ISNUMBER(A674),IF(COUNTIF(祝日!$A:$A,A674)&gt;0,"祝",CHOOSE(WEEKDAY(A674,2),"月","火","水","木","金","土","日")),"")</f>
        <v/>
      </c>
    </row>
    <row r="675" customFormat="false" ht="15" hidden="false" customHeight="false" outlineLevel="0" collapsed="false">
      <c r="Z675" s="38" t="str">
        <f aca="false">IF(ISNUMBER(A675),IF(COUNTIF(祝日!$A:$A,A675)&gt;0,"祝",CHOOSE(WEEKDAY(A675,2),"月","火","水","木","金","土","日")),"")</f>
        <v/>
      </c>
    </row>
    <row r="676" customFormat="false" ht="15" hidden="false" customHeight="false" outlineLevel="0" collapsed="false">
      <c r="Z676" s="38" t="str">
        <f aca="false">IF(ISNUMBER(A676),IF(COUNTIF(祝日!$A:$A,A676)&gt;0,"祝",CHOOSE(WEEKDAY(A676,2),"月","火","水","木","金","土","日")),"")</f>
        <v/>
      </c>
    </row>
    <row r="677" customFormat="false" ht="15" hidden="false" customHeight="false" outlineLevel="0" collapsed="false">
      <c r="Z677" s="38" t="str">
        <f aca="false">IF(ISNUMBER(A677),IF(COUNTIF(祝日!$A:$A,A677)&gt;0,"祝",CHOOSE(WEEKDAY(A677,2),"月","火","水","木","金","土","日")),"")</f>
        <v/>
      </c>
    </row>
    <row r="678" customFormat="false" ht="15" hidden="false" customHeight="false" outlineLevel="0" collapsed="false">
      <c r="Z678" s="38" t="str">
        <f aca="false">IF(ISNUMBER(A678),IF(COUNTIF(祝日!$A:$A,A678)&gt;0,"祝",CHOOSE(WEEKDAY(A678,2),"月","火","水","木","金","土","日")),"")</f>
        <v/>
      </c>
    </row>
    <row r="679" customFormat="false" ht="15" hidden="false" customHeight="false" outlineLevel="0" collapsed="false">
      <c r="Z679" s="38" t="str">
        <f aca="false">IF(ISNUMBER(A679),IF(COUNTIF(祝日!$A:$A,A679)&gt;0,"祝",CHOOSE(WEEKDAY(A679,2),"月","火","水","木","金","土","日")),"")</f>
        <v/>
      </c>
    </row>
    <row r="680" customFormat="false" ht="15" hidden="false" customHeight="false" outlineLevel="0" collapsed="false">
      <c r="Z680" s="38" t="str">
        <f aca="false">IF(ISNUMBER(A680),IF(COUNTIF(祝日!$A:$A,A680)&gt;0,"祝",CHOOSE(WEEKDAY(A680,2),"月","火","水","木","金","土","日")),"")</f>
        <v/>
      </c>
    </row>
    <row r="681" customFormat="false" ht="15" hidden="false" customHeight="false" outlineLevel="0" collapsed="false">
      <c r="Z681" s="38" t="str">
        <f aca="false">IF(ISNUMBER(A681),IF(COUNTIF(祝日!$A:$A,A681)&gt;0,"祝",CHOOSE(WEEKDAY(A681,2),"月","火","水","木","金","土","日")),"")</f>
        <v/>
      </c>
    </row>
    <row r="682" customFormat="false" ht="15" hidden="false" customHeight="false" outlineLevel="0" collapsed="false">
      <c r="Z682" s="38" t="str">
        <f aca="false">IF(ISNUMBER(A682),IF(COUNTIF(祝日!$A:$A,A682)&gt;0,"祝",CHOOSE(WEEKDAY(A682,2),"月","火","水","木","金","土","日")),"")</f>
        <v/>
      </c>
    </row>
    <row r="683" customFormat="false" ht="15" hidden="false" customHeight="false" outlineLevel="0" collapsed="false">
      <c r="Z683" s="38" t="str">
        <f aca="false">IF(ISNUMBER(A683),IF(COUNTIF(祝日!$A:$A,A683)&gt;0,"祝",CHOOSE(WEEKDAY(A683,2),"月","火","水","木","金","土","日")),"")</f>
        <v/>
      </c>
    </row>
    <row r="684" customFormat="false" ht="15" hidden="false" customHeight="false" outlineLevel="0" collapsed="false">
      <c r="Z684" s="38" t="str">
        <f aca="false">IF(ISNUMBER(A684),IF(COUNTIF(祝日!$A:$A,A684)&gt;0,"祝",CHOOSE(WEEKDAY(A684,2),"月","火","水","木","金","土","日")),"")</f>
        <v/>
      </c>
    </row>
    <row r="685" customFormat="false" ht="15" hidden="false" customHeight="false" outlineLevel="0" collapsed="false">
      <c r="Z685" s="38" t="str">
        <f aca="false">IF(ISNUMBER(A685),IF(COUNTIF(祝日!$A:$A,A685)&gt;0,"祝",CHOOSE(WEEKDAY(A685,2),"月","火","水","木","金","土","日")),"")</f>
        <v/>
      </c>
    </row>
    <row r="686" customFormat="false" ht="15" hidden="false" customHeight="false" outlineLevel="0" collapsed="false">
      <c r="Z686" s="38" t="str">
        <f aca="false">IF(ISNUMBER(A686),IF(COUNTIF(祝日!$A:$A,A686)&gt;0,"祝",CHOOSE(WEEKDAY(A686,2),"月","火","水","木","金","土","日")),"")</f>
        <v/>
      </c>
    </row>
    <row r="687" customFormat="false" ht="15" hidden="false" customHeight="false" outlineLevel="0" collapsed="false">
      <c r="Z687" s="38" t="str">
        <f aca="false">IF(ISNUMBER(A687),IF(COUNTIF(祝日!$A:$A,A687)&gt;0,"祝",CHOOSE(WEEKDAY(A687,2),"月","火","水","木","金","土","日")),"")</f>
        <v/>
      </c>
    </row>
    <row r="688" customFormat="false" ht="15" hidden="false" customHeight="false" outlineLevel="0" collapsed="false">
      <c r="Z688" s="38" t="str">
        <f aca="false">IF(ISNUMBER(A688),IF(COUNTIF(祝日!$A:$A,A688)&gt;0,"祝",CHOOSE(WEEKDAY(A688,2),"月","火","水","木","金","土","日")),"")</f>
        <v/>
      </c>
    </row>
    <row r="689" customFormat="false" ht="15" hidden="false" customHeight="false" outlineLevel="0" collapsed="false">
      <c r="Z689" s="38" t="str">
        <f aca="false">IF(ISNUMBER(A689),IF(COUNTIF(祝日!$A:$A,A689)&gt;0,"祝",CHOOSE(WEEKDAY(A689,2),"月","火","水","木","金","土","日")),"")</f>
        <v/>
      </c>
    </row>
    <row r="690" customFormat="false" ht="15" hidden="false" customHeight="false" outlineLevel="0" collapsed="false">
      <c r="Z690" s="38" t="str">
        <f aca="false">IF(ISNUMBER(A690),IF(COUNTIF(祝日!$A:$A,A690)&gt;0,"祝",CHOOSE(WEEKDAY(A690,2),"月","火","水","木","金","土","日")),"")</f>
        <v/>
      </c>
    </row>
    <row r="691" customFormat="false" ht="15" hidden="false" customHeight="false" outlineLevel="0" collapsed="false">
      <c r="Z691" s="38" t="str">
        <f aca="false">IF(ISNUMBER(A691),IF(COUNTIF(祝日!$A:$A,A691)&gt;0,"祝",CHOOSE(WEEKDAY(A691,2),"月","火","水","木","金","土","日")),"")</f>
        <v/>
      </c>
    </row>
    <row r="692" customFormat="false" ht="15" hidden="false" customHeight="false" outlineLevel="0" collapsed="false">
      <c r="Z692" s="38" t="str">
        <f aca="false">IF(ISNUMBER(A692),IF(COUNTIF(祝日!$A:$A,A692)&gt;0,"祝",CHOOSE(WEEKDAY(A692,2),"月","火","水","木","金","土","日")),"")</f>
        <v/>
      </c>
    </row>
    <row r="693" customFormat="false" ht="15" hidden="false" customHeight="false" outlineLevel="0" collapsed="false">
      <c r="Z693" s="38" t="str">
        <f aca="false">IF(ISNUMBER(A693),IF(COUNTIF(祝日!$A:$A,A693)&gt;0,"祝",CHOOSE(WEEKDAY(A693,2),"月","火","水","木","金","土","日")),"")</f>
        <v/>
      </c>
    </row>
    <row r="694" customFormat="false" ht="15" hidden="false" customHeight="false" outlineLevel="0" collapsed="false">
      <c r="Z694" s="38" t="str">
        <f aca="false">IF(ISNUMBER(A694),IF(COUNTIF(祝日!$A:$A,A694)&gt;0,"祝",CHOOSE(WEEKDAY(A694,2),"月","火","水","木","金","土","日")),"")</f>
        <v/>
      </c>
    </row>
    <row r="695" customFormat="false" ht="15" hidden="false" customHeight="false" outlineLevel="0" collapsed="false">
      <c r="Z695" s="38" t="str">
        <f aca="false">IF(ISNUMBER(A695),IF(COUNTIF(祝日!$A:$A,A695)&gt;0,"祝",CHOOSE(WEEKDAY(A695,2),"月","火","水","木","金","土","日")),"")</f>
        <v/>
      </c>
    </row>
    <row r="696" customFormat="false" ht="15" hidden="false" customHeight="false" outlineLevel="0" collapsed="false">
      <c r="Z696" s="38" t="str">
        <f aca="false">IF(ISNUMBER(A696),IF(COUNTIF(祝日!$A:$A,A696)&gt;0,"祝",CHOOSE(WEEKDAY(A696,2),"月","火","水","木","金","土","日")),"")</f>
        <v/>
      </c>
    </row>
    <row r="697" customFormat="false" ht="15" hidden="false" customHeight="false" outlineLevel="0" collapsed="false">
      <c r="Z697" s="38" t="str">
        <f aca="false">IF(ISNUMBER(A697),IF(COUNTIF(祝日!$A:$A,A697)&gt;0,"祝",CHOOSE(WEEKDAY(A697,2),"月","火","水","木","金","土","日")),"")</f>
        <v/>
      </c>
    </row>
    <row r="698" customFormat="false" ht="15" hidden="false" customHeight="false" outlineLevel="0" collapsed="false">
      <c r="Z698" s="38" t="str">
        <f aca="false">IF(ISNUMBER(A698),IF(COUNTIF(祝日!$A:$A,A698)&gt;0,"祝",CHOOSE(WEEKDAY(A698,2),"月","火","水","木","金","土","日")),"")</f>
        <v/>
      </c>
    </row>
    <row r="699" customFormat="false" ht="15" hidden="false" customHeight="false" outlineLevel="0" collapsed="false">
      <c r="Z699" s="38" t="str">
        <f aca="false">IF(ISNUMBER(A699),IF(COUNTIF(祝日!$A:$A,A699)&gt;0,"祝",CHOOSE(WEEKDAY(A699,2),"月","火","水","木","金","土","日")),"")</f>
        <v/>
      </c>
    </row>
    <row r="700" customFormat="false" ht="15" hidden="false" customHeight="false" outlineLevel="0" collapsed="false">
      <c r="Z700" s="38" t="str">
        <f aca="false">IF(ISNUMBER(A700),IF(COUNTIF(祝日!$A:$A,A700)&gt;0,"祝",CHOOSE(WEEKDAY(A700,2),"月","火","水","木","金","土","日")),"")</f>
        <v/>
      </c>
    </row>
    <row r="701" customFormat="false" ht="15" hidden="false" customHeight="false" outlineLevel="0" collapsed="false">
      <c r="Z701" s="38" t="str">
        <f aca="false">IF(ISNUMBER(A701),IF(COUNTIF(祝日!$A:$A,A701)&gt;0,"祝",CHOOSE(WEEKDAY(A701,2),"月","火","水","木","金","土","日")),"")</f>
        <v/>
      </c>
    </row>
    <row r="702" customFormat="false" ht="15" hidden="false" customHeight="false" outlineLevel="0" collapsed="false">
      <c r="Z702" s="38" t="str">
        <f aca="false">IF(ISNUMBER(A702),IF(COUNTIF(祝日!$A:$A,A702)&gt;0,"祝",CHOOSE(WEEKDAY(A702,2),"月","火","水","木","金","土","日")),"")</f>
        <v/>
      </c>
    </row>
    <row r="703" customFormat="false" ht="15" hidden="false" customHeight="false" outlineLevel="0" collapsed="false">
      <c r="Z703" s="38" t="str">
        <f aca="false">IF(ISNUMBER(A703),IF(COUNTIF(祝日!$A:$A,A703)&gt;0,"祝",CHOOSE(WEEKDAY(A703,2),"月","火","水","木","金","土","日")),"")</f>
        <v/>
      </c>
    </row>
    <row r="704" customFormat="false" ht="15" hidden="false" customHeight="false" outlineLevel="0" collapsed="false">
      <c r="Z704" s="38" t="str">
        <f aca="false">IF(ISNUMBER(A704),IF(COUNTIF(祝日!$A:$A,A704)&gt;0,"祝",CHOOSE(WEEKDAY(A704,2),"月","火","水","木","金","土","日")),"")</f>
        <v/>
      </c>
    </row>
    <row r="705" customFormat="false" ht="15" hidden="false" customHeight="false" outlineLevel="0" collapsed="false">
      <c r="Z705" s="38" t="str">
        <f aca="false">IF(ISNUMBER(A705),IF(COUNTIF(祝日!$A:$A,A705)&gt;0,"祝",CHOOSE(WEEKDAY(A705,2),"月","火","水","木","金","土","日")),"")</f>
        <v/>
      </c>
    </row>
    <row r="706" customFormat="false" ht="15" hidden="false" customHeight="false" outlineLevel="0" collapsed="false">
      <c r="Z706" s="38" t="str">
        <f aca="false">IF(ISNUMBER(A706),IF(COUNTIF(祝日!$A:$A,A706)&gt;0,"祝",CHOOSE(WEEKDAY(A706,2),"月","火","水","木","金","土","日")),"")</f>
        <v/>
      </c>
    </row>
    <row r="707" customFormat="false" ht="15" hidden="false" customHeight="false" outlineLevel="0" collapsed="false">
      <c r="Z707" s="38" t="str">
        <f aca="false">IF(ISNUMBER(A707),IF(COUNTIF(祝日!$A:$A,A707)&gt;0,"祝",CHOOSE(WEEKDAY(A707,2),"月","火","水","木","金","土","日")),"")</f>
        <v/>
      </c>
    </row>
    <row r="708" customFormat="false" ht="15" hidden="false" customHeight="false" outlineLevel="0" collapsed="false">
      <c r="Z708" s="38" t="str">
        <f aca="false">IF(ISNUMBER(A708),IF(COUNTIF(祝日!$A:$A,A708)&gt;0,"祝",CHOOSE(WEEKDAY(A708,2),"月","火","水","木","金","土","日")),"")</f>
        <v/>
      </c>
    </row>
    <row r="709" customFormat="false" ht="15" hidden="false" customHeight="false" outlineLevel="0" collapsed="false">
      <c r="Z709" s="38" t="str">
        <f aca="false">IF(ISNUMBER(A709),IF(COUNTIF(祝日!$A:$A,A709)&gt;0,"祝",CHOOSE(WEEKDAY(A709,2),"月","火","水","木","金","土","日")),"")</f>
        <v/>
      </c>
    </row>
    <row r="710" customFormat="false" ht="15" hidden="false" customHeight="false" outlineLevel="0" collapsed="false">
      <c r="Z710" s="38" t="str">
        <f aca="false">IF(ISNUMBER(A710),IF(COUNTIF(祝日!$A:$A,A710)&gt;0,"祝",CHOOSE(WEEKDAY(A710,2),"月","火","水","木","金","土","日")),"")</f>
        <v/>
      </c>
    </row>
    <row r="711" customFormat="false" ht="15" hidden="false" customHeight="false" outlineLevel="0" collapsed="false">
      <c r="Z711" s="38" t="str">
        <f aca="false">IF(ISNUMBER(A711),IF(COUNTIF(祝日!$A:$A,A711)&gt;0,"祝",CHOOSE(WEEKDAY(A711,2),"月","火","水","木","金","土","日")),"")</f>
        <v/>
      </c>
    </row>
    <row r="712" customFormat="false" ht="15" hidden="false" customHeight="false" outlineLevel="0" collapsed="false">
      <c r="Z712" s="38" t="str">
        <f aca="false">IF(ISNUMBER(A712),IF(COUNTIF(祝日!$A:$A,A712)&gt;0,"祝",CHOOSE(WEEKDAY(A712,2),"月","火","水","木","金","土","日")),"")</f>
        <v/>
      </c>
    </row>
    <row r="713" customFormat="false" ht="15" hidden="false" customHeight="false" outlineLevel="0" collapsed="false">
      <c r="Z713" s="38" t="str">
        <f aca="false">IF(ISNUMBER(A713),IF(COUNTIF(祝日!$A:$A,A713)&gt;0,"祝",CHOOSE(WEEKDAY(A713,2),"月","火","水","木","金","土","日")),"")</f>
        <v/>
      </c>
    </row>
    <row r="714" customFormat="false" ht="15" hidden="false" customHeight="false" outlineLevel="0" collapsed="false">
      <c r="Z714" s="38" t="str">
        <f aca="false">IF(ISNUMBER(A714),IF(COUNTIF(祝日!$A:$A,A714)&gt;0,"祝",CHOOSE(WEEKDAY(A714,2),"月","火","水","木","金","土","日")),"")</f>
        <v/>
      </c>
    </row>
    <row r="715" customFormat="false" ht="15" hidden="false" customHeight="false" outlineLevel="0" collapsed="false">
      <c r="Z715" s="38" t="str">
        <f aca="false">IF(ISNUMBER(A715),IF(COUNTIF(祝日!$A:$A,A715)&gt;0,"祝",CHOOSE(WEEKDAY(A715,2),"月","火","水","木","金","土","日")),"")</f>
        <v/>
      </c>
    </row>
    <row r="716" customFormat="false" ht="15" hidden="false" customHeight="false" outlineLevel="0" collapsed="false">
      <c r="Z716" s="38" t="str">
        <f aca="false">IF(ISNUMBER(A716),IF(COUNTIF(祝日!$A:$A,A716)&gt;0,"祝",CHOOSE(WEEKDAY(A716,2),"月","火","水","木","金","土","日")),"")</f>
        <v/>
      </c>
    </row>
    <row r="717" customFormat="false" ht="15" hidden="false" customHeight="false" outlineLevel="0" collapsed="false">
      <c r="Z717" s="38" t="str">
        <f aca="false">IF(ISNUMBER(A717),IF(COUNTIF(祝日!$A:$A,A717)&gt;0,"祝",CHOOSE(WEEKDAY(A717,2),"月","火","水","木","金","土","日")),"")</f>
        <v/>
      </c>
    </row>
    <row r="718" customFormat="false" ht="15" hidden="false" customHeight="false" outlineLevel="0" collapsed="false">
      <c r="Z718" s="38" t="str">
        <f aca="false">IF(ISNUMBER(A718),IF(COUNTIF(祝日!$A:$A,A718)&gt;0,"祝",CHOOSE(WEEKDAY(A718,2),"月","火","水","木","金","土","日")),"")</f>
        <v/>
      </c>
    </row>
    <row r="719" customFormat="false" ht="15" hidden="false" customHeight="false" outlineLevel="0" collapsed="false">
      <c r="Z719" s="38" t="str">
        <f aca="false">IF(ISNUMBER(A719),IF(COUNTIF(祝日!$A:$A,A719)&gt;0,"祝",CHOOSE(WEEKDAY(A719,2),"月","火","水","木","金","土","日")),"")</f>
        <v/>
      </c>
    </row>
    <row r="720" customFormat="false" ht="15" hidden="false" customHeight="false" outlineLevel="0" collapsed="false">
      <c r="Z720" s="38" t="str">
        <f aca="false">IF(ISNUMBER(A720),IF(COUNTIF(祝日!$A:$A,A720)&gt;0,"祝",CHOOSE(WEEKDAY(A720,2),"月","火","水","木","金","土","日")),"")</f>
        <v/>
      </c>
    </row>
    <row r="721" customFormat="false" ht="15" hidden="false" customHeight="false" outlineLevel="0" collapsed="false">
      <c r="Z721" s="38" t="str">
        <f aca="false">IF(ISNUMBER(A721),IF(COUNTIF(祝日!$A:$A,A721)&gt;0,"祝",CHOOSE(WEEKDAY(A721,2),"月","火","水","木","金","土","日")),"")</f>
        <v/>
      </c>
    </row>
    <row r="722" customFormat="false" ht="15" hidden="false" customHeight="false" outlineLevel="0" collapsed="false">
      <c r="Z722" s="38" t="str">
        <f aca="false">IF(ISNUMBER(A722),IF(COUNTIF(祝日!$A:$A,A722)&gt;0,"祝",CHOOSE(WEEKDAY(A722,2),"月","火","水","木","金","土","日")),"")</f>
        <v/>
      </c>
    </row>
    <row r="723" customFormat="false" ht="15" hidden="false" customHeight="false" outlineLevel="0" collapsed="false">
      <c r="Z723" s="38" t="str">
        <f aca="false">IF(ISNUMBER(A723),IF(COUNTIF(祝日!$A:$A,A723)&gt;0,"祝",CHOOSE(WEEKDAY(A723,2),"月","火","水","木","金","土","日")),"")</f>
        <v/>
      </c>
    </row>
    <row r="724" customFormat="false" ht="15" hidden="false" customHeight="false" outlineLevel="0" collapsed="false">
      <c r="Z724" s="38" t="str">
        <f aca="false">IF(ISNUMBER(A724),IF(COUNTIF(祝日!$A:$A,A724)&gt;0,"祝",CHOOSE(WEEKDAY(A724,2),"月","火","水","木","金","土","日")),"")</f>
        <v/>
      </c>
    </row>
    <row r="725" customFormat="false" ht="15" hidden="false" customHeight="false" outlineLevel="0" collapsed="false">
      <c r="Z725" s="38" t="str">
        <f aca="false">IF(ISNUMBER(A725),IF(COUNTIF(祝日!$A:$A,A725)&gt;0,"祝",CHOOSE(WEEKDAY(A725,2),"月","火","水","木","金","土","日")),"")</f>
        <v/>
      </c>
    </row>
    <row r="726" customFormat="false" ht="15" hidden="false" customHeight="false" outlineLevel="0" collapsed="false">
      <c r="Z726" s="38" t="str">
        <f aca="false">IF(ISNUMBER(A726),IF(COUNTIF(祝日!$A:$A,A726)&gt;0,"祝",CHOOSE(WEEKDAY(A726,2),"月","火","水","木","金","土","日")),"")</f>
        <v/>
      </c>
    </row>
    <row r="727" customFormat="false" ht="15" hidden="false" customHeight="false" outlineLevel="0" collapsed="false">
      <c r="Z727" s="38" t="str">
        <f aca="false">IF(ISNUMBER(A727),IF(COUNTIF(祝日!$A:$A,A727)&gt;0,"祝",CHOOSE(WEEKDAY(A727,2),"月","火","水","木","金","土","日")),"")</f>
        <v/>
      </c>
    </row>
    <row r="728" customFormat="false" ht="15" hidden="false" customHeight="false" outlineLevel="0" collapsed="false">
      <c r="Z728" s="38" t="str">
        <f aca="false">IF(ISNUMBER(A728),IF(COUNTIF(祝日!$A:$A,A728)&gt;0,"祝",CHOOSE(WEEKDAY(A728,2),"月","火","水","木","金","土","日")),"")</f>
        <v/>
      </c>
    </row>
    <row r="729" customFormat="false" ht="15" hidden="false" customHeight="false" outlineLevel="0" collapsed="false">
      <c r="Z729" s="38" t="str">
        <f aca="false">IF(ISNUMBER(A729),IF(COUNTIF(祝日!$A:$A,A729)&gt;0,"祝",CHOOSE(WEEKDAY(A729,2),"月","火","水","木","金","土","日")),"")</f>
        <v/>
      </c>
    </row>
    <row r="730" customFormat="false" ht="15" hidden="false" customHeight="false" outlineLevel="0" collapsed="false">
      <c r="Z730" s="38" t="str">
        <f aca="false">IF(ISNUMBER(A730),IF(COUNTIF(祝日!$A:$A,A730)&gt;0,"祝",CHOOSE(WEEKDAY(A730,2),"月","火","水","木","金","土","日")),"")</f>
        <v/>
      </c>
    </row>
    <row r="731" customFormat="false" ht="15" hidden="false" customHeight="false" outlineLevel="0" collapsed="false">
      <c r="Z731" s="38" t="str">
        <f aca="false">IF(ISNUMBER(A731),IF(COUNTIF(祝日!$A:$A,A731)&gt;0,"祝",CHOOSE(WEEKDAY(A731,2),"月","火","水","木","金","土","日")),"")</f>
        <v/>
      </c>
    </row>
    <row r="732" customFormat="false" ht="15" hidden="false" customHeight="false" outlineLevel="0" collapsed="false">
      <c r="Z732" s="38" t="str">
        <f aca="false">IF(ISNUMBER(A732),IF(COUNTIF(祝日!$A:$A,A732)&gt;0,"祝",CHOOSE(WEEKDAY(A732,2),"月","火","水","木","金","土","日")),"")</f>
        <v/>
      </c>
    </row>
    <row r="733" customFormat="false" ht="15" hidden="false" customHeight="false" outlineLevel="0" collapsed="false">
      <c r="Z733" s="38" t="str">
        <f aca="false">IF(ISNUMBER(A733),IF(COUNTIF(祝日!$A:$A,A733)&gt;0,"祝",CHOOSE(WEEKDAY(A733,2),"月","火","水","木","金","土","日")),"")</f>
        <v/>
      </c>
    </row>
    <row r="734" customFormat="false" ht="15" hidden="false" customHeight="false" outlineLevel="0" collapsed="false">
      <c r="Z734" s="38" t="str">
        <f aca="false">IF(ISNUMBER(A734),IF(COUNTIF(祝日!$A:$A,A734)&gt;0,"祝",CHOOSE(WEEKDAY(A734,2),"月","火","水","木","金","土","日")),"")</f>
        <v/>
      </c>
    </row>
    <row r="735" customFormat="false" ht="15" hidden="false" customHeight="false" outlineLevel="0" collapsed="false">
      <c r="Z735" s="38" t="str">
        <f aca="false">IF(ISNUMBER(A735),IF(COUNTIF(祝日!$A:$A,A735)&gt;0,"祝",CHOOSE(WEEKDAY(A735,2),"月","火","水","木","金","土","日")),"")</f>
        <v/>
      </c>
    </row>
    <row r="736" customFormat="false" ht="15" hidden="false" customHeight="false" outlineLevel="0" collapsed="false">
      <c r="Z736" s="38" t="str">
        <f aca="false">IF(ISNUMBER(A736),IF(COUNTIF(祝日!$A:$A,A736)&gt;0,"祝",CHOOSE(WEEKDAY(A736,2),"月","火","水","木","金","土","日")),"")</f>
        <v/>
      </c>
    </row>
    <row r="737" customFormat="false" ht="15" hidden="false" customHeight="false" outlineLevel="0" collapsed="false">
      <c r="Z737" s="38" t="str">
        <f aca="false">IF(ISNUMBER(A737),IF(COUNTIF(祝日!$A:$A,A737)&gt;0,"祝",CHOOSE(WEEKDAY(A737,2),"月","火","水","木","金","土","日")),"")</f>
        <v/>
      </c>
    </row>
    <row r="738" customFormat="false" ht="15" hidden="false" customHeight="false" outlineLevel="0" collapsed="false">
      <c r="Z738" s="38" t="str">
        <f aca="false">IF(ISNUMBER(A738),IF(COUNTIF(祝日!$A:$A,A738)&gt;0,"祝",CHOOSE(WEEKDAY(A738,2),"月","火","水","木","金","土","日")),"")</f>
        <v/>
      </c>
    </row>
    <row r="739" customFormat="false" ht="15" hidden="false" customHeight="false" outlineLevel="0" collapsed="false">
      <c r="Z739" s="38" t="str">
        <f aca="false">IF(ISNUMBER(A739),IF(COUNTIF(祝日!$A:$A,A739)&gt;0,"祝",CHOOSE(WEEKDAY(A739,2),"月","火","水","木","金","土","日")),"")</f>
        <v/>
      </c>
    </row>
    <row r="740" customFormat="false" ht="15" hidden="false" customHeight="false" outlineLevel="0" collapsed="false">
      <c r="Z740" s="38" t="str">
        <f aca="false">IF(ISNUMBER(A740),IF(COUNTIF(祝日!$A:$A,A740)&gt;0,"祝",CHOOSE(WEEKDAY(A740,2),"月","火","水","木","金","土","日")),"")</f>
        <v/>
      </c>
    </row>
    <row r="741" customFormat="false" ht="15" hidden="false" customHeight="false" outlineLevel="0" collapsed="false">
      <c r="Z741" s="38" t="str">
        <f aca="false">IF(ISNUMBER(A741),IF(COUNTIF(祝日!$A:$A,A741)&gt;0,"祝",CHOOSE(WEEKDAY(A741,2),"月","火","水","木","金","土","日")),"")</f>
        <v/>
      </c>
    </row>
    <row r="742" customFormat="false" ht="15" hidden="false" customHeight="false" outlineLevel="0" collapsed="false">
      <c r="Z742" s="38" t="str">
        <f aca="false">IF(ISNUMBER(A742),IF(COUNTIF(祝日!$A:$A,A742)&gt;0,"祝",CHOOSE(WEEKDAY(A742,2),"月","火","水","木","金","土","日")),"")</f>
        <v/>
      </c>
    </row>
    <row r="743" customFormat="false" ht="15" hidden="false" customHeight="false" outlineLevel="0" collapsed="false">
      <c r="Z743" s="38" t="str">
        <f aca="false">IF(ISNUMBER(A743),IF(COUNTIF(祝日!$A:$A,A743)&gt;0,"祝",CHOOSE(WEEKDAY(A743,2),"月","火","水","木","金","土","日")),"")</f>
        <v/>
      </c>
    </row>
    <row r="744" customFormat="false" ht="15" hidden="false" customHeight="false" outlineLevel="0" collapsed="false">
      <c r="Z744" s="38" t="str">
        <f aca="false">IF(ISNUMBER(A744),IF(COUNTIF(祝日!$A:$A,A744)&gt;0,"祝",CHOOSE(WEEKDAY(A744,2),"月","火","水","木","金","土","日")),"")</f>
        <v/>
      </c>
    </row>
    <row r="745" customFormat="false" ht="15" hidden="false" customHeight="false" outlineLevel="0" collapsed="false">
      <c r="Z745" s="38" t="str">
        <f aca="false">IF(ISNUMBER(A745),IF(COUNTIF(祝日!$A:$A,A745)&gt;0,"祝",CHOOSE(WEEKDAY(A745,2),"月","火","水","木","金","土","日")),"")</f>
        <v/>
      </c>
    </row>
    <row r="746" customFormat="false" ht="15" hidden="false" customHeight="false" outlineLevel="0" collapsed="false">
      <c r="Z746" s="38" t="str">
        <f aca="false">IF(ISNUMBER(A746),IF(COUNTIF(祝日!$A:$A,A746)&gt;0,"祝",CHOOSE(WEEKDAY(A746,2),"月","火","水","木","金","土","日")),"")</f>
        <v/>
      </c>
    </row>
    <row r="747" customFormat="false" ht="15" hidden="false" customHeight="false" outlineLevel="0" collapsed="false">
      <c r="Z747" s="38" t="str">
        <f aca="false">IF(ISNUMBER(A747),IF(COUNTIF(祝日!$A:$A,A747)&gt;0,"祝",CHOOSE(WEEKDAY(A747,2),"月","火","水","木","金","土","日")),"")</f>
        <v/>
      </c>
    </row>
    <row r="748" customFormat="false" ht="15" hidden="false" customHeight="false" outlineLevel="0" collapsed="false">
      <c r="Z748" s="38" t="str">
        <f aca="false">IF(ISNUMBER(A748),IF(COUNTIF(祝日!$A:$A,A748)&gt;0,"祝",CHOOSE(WEEKDAY(A748,2),"月","火","水","木","金","土","日")),"")</f>
        <v/>
      </c>
    </row>
    <row r="749" customFormat="false" ht="15" hidden="false" customHeight="false" outlineLevel="0" collapsed="false">
      <c r="Z749" s="38" t="str">
        <f aca="false">IF(ISNUMBER(A749),IF(COUNTIF(祝日!$A:$A,A749)&gt;0,"祝",CHOOSE(WEEKDAY(A749,2),"月","火","水","木","金","土","日")),"")</f>
        <v/>
      </c>
    </row>
    <row r="750" customFormat="false" ht="15" hidden="false" customHeight="false" outlineLevel="0" collapsed="false">
      <c r="Z750" s="38" t="str">
        <f aca="false">IF(ISNUMBER(A750),IF(COUNTIF(祝日!$A:$A,A750)&gt;0,"祝",CHOOSE(WEEKDAY(A750,2),"月","火","水","木","金","土","日")),"")</f>
        <v/>
      </c>
    </row>
    <row r="751" customFormat="false" ht="15" hidden="false" customHeight="false" outlineLevel="0" collapsed="false">
      <c r="Z751" s="38" t="str">
        <f aca="false">IF(ISNUMBER(A751),IF(COUNTIF(祝日!$A:$A,A751)&gt;0,"祝",CHOOSE(WEEKDAY(A751,2),"月","火","水","木","金","土","日")),"")</f>
        <v/>
      </c>
    </row>
    <row r="752" customFormat="false" ht="15" hidden="false" customHeight="false" outlineLevel="0" collapsed="false">
      <c r="Z752" s="38" t="str">
        <f aca="false">IF(ISNUMBER(A752),IF(COUNTIF(祝日!$A:$A,A752)&gt;0,"祝",CHOOSE(WEEKDAY(A752,2),"月","火","水","木","金","土","日")),"")</f>
        <v/>
      </c>
    </row>
    <row r="753" customFormat="false" ht="15" hidden="false" customHeight="false" outlineLevel="0" collapsed="false">
      <c r="Z753" s="38" t="str">
        <f aca="false">IF(ISNUMBER(A753),IF(COUNTIF(祝日!$A:$A,A753)&gt;0,"祝",CHOOSE(WEEKDAY(A753,2),"月","火","水","木","金","土","日")),"")</f>
        <v/>
      </c>
    </row>
    <row r="754" customFormat="false" ht="15" hidden="false" customHeight="false" outlineLevel="0" collapsed="false">
      <c r="Z754" s="38" t="str">
        <f aca="false">IF(ISNUMBER(A754),IF(COUNTIF(祝日!$A:$A,A754)&gt;0,"祝",CHOOSE(WEEKDAY(A754,2),"月","火","水","木","金","土","日")),"")</f>
        <v/>
      </c>
    </row>
    <row r="755" customFormat="false" ht="15" hidden="false" customHeight="false" outlineLevel="0" collapsed="false">
      <c r="Z755" s="38" t="str">
        <f aca="false">IF(ISNUMBER(A755),IF(COUNTIF(祝日!$A:$A,A755)&gt;0,"祝",CHOOSE(WEEKDAY(A755,2),"月","火","水","木","金","土","日")),"")</f>
        <v/>
      </c>
    </row>
    <row r="756" customFormat="false" ht="15" hidden="false" customHeight="false" outlineLevel="0" collapsed="false">
      <c r="Z756" s="38" t="str">
        <f aca="false">IF(ISNUMBER(A756),IF(COUNTIF(祝日!$A:$A,A756)&gt;0,"祝",CHOOSE(WEEKDAY(A756,2),"月","火","水","木","金","土","日")),"")</f>
        <v/>
      </c>
    </row>
    <row r="757" customFormat="false" ht="15" hidden="false" customHeight="false" outlineLevel="0" collapsed="false">
      <c r="Z757" s="38" t="str">
        <f aca="false">IF(ISNUMBER(A757),IF(COUNTIF(祝日!$A:$A,A757)&gt;0,"祝",CHOOSE(WEEKDAY(A757,2),"月","火","水","木","金","土","日")),"")</f>
        <v/>
      </c>
    </row>
    <row r="758" customFormat="false" ht="15" hidden="false" customHeight="false" outlineLevel="0" collapsed="false">
      <c r="Z758" s="38" t="str">
        <f aca="false">IF(ISNUMBER(A758),IF(COUNTIF(祝日!$A:$A,A758)&gt;0,"祝",CHOOSE(WEEKDAY(A758,2),"月","火","水","木","金","土","日")),"")</f>
        <v/>
      </c>
    </row>
    <row r="759" customFormat="false" ht="15" hidden="false" customHeight="false" outlineLevel="0" collapsed="false">
      <c r="Z759" s="38" t="str">
        <f aca="false">IF(ISNUMBER(A759),IF(COUNTIF(祝日!$A:$A,A759)&gt;0,"祝",CHOOSE(WEEKDAY(A759,2),"月","火","水","木","金","土","日")),"")</f>
        <v/>
      </c>
    </row>
    <row r="760" customFormat="false" ht="15" hidden="false" customHeight="false" outlineLevel="0" collapsed="false">
      <c r="Z760" s="38" t="str">
        <f aca="false">IF(ISNUMBER(A760),IF(COUNTIF(祝日!$A:$A,A760)&gt;0,"祝",CHOOSE(WEEKDAY(A760,2),"月","火","水","木","金","土","日")),"")</f>
        <v/>
      </c>
    </row>
    <row r="761" customFormat="false" ht="15" hidden="false" customHeight="false" outlineLevel="0" collapsed="false">
      <c r="Z761" s="38" t="str">
        <f aca="false">IF(ISNUMBER(A761),IF(COUNTIF(祝日!$A:$A,A761)&gt;0,"祝",CHOOSE(WEEKDAY(A761,2),"月","火","水","木","金","土","日")),"")</f>
        <v/>
      </c>
    </row>
    <row r="762" customFormat="false" ht="15" hidden="false" customHeight="false" outlineLevel="0" collapsed="false">
      <c r="Z762" s="38" t="str">
        <f aca="false">IF(ISNUMBER(A762),IF(COUNTIF(祝日!$A:$A,A762)&gt;0,"祝",CHOOSE(WEEKDAY(A762,2),"月","火","水","木","金","土","日")),"")</f>
        <v/>
      </c>
    </row>
    <row r="763" customFormat="false" ht="15" hidden="false" customHeight="false" outlineLevel="0" collapsed="false">
      <c r="Z763" s="38" t="str">
        <f aca="false">IF(ISNUMBER(A763),IF(COUNTIF(祝日!$A:$A,A763)&gt;0,"祝",CHOOSE(WEEKDAY(A763,2),"月","火","水","木","金","土","日")),"")</f>
        <v/>
      </c>
    </row>
    <row r="764" customFormat="false" ht="15" hidden="false" customHeight="false" outlineLevel="0" collapsed="false">
      <c r="Z764" s="38" t="str">
        <f aca="false">IF(ISNUMBER(A764),IF(COUNTIF(祝日!$A:$A,A764)&gt;0,"祝",CHOOSE(WEEKDAY(A764,2),"月","火","水","木","金","土","日")),"")</f>
        <v/>
      </c>
    </row>
    <row r="765" customFormat="false" ht="15" hidden="false" customHeight="false" outlineLevel="0" collapsed="false">
      <c r="Z765" s="38" t="str">
        <f aca="false">IF(ISNUMBER(A765),IF(COUNTIF(祝日!$A:$A,A765)&gt;0,"祝",CHOOSE(WEEKDAY(A765,2),"月","火","水","木","金","土","日")),"")</f>
        <v/>
      </c>
    </row>
    <row r="766" customFormat="false" ht="15" hidden="false" customHeight="false" outlineLevel="0" collapsed="false">
      <c r="Z766" s="38" t="str">
        <f aca="false">IF(ISNUMBER(A766),IF(COUNTIF(祝日!$A:$A,A766)&gt;0,"祝",CHOOSE(WEEKDAY(A766,2),"月","火","水","木","金","土","日")),"")</f>
        <v/>
      </c>
    </row>
    <row r="767" customFormat="false" ht="15" hidden="false" customHeight="false" outlineLevel="0" collapsed="false">
      <c r="Z767" s="38" t="str">
        <f aca="false">IF(ISNUMBER(A767),IF(COUNTIF(祝日!$A:$A,A767)&gt;0,"祝",CHOOSE(WEEKDAY(A767,2),"月","火","水","木","金","土","日")),"")</f>
        <v/>
      </c>
    </row>
    <row r="768" customFormat="false" ht="15" hidden="false" customHeight="false" outlineLevel="0" collapsed="false">
      <c r="Z768" s="38" t="str">
        <f aca="false">IF(ISNUMBER(A768),IF(COUNTIF(祝日!$A:$A,A768)&gt;0,"祝",CHOOSE(WEEKDAY(A768,2),"月","火","水","木","金","土","日")),"")</f>
        <v/>
      </c>
    </row>
    <row r="769" customFormat="false" ht="15" hidden="false" customHeight="false" outlineLevel="0" collapsed="false">
      <c r="Z769" s="38" t="str">
        <f aca="false">IF(ISNUMBER(A769),IF(COUNTIF(祝日!$A:$A,A769)&gt;0,"祝",CHOOSE(WEEKDAY(A769,2),"月","火","水","木","金","土","日")),"")</f>
        <v/>
      </c>
    </row>
    <row r="770" customFormat="false" ht="15" hidden="false" customHeight="false" outlineLevel="0" collapsed="false">
      <c r="Z770" s="38" t="str">
        <f aca="false">IF(ISNUMBER(A770),IF(COUNTIF(祝日!$A:$A,A770)&gt;0,"祝",CHOOSE(WEEKDAY(A770,2),"月","火","水","木","金","土","日")),"")</f>
        <v/>
      </c>
    </row>
    <row r="771" customFormat="false" ht="15" hidden="false" customHeight="false" outlineLevel="0" collapsed="false">
      <c r="Z771" s="38" t="str">
        <f aca="false">IF(ISNUMBER(A771),IF(COUNTIF(祝日!$A:$A,A771)&gt;0,"祝",CHOOSE(WEEKDAY(A771,2),"月","火","水","木","金","土","日")),"")</f>
        <v/>
      </c>
    </row>
    <row r="772" customFormat="false" ht="15" hidden="false" customHeight="false" outlineLevel="0" collapsed="false">
      <c r="Z772" s="38" t="str">
        <f aca="false">IF(ISNUMBER(A772),IF(COUNTIF(祝日!$A:$A,A772)&gt;0,"祝",CHOOSE(WEEKDAY(A772,2),"月","火","水","木","金","土","日")),"")</f>
        <v/>
      </c>
    </row>
    <row r="773" customFormat="false" ht="15" hidden="false" customHeight="false" outlineLevel="0" collapsed="false">
      <c r="Z773" s="38" t="str">
        <f aca="false">IF(ISNUMBER(A773),IF(COUNTIF(祝日!$A:$A,A773)&gt;0,"祝",CHOOSE(WEEKDAY(A773,2),"月","火","水","木","金","土","日")),"")</f>
        <v/>
      </c>
    </row>
    <row r="774" customFormat="false" ht="15" hidden="false" customHeight="false" outlineLevel="0" collapsed="false">
      <c r="Z774" s="38" t="str">
        <f aca="false">IF(ISNUMBER(A774),IF(COUNTIF(祝日!$A:$A,A774)&gt;0,"祝",CHOOSE(WEEKDAY(A774,2),"月","火","水","木","金","土","日")),"")</f>
        <v/>
      </c>
    </row>
    <row r="775" customFormat="false" ht="15" hidden="false" customHeight="false" outlineLevel="0" collapsed="false">
      <c r="Z775" s="38" t="str">
        <f aca="false">IF(ISNUMBER(A775),IF(COUNTIF(祝日!$A:$A,A775)&gt;0,"祝",CHOOSE(WEEKDAY(A775,2),"月","火","水","木","金","土","日")),"")</f>
        <v/>
      </c>
    </row>
    <row r="776" customFormat="false" ht="15" hidden="false" customHeight="false" outlineLevel="0" collapsed="false">
      <c r="Z776" s="38" t="str">
        <f aca="false">IF(ISNUMBER(A776),IF(COUNTIF(祝日!$A:$A,A776)&gt;0,"祝",CHOOSE(WEEKDAY(A776,2),"月","火","水","木","金","土","日")),"")</f>
        <v/>
      </c>
    </row>
    <row r="777" customFormat="false" ht="15" hidden="false" customHeight="false" outlineLevel="0" collapsed="false">
      <c r="Z777" s="38" t="str">
        <f aca="false">IF(ISNUMBER(A777),IF(COUNTIF(祝日!$A:$A,A777)&gt;0,"祝",CHOOSE(WEEKDAY(A777,2),"月","火","水","木","金","土","日")),"")</f>
        <v/>
      </c>
    </row>
    <row r="778" customFormat="false" ht="15" hidden="false" customHeight="false" outlineLevel="0" collapsed="false">
      <c r="Z778" s="38" t="str">
        <f aca="false">IF(ISNUMBER(A778),IF(COUNTIF(祝日!$A:$A,A778)&gt;0,"祝",CHOOSE(WEEKDAY(A778,2),"月","火","水","木","金","土","日")),"")</f>
        <v/>
      </c>
    </row>
    <row r="779" customFormat="false" ht="15" hidden="false" customHeight="false" outlineLevel="0" collapsed="false">
      <c r="Z779" s="38" t="str">
        <f aca="false">IF(ISNUMBER(A779),IF(COUNTIF(祝日!$A:$A,A779)&gt;0,"祝",CHOOSE(WEEKDAY(A779,2),"月","火","水","木","金","土","日")),"")</f>
        <v/>
      </c>
    </row>
    <row r="780" customFormat="false" ht="15" hidden="false" customHeight="false" outlineLevel="0" collapsed="false">
      <c r="Z780" s="38" t="str">
        <f aca="false">IF(ISNUMBER(A780),IF(COUNTIF(祝日!$A:$A,A780)&gt;0,"祝",CHOOSE(WEEKDAY(A780,2),"月","火","水","木","金","土","日")),"")</f>
        <v/>
      </c>
    </row>
    <row r="781" customFormat="false" ht="15" hidden="false" customHeight="false" outlineLevel="0" collapsed="false">
      <c r="Z781" s="38" t="str">
        <f aca="false">IF(ISNUMBER(A781),IF(COUNTIF(祝日!$A:$A,A781)&gt;0,"祝",CHOOSE(WEEKDAY(A781,2),"月","火","水","木","金","土","日")),"")</f>
        <v/>
      </c>
    </row>
    <row r="782" customFormat="false" ht="15" hidden="false" customHeight="false" outlineLevel="0" collapsed="false">
      <c r="Z782" s="38" t="str">
        <f aca="false">IF(ISNUMBER(A782),IF(COUNTIF(祝日!$A:$A,A782)&gt;0,"祝",CHOOSE(WEEKDAY(A782,2),"月","火","水","木","金","土","日")),"")</f>
        <v/>
      </c>
    </row>
    <row r="783" customFormat="false" ht="15" hidden="false" customHeight="false" outlineLevel="0" collapsed="false">
      <c r="Z783" s="38" t="str">
        <f aca="false">IF(ISNUMBER(A783),IF(COUNTIF(祝日!$A:$A,A783)&gt;0,"祝",CHOOSE(WEEKDAY(A783,2),"月","火","水","木","金","土","日")),"")</f>
        <v/>
      </c>
    </row>
    <row r="784" customFormat="false" ht="15" hidden="false" customHeight="false" outlineLevel="0" collapsed="false">
      <c r="Z784" s="38" t="str">
        <f aca="false">IF(ISNUMBER(A784),IF(COUNTIF(祝日!$A:$A,A784)&gt;0,"祝",CHOOSE(WEEKDAY(A784,2),"月","火","水","木","金","土","日")),"")</f>
        <v/>
      </c>
    </row>
    <row r="785" customFormat="false" ht="15" hidden="false" customHeight="false" outlineLevel="0" collapsed="false">
      <c r="Z785" s="38" t="str">
        <f aca="false">IF(ISNUMBER(A785),IF(COUNTIF(祝日!$A:$A,A785)&gt;0,"祝",CHOOSE(WEEKDAY(A785,2),"月","火","水","木","金","土","日")),"")</f>
        <v/>
      </c>
    </row>
    <row r="786" customFormat="false" ht="15" hidden="false" customHeight="false" outlineLevel="0" collapsed="false">
      <c r="Z786" s="38" t="str">
        <f aca="false">IF(ISNUMBER(A786),IF(COUNTIF(祝日!$A:$A,A786)&gt;0,"祝",CHOOSE(WEEKDAY(A786,2),"月","火","水","木","金","土","日")),"")</f>
        <v/>
      </c>
    </row>
    <row r="787" customFormat="false" ht="15" hidden="false" customHeight="false" outlineLevel="0" collapsed="false">
      <c r="Z787" s="38" t="str">
        <f aca="false">IF(ISNUMBER(A787),IF(COUNTIF(祝日!$A:$A,A787)&gt;0,"祝",CHOOSE(WEEKDAY(A787,2),"月","火","水","木","金","土","日")),"")</f>
        <v/>
      </c>
    </row>
    <row r="788" customFormat="false" ht="15" hidden="false" customHeight="false" outlineLevel="0" collapsed="false">
      <c r="Z788" s="38" t="str">
        <f aca="false">IF(ISNUMBER(A788),IF(COUNTIF(祝日!$A:$A,A788)&gt;0,"祝",CHOOSE(WEEKDAY(A788,2),"月","火","水","木","金","土","日")),"")</f>
        <v/>
      </c>
    </row>
    <row r="789" customFormat="false" ht="15" hidden="false" customHeight="false" outlineLevel="0" collapsed="false">
      <c r="Z789" s="38" t="str">
        <f aca="false">IF(ISNUMBER(A789),IF(COUNTIF(祝日!$A:$A,A789)&gt;0,"祝",CHOOSE(WEEKDAY(A789,2),"月","火","水","木","金","土","日")),"")</f>
        <v/>
      </c>
    </row>
    <row r="790" customFormat="false" ht="15" hidden="false" customHeight="false" outlineLevel="0" collapsed="false">
      <c r="Z790" s="38" t="str">
        <f aca="false">IF(ISNUMBER(A790),IF(COUNTIF(祝日!$A:$A,A790)&gt;0,"祝",CHOOSE(WEEKDAY(A790,2),"月","火","水","木","金","土","日")),"")</f>
        <v/>
      </c>
    </row>
    <row r="791" customFormat="false" ht="15" hidden="false" customHeight="false" outlineLevel="0" collapsed="false">
      <c r="Z791" s="38" t="str">
        <f aca="false">IF(ISNUMBER(A791),IF(COUNTIF(祝日!$A:$A,A791)&gt;0,"祝",CHOOSE(WEEKDAY(A791,2),"月","火","水","木","金","土","日")),"")</f>
        <v/>
      </c>
    </row>
    <row r="792" customFormat="false" ht="15" hidden="false" customHeight="false" outlineLevel="0" collapsed="false">
      <c r="Z792" s="38" t="str">
        <f aca="false">IF(ISNUMBER(A792),IF(COUNTIF(祝日!$A:$A,A792)&gt;0,"祝",CHOOSE(WEEKDAY(A792,2),"月","火","水","木","金","土","日")),"")</f>
        <v/>
      </c>
    </row>
    <row r="793" customFormat="false" ht="15" hidden="false" customHeight="false" outlineLevel="0" collapsed="false">
      <c r="Z793" s="38" t="str">
        <f aca="false">IF(ISNUMBER(A793),IF(COUNTIF(祝日!$A:$A,A793)&gt;0,"祝",CHOOSE(WEEKDAY(A793,2),"月","火","水","木","金","土","日")),"")</f>
        <v/>
      </c>
    </row>
    <row r="794" customFormat="false" ht="15" hidden="false" customHeight="false" outlineLevel="0" collapsed="false">
      <c r="Z794" s="38" t="str">
        <f aca="false">IF(ISNUMBER(A794),IF(COUNTIF(祝日!$A:$A,A794)&gt;0,"祝",CHOOSE(WEEKDAY(A794,2),"月","火","水","木","金","土","日")),"")</f>
        <v/>
      </c>
    </row>
    <row r="795" customFormat="false" ht="15" hidden="false" customHeight="false" outlineLevel="0" collapsed="false">
      <c r="Z795" s="38" t="str">
        <f aca="false">IF(ISNUMBER(A795),IF(COUNTIF(祝日!$A:$A,A795)&gt;0,"祝",CHOOSE(WEEKDAY(A795,2),"月","火","水","木","金","土","日")),"")</f>
        <v/>
      </c>
    </row>
    <row r="796" customFormat="false" ht="15" hidden="false" customHeight="false" outlineLevel="0" collapsed="false">
      <c r="Z796" s="38" t="str">
        <f aca="false">IF(ISNUMBER(A796),IF(COUNTIF(祝日!$A:$A,A796)&gt;0,"祝",CHOOSE(WEEKDAY(A796,2),"月","火","水","木","金","土","日")),"")</f>
        <v/>
      </c>
    </row>
    <row r="797" customFormat="false" ht="15" hidden="false" customHeight="false" outlineLevel="0" collapsed="false">
      <c r="Z797" s="38" t="str">
        <f aca="false">IF(ISNUMBER(A797),IF(COUNTIF(祝日!$A:$A,A797)&gt;0,"祝",CHOOSE(WEEKDAY(A797,2),"月","火","水","木","金","土","日")),"")</f>
        <v/>
      </c>
    </row>
    <row r="798" customFormat="false" ht="15" hidden="false" customHeight="false" outlineLevel="0" collapsed="false">
      <c r="Z798" s="38" t="str">
        <f aca="false">IF(ISNUMBER(A798),IF(COUNTIF(祝日!$A:$A,A798)&gt;0,"祝",CHOOSE(WEEKDAY(A798,2),"月","火","水","木","金","土","日")),"")</f>
        <v/>
      </c>
    </row>
    <row r="799" customFormat="false" ht="15" hidden="false" customHeight="false" outlineLevel="0" collapsed="false">
      <c r="Z799" s="38" t="str">
        <f aca="false">IF(ISNUMBER(A799),IF(COUNTIF(祝日!$A:$A,A799)&gt;0,"祝",CHOOSE(WEEKDAY(A799,2),"月","火","水","木","金","土","日")),"")</f>
        <v/>
      </c>
    </row>
    <row r="800" customFormat="false" ht="15" hidden="false" customHeight="false" outlineLevel="0" collapsed="false">
      <c r="Z800" s="38" t="str">
        <f aca="false">IF(ISNUMBER(A800),IF(COUNTIF(祝日!$A:$A,A800)&gt;0,"祝",CHOOSE(WEEKDAY(A800,2),"月","火","水","木","金","土","日")),"")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</cols>
  <sheetData>
    <row r="1" customFormat="false" ht="15" hidden="false" customHeight="false" outlineLevel="0" collapsed="false">
      <c r="A1" s="10" t="s">
        <v>26</v>
      </c>
      <c r="B1" s="10" t="s">
        <v>68</v>
      </c>
      <c r="D1" s="29" t="s">
        <v>69</v>
      </c>
    </row>
    <row r="2" customFormat="false" ht="15" hidden="false" customHeight="false" outlineLevel="0" collapsed="false">
      <c r="A2" s="39" t="n">
        <f aca="false">DATE(2025,1,1)</f>
        <v>45658</v>
      </c>
      <c r="B2" s="40" t="s">
        <v>70</v>
      </c>
    </row>
    <row r="3" customFormat="false" ht="15" hidden="false" customHeight="false" outlineLevel="0" collapsed="false">
      <c r="A3" s="39" t="n">
        <f aca="false">DATE(2025,1,13)</f>
        <v>45670</v>
      </c>
      <c r="B3" s="40" t="s">
        <v>71</v>
      </c>
    </row>
    <row r="4" customFormat="false" ht="15" hidden="false" customHeight="false" outlineLevel="0" collapsed="false">
      <c r="A4" s="39" t="n">
        <f aca="false">DATE(2025,2,11)</f>
        <v>45699</v>
      </c>
      <c r="B4" s="40" t="s">
        <v>72</v>
      </c>
    </row>
    <row r="5" customFormat="false" ht="15" hidden="false" customHeight="false" outlineLevel="0" collapsed="false">
      <c r="A5" s="39" t="n">
        <f aca="false">DATE(2025,2,23)</f>
        <v>45711</v>
      </c>
      <c r="B5" s="40" t="s">
        <v>73</v>
      </c>
    </row>
    <row r="6" customFormat="false" ht="15" hidden="false" customHeight="false" outlineLevel="0" collapsed="false">
      <c r="A6" s="39" t="n">
        <f aca="false">DATE(2025,2,24)</f>
        <v>45712</v>
      </c>
      <c r="B6" s="40" t="s">
        <v>74</v>
      </c>
    </row>
    <row r="7" customFormat="false" ht="15" hidden="false" customHeight="false" outlineLevel="0" collapsed="false">
      <c r="A7" s="39" t="n">
        <f aca="false">DATE(2025,3,20)</f>
        <v>45736</v>
      </c>
      <c r="B7" s="40" t="s">
        <v>75</v>
      </c>
    </row>
    <row r="8" customFormat="false" ht="15" hidden="false" customHeight="false" outlineLevel="0" collapsed="false">
      <c r="A8" s="39" t="n">
        <f aca="false">DATE(2025,4,29)</f>
        <v>45776</v>
      </c>
      <c r="B8" s="40" t="s">
        <v>76</v>
      </c>
    </row>
    <row r="9" customFormat="false" ht="15" hidden="false" customHeight="false" outlineLevel="0" collapsed="false">
      <c r="A9" s="39" t="n">
        <f aca="false">DATE(2025,5,3)</f>
        <v>45780</v>
      </c>
      <c r="B9" s="40" t="s">
        <v>77</v>
      </c>
    </row>
    <row r="10" customFormat="false" ht="15" hidden="false" customHeight="false" outlineLevel="0" collapsed="false">
      <c r="A10" s="39" t="n">
        <f aca="false">DATE(2025,5,4)</f>
        <v>45781</v>
      </c>
      <c r="B10" s="40" t="s">
        <v>78</v>
      </c>
    </row>
    <row r="11" customFormat="false" ht="15" hidden="false" customHeight="false" outlineLevel="0" collapsed="false">
      <c r="A11" s="39" t="n">
        <f aca="false">DATE(2025,5,5)</f>
        <v>45782</v>
      </c>
      <c r="B11" s="40" t="s">
        <v>79</v>
      </c>
    </row>
    <row r="12" customFormat="false" ht="15" hidden="false" customHeight="false" outlineLevel="0" collapsed="false">
      <c r="A12" s="39" t="n">
        <f aca="false">DATE(2025,5,6)</f>
        <v>45783</v>
      </c>
      <c r="B12" s="40" t="s">
        <v>74</v>
      </c>
    </row>
    <row r="13" customFormat="false" ht="15" hidden="false" customHeight="false" outlineLevel="0" collapsed="false">
      <c r="A13" s="39" t="n">
        <f aca="false">DATE(2025,7,21)</f>
        <v>45859</v>
      </c>
      <c r="B13" s="40" t="s">
        <v>80</v>
      </c>
    </row>
    <row r="14" customFormat="false" ht="15" hidden="false" customHeight="false" outlineLevel="0" collapsed="false">
      <c r="A14" s="39" t="n">
        <f aca="false">DATE(2025,8,11)</f>
        <v>45880</v>
      </c>
      <c r="B14" s="40" t="s">
        <v>81</v>
      </c>
    </row>
    <row r="15" customFormat="false" ht="15" hidden="false" customHeight="false" outlineLevel="0" collapsed="false">
      <c r="A15" s="39" t="n">
        <f aca="false">DATE(2025,9,15)</f>
        <v>45915</v>
      </c>
      <c r="B15" s="40" t="s">
        <v>82</v>
      </c>
    </row>
    <row r="16" customFormat="false" ht="15" hidden="false" customHeight="false" outlineLevel="0" collapsed="false">
      <c r="A16" s="39" t="n">
        <f aca="false">DATE(2025,9,23)</f>
        <v>45923</v>
      </c>
      <c r="B16" s="40" t="s">
        <v>83</v>
      </c>
    </row>
    <row r="17" customFormat="false" ht="15" hidden="false" customHeight="false" outlineLevel="0" collapsed="false">
      <c r="A17" s="39" t="n">
        <f aca="false">DATE(2025,10,13)</f>
        <v>45943</v>
      </c>
      <c r="B17" s="40" t="s">
        <v>84</v>
      </c>
    </row>
    <row r="18" customFormat="false" ht="15" hidden="false" customHeight="false" outlineLevel="0" collapsed="false">
      <c r="A18" s="39" t="n">
        <f aca="false">DATE(2025,11,3)</f>
        <v>45964</v>
      </c>
      <c r="B18" s="40" t="s">
        <v>85</v>
      </c>
    </row>
    <row r="19" customFormat="false" ht="15" hidden="false" customHeight="false" outlineLevel="0" collapsed="false">
      <c r="A19" s="39" t="n">
        <f aca="false">DATE(2025,11,23)</f>
        <v>45984</v>
      </c>
      <c r="B19" s="40" t="s">
        <v>86</v>
      </c>
    </row>
    <row r="20" customFormat="false" ht="15" hidden="false" customHeight="false" outlineLevel="0" collapsed="false">
      <c r="A20" s="39" t="n">
        <f aca="false">DATE(2025,11,24)</f>
        <v>45985</v>
      </c>
      <c r="B20" s="40" t="s">
        <v>74</v>
      </c>
    </row>
    <row r="21" customFormat="false" ht="15" hidden="false" customHeight="false" outlineLevel="0" collapsed="false">
      <c r="A21" s="39" t="n">
        <f aca="false">DATE(2026,1,1)</f>
        <v>46023</v>
      </c>
      <c r="B21" s="40" t="s">
        <v>70</v>
      </c>
    </row>
    <row r="22" customFormat="false" ht="15" hidden="false" customHeight="false" outlineLevel="0" collapsed="false">
      <c r="A22" s="39" t="n">
        <f aca="false">DATE(2026,1,12)</f>
        <v>46034</v>
      </c>
      <c r="B22" s="40" t="s">
        <v>71</v>
      </c>
    </row>
    <row r="23" customFormat="false" ht="15" hidden="false" customHeight="false" outlineLevel="0" collapsed="false">
      <c r="A23" s="39" t="n">
        <f aca="false">DATE(2026,2,11)</f>
        <v>46064</v>
      </c>
      <c r="B23" s="40" t="s">
        <v>72</v>
      </c>
    </row>
    <row r="24" customFormat="false" ht="15" hidden="false" customHeight="false" outlineLevel="0" collapsed="false">
      <c r="A24" s="39" t="n">
        <f aca="false">DATE(2026,2,23)</f>
        <v>46076</v>
      </c>
      <c r="B24" s="40" t="s">
        <v>73</v>
      </c>
    </row>
    <row r="25" customFormat="false" ht="15" hidden="false" customHeight="false" outlineLevel="0" collapsed="false">
      <c r="A25" s="39" t="n">
        <f aca="false">DATE(2026,3,20)</f>
        <v>46101</v>
      </c>
      <c r="B25" s="40" t="s">
        <v>75</v>
      </c>
    </row>
    <row r="26" customFormat="false" ht="15" hidden="false" customHeight="false" outlineLevel="0" collapsed="false">
      <c r="A26" s="39" t="n">
        <f aca="false">DATE(2026,4,29)</f>
        <v>46141</v>
      </c>
      <c r="B26" s="40" t="s">
        <v>76</v>
      </c>
    </row>
    <row r="27" customFormat="false" ht="15" hidden="false" customHeight="false" outlineLevel="0" collapsed="false">
      <c r="A27" s="39" t="n">
        <f aca="false">DATE(2026,5,3)</f>
        <v>46145</v>
      </c>
      <c r="B27" s="40" t="s">
        <v>77</v>
      </c>
    </row>
    <row r="28" customFormat="false" ht="15" hidden="false" customHeight="false" outlineLevel="0" collapsed="false">
      <c r="A28" s="39" t="n">
        <f aca="false">DATE(2026,5,4)</f>
        <v>46146</v>
      </c>
      <c r="B28" s="40" t="s">
        <v>78</v>
      </c>
    </row>
    <row r="29" customFormat="false" ht="15" hidden="false" customHeight="false" outlineLevel="0" collapsed="false">
      <c r="A29" s="39" t="n">
        <f aca="false">DATE(2026,5,5)</f>
        <v>46147</v>
      </c>
      <c r="B29" s="40" t="s">
        <v>79</v>
      </c>
    </row>
    <row r="30" customFormat="false" ht="15" hidden="false" customHeight="false" outlineLevel="0" collapsed="false">
      <c r="A30" s="39" t="n">
        <f aca="false">DATE(2026,5,6)</f>
        <v>46148</v>
      </c>
      <c r="B30" s="40" t="s">
        <v>74</v>
      </c>
    </row>
    <row r="31" customFormat="false" ht="15" hidden="false" customHeight="false" outlineLevel="0" collapsed="false">
      <c r="A31" s="39" t="n">
        <f aca="false">DATE(2026,7,20)</f>
        <v>46223</v>
      </c>
      <c r="B31" s="40" t="s">
        <v>80</v>
      </c>
    </row>
    <row r="32" customFormat="false" ht="15" hidden="false" customHeight="false" outlineLevel="0" collapsed="false">
      <c r="A32" s="39" t="n">
        <f aca="false">DATE(2026,8,11)</f>
        <v>46245</v>
      </c>
      <c r="B32" s="40" t="s">
        <v>81</v>
      </c>
    </row>
    <row r="33" customFormat="false" ht="15" hidden="false" customHeight="false" outlineLevel="0" collapsed="false">
      <c r="A33" s="39" t="n">
        <f aca="false">DATE(2026,9,21)</f>
        <v>46286</v>
      </c>
      <c r="B33" s="40" t="s">
        <v>82</v>
      </c>
    </row>
    <row r="34" customFormat="false" ht="15" hidden="false" customHeight="false" outlineLevel="0" collapsed="false">
      <c r="A34" s="39" t="n">
        <f aca="false">DATE(2026,9,22)</f>
        <v>46287</v>
      </c>
      <c r="B34" s="40" t="s">
        <v>87</v>
      </c>
    </row>
    <row r="35" customFormat="false" ht="15" hidden="false" customHeight="false" outlineLevel="0" collapsed="false">
      <c r="A35" s="39" t="n">
        <f aca="false">DATE(2026,9,23)</f>
        <v>46288</v>
      </c>
      <c r="B35" s="40" t="s">
        <v>83</v>
      </c>
    </row>
    <row r="36" customFormat="false" ht="15" hidden="false" customHeight="false" outlineLevel="0" collapsed="false">
      <c r="A36" s="39" t="n">
        <f aca="false">DATE(2026,10,12)</f>
        <v>46307</v>
      </c>
      <c r="B36" s="40" t="s">
        <v>84</v>
      </c>
    </row>
    <row r="37" customFormat="false" ht="15" hidden="false" customHeight="false" outlineLevel="0" collapsed="false">
      <c r="A37" s="39" t="n">
        <f aca="false">DATE(2026,11,3)</f>
        <v>46329</v>
      </c>
      <c r="B37" s="40" t="s">
        <v>85</v>
      </c>
    </row>
    <row r="38" customFormat="false" ht="15" hidden="false" customHeight="false" outlineLevel="0" collapsed="false">
      <c r="A38" s="39" t="n">
        <f aca="false">DATE(2026,11,23)</f>
        <v>46349</v>
      </c>
      <c r="B38" s="40" t="s">
        <v>86</v>
      </c>
    </row>
    <row r="39" customFormat="false" ht="15" hidden="false" customHeight="false" outlineLevel="0" collapsed="false">
      <c r="A39" s="39" t="n">
        <f aca="false">DATE(2027,1,1)</f>
        <v>46388</v>
      </c>
      <c r="B39" s="40" t="s">
        <v>70</v>
      </c>
    </row>
    <row r="40" customFormat="false" ht="15" hidden="false" customHeight="false" outlineLevel="0" collapsed="false">
      <c r="A40" s="39" t="n">
        <f aca="false">DATE(2027,1,11)</f>
        <v>46398</v>
      </c>
      <c r="B40" s="40" t="s">
        <v>71</v>
      </c>
    </row>
    <row r="41" customFormat="false" ht="15" hidden="false" customHeight="false" outlineLevel="0" collapsed="false">
      <c r="A41" s="39" t="n">
        <f aca="false">DATE(2027,2,11)</f>
        <v>46429</v>
      </c>
      <c r="B41" s="40" t="s">
        <v>72</v>
      </c>
    </row>
    <row r="42" customFormat="false" ht="15" hidden="false" customHeight="false" outlineLevel="0" collapsed="false">
      <c r="A42" s="39" t="n">
        <f aca="false">DATE(2027,2,23)</f>
        <v>46441</v>
      </c>
      <c r="B42" s="40" t="s">
        <v>73</v>
      </c>
    </row>
    <row r="43" customFormat="false" ht="15" hidden="false" customHeight="false" outlineLevel="0" collapsed="false">
      <c r="A43" s="39" t="n">
        <f aca="false">DATE(2027,3,21)</f>
        <v>46467</v>
      </c>
      <c r="B43" s="40" t="s">
        <v>75</v>
      </c>
    </row>
    <row r="44" customFormat="false" ht="15" hidden="false" customHeight="false" outlineLevel="0" collapsed="false">
      <c r="A44" s="39" t="n">
        <f aca="false">DATE(2027,3,22)</f>
        <v>46468</v>
      </c>
      <c r="B44" s="40" t="s">
        <v>74</v>
      </c>
    </row>
    <row r="45" customFormat="false" ht="15" hidden="false" customHeight="false" outlineLevel="0" collapsed="false">
      <c r="A45" s="39" t="n">
        <f aca="false">DATE(2027,4,29)</f>
        <v>46506</v>
      </c>
      <c r="B45" s="40" t="s">
        <v>76</v>
      </c>
    </row>
    <row r="46" customFormat="false" ht="15" hidden="false" customHeight="false" outlineLevel="0" collapsed="false">
      <c r="A46" s="39" t="n">
        <f aca="false">DATE(2027,5,3)</f>
        <v>46510</v>
      </c>
      <c r="B46" s="40" t="s">
        <v>77</v>
      </c>
    </row>
    <row r="47" customFormat="false" ht="15" hidden="false" customHeight="false" outlineLevel="0" collapsed="false">
      <c r="A47" s="39" t="n">
        <f aca="false">DATE(2027,5,4)</f>
        <v>46511</v>
      </c>
      <c r="B47" s="40" t="s">
        <v>78</v>
      </c>
    </row>
    <row r="48" customFormat="false" ht="15" hidden="false" customHeight="false" outlineLevel="0" collapsed="false">
      <c r="A48" s="39" t="n">
        <f aca="false">DATE(2027,5,5)</f>
        <v>46512</v>
      </c>
      <c r="B48" s="40" t="s">
        <v>79</v>
      </c>
    </row>
    <row r="49" customFormat="false" ht="15" hidden="false" customHeight="false" outlineLevel="0" collapsed="false">
      <c r="A49" s="39" t="n">
        <f aca="false">DATE(2027,7,19)</f>
        <v>46587</v>
      </c>
      <c r="B49" s="40" t="s">
        <v>80</v>
      </c>
    </row>
    <row r="50" customFormat="false" ht="15" hidden="false" customHeight="false" outlineLevel="0" collapsed="false">
      <c r="A50" s="39" t="n">
        <f aca="false">DATE(2027,8,11)</f>
        <v>46610</v>
      </c>
      <c r="B50" s="40" t="s">
        <v>81</v>
      </c>
    </row>
    <row r="51" customFormat="false" ht="15" hidden="false" customHeight="false" outlineLevel="0" collapsed="false">
      <c r="A51" s="39" t="n">
        <f aca="false">DATE(2027,9,20)</f>
        <v>46650</v>
      </c>
      <c r="B51" s="40" t="s">
        <v>82</v>
      </c>
    </row>
    <row r="52" customFormat="false" ht="15" hidden="false" customHeight="false" outlineLevel="0" collapsed="false">
      <c r="A52" s="39" t="n">
        <f aca="false">DATE(2027,9,23)</f>
        <v>46653</v>
      </c>
      <c r="B52" s="40" t="s">
        <v>83</v>
      </c>
    </row>
    <row r="53" customFormat="false" ht="15" hidden="false" customHeight="false" outlineLevel="0" collapsed="false">
      <c r="A53" s="39" t="n">
        <f aca="false">DATE(2027,10,11)</f>
        <v>46671</v>
      </c>
      <c r="B53" s="40" t="s">
        <v>84</v>
      </c>
    </row>
    <row r="54" customFormat="false" ht="15" hidden="false" customHeight="false" outlineLevel="0" collapsed="false">
      <c r="A54" s="39" t="n">
        <f aca="false">DATE(2027,11,3)</f>
        <v>46694</v>
      </c>
      <c r="B54" s="40" t="s">
        <v>85</v>
      </c>
    </row>
    <row r="55" customFormat="false" ht="15" hidden="false" customHeight="false" outlineLevel="0" collapsed="false">
      <c r="A55" s="39" t="n">
        <f aca="false">DATE(2027,11,23)</f>
        <v>46714</v>
      </c>
      <c r="B55" s="40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O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5" min="2" style="0" width="11"/>
  </cols>
  <sheetData>
    <row r="1" customFormat="false" ht="17.35" hidden="false" customHeight="false" outlineLevel="0" collapsed="false">
      <c r="A1" s="5" t="s">
        <v>88</v>
      </c>
    </row>
    <row r="2" customFormat="false" ht="15" hidden="false" customHeight="false" outlineLevel="0" collapsed="false">
      <c r="A2" s="10" t="s">
        <v>89</v>
      </c>
      <c r="B2" s="10" t="s">
        <v>90</v>
      </c>
      <c r="C2" s="10" t="s">
        <v>38</v>
      </c>
      <c r="D2" s="10" t="s">
        <v>91</v>
      </c>
      <c r="E2" s="10" t="s">
        <v>92</v>
      </c>
      <c r="F2" s="10" t="s">
        <v>93</v>
      </c>
      <c r="G2" s="10" t="s">
        <v>94</v>
      </c>
      <c r="H2" s="10" t="s">
        <v>38</v>
      </c>
      <c r="I2" s="10" t="s">
        <v>91</v>
      </c>
      <c r="J2" s="10" t="s">
        <v>92</v>
      </c>
      <c r="K2" s="10" t="s">
        <v>93</v>
      </c>
    </row>
    <row r="3" customFormat="false" ht="15" hidden="false" customHeight="false" outlineLevel="0" collapsed="false">
      <c r="A3" s="41" t="n">
        <v>1</v>
      </c>
      <c r="B3" s="24" t="str">
        <f aca="false">IF(設定!$B$3="","",IF(A3&lt;=DAY(EOMONTH(設定!$B$3,0)),設定!$B$3+A3-1,""))</f>
        <v/>
      </c>
      <c r="C3" s="41" t="str">
        <f aca="false">IF(B3="","",IF(COUNTIF(祝日!$A:$A,B3)&gt;0,"祝",CHOOSE(WEEKDAY(B3,2),"月","火","水","木","金","土","日")))</f>
        <v/>
      </c>
      <c r="D3" s="18" t="str">
        <f aca="false">IF(B3="","",SUMIFS(先月データ!$Q:$Q,先月データ!$A:$A,B3))</f>
        <v/>
      </c>
      <c r="E3" s="18" t="str">
        <f aca="false">IF(B3="","",SUMIFS(先月データ!$L:$L,先月データ!$A:$A,B3))</f>
        <v/>
      </c>
      <c r="F3" s="18" t="str">
        <f aca="false">IF(B3="","",SUMIFS(先月データ!$R:$R,先月データ!$A:$A,B3))</f>
        <v/>
      </c>
      <c r="G3" s="24" t="str">
        <f aca="false">IF(設定!$B$4="","",IF(A3&lt;=DAY(EOMONTH(設定!$B$4,0)),設定!$B$4+A3-1,""))</f>
        <v/>
      </c>
      <c r="H3" s="41" t="str">
        <f aca="false">IF(G3="","",IF(COUNTIF(祝日!$A:$A,G3)&gt;0,"祝",CHOOSE(WEEKDAY(G3,2),"月","火","水","木","金","土","日")))</f>
        <v/>
      </c>
      <c r="I3" s="18" t="str">
        <f aca="false">IF(G3="","",SUMIFS(先々月データ!$Q:$Q,先々月データ!$A:$A,G3))</f>
        <v/>
      </c>
      <c r="J3" s="18" t="str">
        <f aca="false">IF(G3="","",SUMIFS(先々月データ!$L:$L,先々月データ!$A:$A,G3))</f>
        <v/>
      </c>
      <c r="K3" s="18" t="str">
        <f aca="false">IF(G3="","",SUMIFS(先々月データ!$R:$R,先々月データ!$A:$A,G3))</f>
        <v/>
      </c>
    </row>
    <row r="4" customFormat="false" ht="15" hidden="false" customHeight="false" outlineLevel="0" collapsed="false">
      <c r="A4" s="41" t="n">
        <v>2</v>
      </c>
      <c r="B4" s="24" t="str">
        <f aca="false">IF(設定!$B$3="","",IF(A4&lt;=DAY(EOMONTH(設定!$B$3,0)),設定!$B$3+A4-1,""))</f>
        <v/>
      </c>
      <c r="C4" s="41" t="str">
        <f aca="false">IF(B4="","",IF(COUNTIF(祝日!$A:$A,B4)&gt;0,"祝",CHOOSE(WEEKDAY(B4,2),"月","火","水","木","金","土","日")))</f>
        <v/>
      </c>
      <c r="D4" s="18" t="str">
        <f aca="false">IF(B4="","",SUMIFS(先月データ!$Q:$Q,先月データ!$A:$A,B4))</f>
        <v/>
      </c>
      <c r="E4" s="18" t="str">
        <f aca="false">IF(B4="","",SUMIFS(先月データ!$L:$L,先月データ!$A:$A,B4))</f>
        <v/>
      </c>
      <c r="F4" s="18" t="str">
        <f aca="false">IF(B4="","",SUMIFS(先月データ!$R:$R,先月データ!$A:$A,B4))</f>
        <v/>
      </c>
      <c r="G4" s="24" t="str">
        <f aca="false">IF(設定!$B$4="","",IF(A4&lt;=DAY(EOMONTH(設定!$B$4,0)),設定!$B$4+A4-1,""))</f>
        <v/>
      </c>
      <c r="H4" s="41" t="str">
        <f aca="false">IF(G4="","",IF(COUNTIF(祝日!$A:$A,G4)&gt;0,"祝",CHOOSE(WEEKDAY(G4,2),"月","火","水","木","金","土","日")))</f>
        <v/>
      </c>
      <c r="I4" s="18" t="str">
        <f aca="false">IF(G4="","",SUMIFS(先々月データ!$Q:$Q,先々月データ!$A:$A,G4))</f>
        <v/>
      </c>
      <c r="J4" s="18" t="str">
        <f aca="false">IF(G4="","",SUMIFS(先々月データ!$L:$L,先々月データ!$A:$A,G4))</f>
        <v/>
      </c>
      <c r="K4" s="18" t="str">
        <f aca="false">IF(G4="","",SUMIFS(先々月データ!$R:$R,先々月データ!$A:$A,G4))</f>
        <v/>
      </c>
    </row>
    <row r="5" customFormat="false" ht="15" hidden="false" customHeight="false" outlineLevel="0" collapsed="false">
      <c r="A5" s="41" t="n">
        <v>3</v>
      </c>
      <c r="B5" s="24" t="str">
        <f aca="false">IF(設定!$B$3="","",IF(A5&lt;=DAY(EOMONTH(設定!$B$3,0)),設定!$B$3+A5-1,""))</f>
        <v/>
      </c>
      <c r="C5" s="41" t="str">
        <f aca="false">IF(B5="","",IF(COUNTIF(祝日!$A:$A,B5)&gt;0,"祝",CHOOSE(WEEKDAY(B5,2),"月","火","水","木","金","土","日")))</f>
        <v/>
      </c>
      <c r="D5" s="18" t="str">
        <f aca="false">IF(B5="","",SUMIFS(先月データ!$Q:$Q,先月データ!$A:$A,B5))</f>
        <v/>
      </c>
      <c r="E5" s="18" t="str">
        <f aca="false">IF(B5="","",SUMIFS(先月データ!$L:$L,先月データ!$A:$A,B5))</f>
        <v/>
      </c>
      <c r="F5" s="18" t="str">
        <f aca="false">IF(B5="","",SUMIFS(先月データ!$R:$R,先月データ!$A:$A,B5))</f>
        <v/>
      </c>
      <c r="G5" s="24" t="str">
        <f aca="false">IF(設定!$B$4="","",IF(A5&lt;=DAY(EOMONTH(設定!$B$4,0)),設定!$B$4+A5-1,""))</f>
        <v/>
      </c>
      <c r="H5" s="41" t="str">
        <f aca="false">IF(G5="","",IF(COUNTIF(祝日!$A:$A,G5)&gt;0,"祝",CHOOSE(WEEKDAY(G5,2),"月","火","水","木","金","土","日")))</f>
        <v/>
      </c>
      <c r="I5" s="18" t="str">
        <f aca="false">IF(G5="","",SUMIFS(先々月データ!$Q:$Q,先々月データ!$A:$A,G5))</f>
        <v/>
      </c>
      <c r="J5" s="18" t="str">
        <f aca="false">IF(G5="","",SUMIFS(先々月データ!$L:$L,先々月データ!$A:$A,G5))</f>
        <v/>
      </c>
      <c r="K5" s="18" t="str">
        <f aca="false">IF(G5="","",SUMIFS(先々月データ!$R:$R,先々月データ!$A:$A,G5))</f>
        <v/>
      </c>
    </row>
    <row r="6" customFormat="false" ht="15" hidden="false" customHeight="false" outlineLevel="0" collapsed="false">
      <c r="A6" s="41" t="n">
        <v>4</v>
      </c>
      <c r="B6" s="24" t="str">
        <f aca="false">IF(設定!$B$3="","",IF(A6&lt;=DAY(EOMONTH(設定!$B$3,0)),設定!$B$3+A6-1,""))</f>
        <v/>
      </c>
      <c r="C6" s="41" t="str">
        <f aca="false">IF(B6="","",IF(COUNTIF(祝日!$A:$A,B6)&gt;0,"祝",CHOOSE(WEEKDAY(B6,2),"月","火","水","木","金","土","日")))</f>
        <v/>
      </c>
      <c r="D6" s="18" t="str">
        <f aca="false">IF(B6="","",SUMIFS(先月データ!$Q:$Q,先月データ!$A:$A,B6))</f>
        <v/>
      </c>
      <c r="E6" s="18" t="str">
        <f aca="false">IF(B6="","",SUMIFS(先月データ!$L:$L,先月データ!$A:$A,B6))</f>
        <v/>
      </c>
      <c r="F6" s="18" t="str">
        <f aca="false">IF(B6="","",SUMIFS(先月データ!$R:$R,先月データ!$A:$A,B6))</f>
        <v/>
      </c>
      <c r="G6" s="24" t="str">
        <f aca="false">IF(設定!$B$4="","",IF(A6&lt;=DAY(EOMONTH(設定!$B$4,0)),設定!$B$4+A6-1,""))</f>
        <v/>
      </c>
      <c r="H6" s="41" t="str">
        <f aca="false">IF(G6="","",IF(COUNTIF(祝日!$A:$A,G6)&gt;0,"祝",CHOOSE(WEEKDAY(G6,2),"月","火","水","木","金","土","日")))</f>
        <v/>
      </c>
      <c r="I6" s="18" t="str">
        <f aca="false">IF(G6="","",SUMIFS(先々月データ!$Q:$Q,先々月データ!$A:$A,G6))</f>
        <v/>
      </c>
      <c r="J6" s="18" t="str">
        <f aca="false">IF(G6="","",SUMIFS(先々月データ!$L:$L,先々月データ!$A:$A,G6))</f>
        <v/>
      </c>
      <c r="K6" s="18" t="str">
        <f aca="false">IF(G6="","",SUMIFS(先々月データ!$R:$R,先々月データ!$A:$A,G6))</f>
        <v/>
      </c>
    </row>
    <row r="7" customFormat="false" ht="15" hidden="false" customHeight="false" outlineLevel="0" collapsed="false">
      <c r="A7" s="41" t="n">
        <v>5</v>
      </c>
      <c r="B7" s="24" t="str">
        <f aca="false">IF(設定!$B$3="","",IF(A7&lt;=DAY(EOMONTH(設定!$B$3,0)),設定!$B$3+A7-1,""))</f>
        <v/>
      </c>
      <c r="C7" s="41" t="str">
        <f aca="false">IF(B7="","",IF(COUNTIF(祝日!$A:$A,B7)&gt;0,"祝",CHOOSE(WEEKDAY(B7,2),"月","火","水","木","金","土","日")))</f>
        <v/>
      </c>
      <c r="D7" s="18" t="str">
        <f aca="false">IF(B7="","",SUMIFS(先月データ!$Q:$Q,先月データ!$A:$A,B7))</f>
        <v/>
      </c>
      <c r="E7" s="18" t="str">
        <f aca="false">IF(B7="","",SUMIFS(先月データ!$L:$L,先月データ!$A:$A,B7))</f>
        <v/>
      </c>
      <c r="F7" s="18" t="str">
        <f aca="false">IF(B7="","",SUMIFS(先月データ!$R:$R,先月データ!$A:$A,B7))</f>
        <v/>
      </c>
      <c r="G7" s="24" t="str">
        <f aca="false">IF(設定!$B$4="","",IF(A7&lt;=DAY(EOMONTH(設定!$B$4,0)),設定!$B$4+A7-1,""))</f>
        <v/>
      </c>
      <c r="H7" s="41" t="str">
        <f aca="false">IF(G7="","",IF(COUNTIF(祝日!$A:$A,G7)&gt;0,"祝",CHOOSE(WEEKDAY(G7,2),"月","火","水","木","金","土","日")))</f>
        <v/>
      </c>
      <c r="I7" s="18" t="str">
        <f aca="false">IF(G7="","",SUMIFS(先々月データ!$Q:$Q,先々月データ!$A:$A,G7))</f>
        <v/>
      </c>
      <c r="J7" s="18" t="str">
        <f aca="false">IF(G7="","",SUMIFS(先々月データ!$L:$L,先々月データ!$A:$A,G7))</f>
        <v/>
      </c>
      <c r="K7" s="18" t="str">
        <f aca="false">IF(G7="","",SUMIFS(先々月データ!$R:$R,先々月データ!$A:$A,G7))</f>
        <v/>
      </c>
    </row>
    <row r="8" customFormat="false" ht="15" hidden="false" customHeight="false" outlineLevel="0" collapsed="false">
      <c r="A8" s="41" t="n">
        <v>6</v>
      </c>
      <c r="B8" s="24" t="str">
        <f aca="false">IF(設定!$B$3="","",IF(A8&lt;=DAY(EOMONTH(設定!$B$3,0)),設定!$B$3+A8-1,""))</f>
        <v/>
      </c>
      <c r="C8" s="41" t="str">
        <f aca="false">IF(B8="","",IF(COUNTIF(祝日!$A:$A,B8)&gt;0,"祝",CHOOSE(WEEKDAY(B8,2),"月","火","水","木","金","土","日")))</f>
        <v/>
      </c>
      <c r="D8" s="18" t="str">
        <f aca="false">IF(B8="","",SUMIFS(先月データ!$Q:$Q,先月データ!$A:$A,B8))</f>
        <v/>
      </c>
      <c r="E8" s="18" t="str">
        <f aca="false">IF(B8="","",SUMIFS(先月データ!$L:$L,先月データ!$A:$A,B8))</f>
        <v/>
      </c>
      <c r="F8" s="18" t="str">
        <f aca="false">IF(B8="","",SUMIFS(先月データ!$R:$R,先月データ!$A:$A,B8))</f>
        <v/>
      </c>
      <c r="G8" s="24" t="str">
        <f aca="false">IF(設定!$B$4="","",IF(A8&lt;=DAY(EOMONTH(設定!$B$4,0)),設定!$B$4+A8-1,""))</f>
        <v/>
      </c>
      <c r="H8" s="41" t="str">
        <f aca="false">IF(G8="","",IF(COUNTIF(祝日!$A:$A,G8)&gt;0,"祝",CHOOSE(WEEKDAY(G8,2),"月","火","水","木","金","土","日")))</f>
        <v/>
      </c>
      <c r="I8" s="18" t="str">
        <f aca="false">IF(G8="","",SUMIFS(先々月データ!$Q:$Q,先々月データ!$A:$A,G8))</f>
        <v/>
      </c>
      <c r="J8" s="18" t="str">
        <f aca="false">IF(G8="","",SUMIFS(先々月データ!$L:$L,先々月データ!$A:$A,G8))</f>
        <v/>
      </c>
      <c r="K8" s="18" t="str">
        <f aca="false">IF(G8="","",SUMIFS(先々月データ!$R:$R,先々月データ!$A:$A,G8))</f>
        <v/>
      </c>
    </row>
    <row r="9" customFormat="false" ht="15" hidden="false" customHeight="false" outlineLevel="0" collapsed="false">
      <c r="A9" s="41" t="n">
        <v>7</v>
      </c>
      <c r="B9" s="24" t="str">
        <f aca="false">IF(設定!$B$3="","",IF(A9&lt;=DAY(EOMONTH(設定!$B$3,0)),設定!$B$3+A9-1,""))</f>
        <v/>
      </c>
      <c r="C9" s="41" t="str">
        <f aca="false">IF(B9="","",IF(COUNTIF(祝日!$A:$A,B9)&gt;0,"祝",CHOOSE(WEEKDAY(B9,2),"月","火","水","木","金","土","日")))</f>
        <v/>
      </c>
      <c r="D9" s="18" t="str">
        <f aca="false">IF(B9="","",SUMIFS(先月データ!$Q:$Q,先月データ!$A:$A,B9))</f>
        <v/>
      </c>
      <c r="E9" s="18" t="str">
        <f aca="false">IF(B9="","",SUMIFS(先月データ!$L:$L,先月データ!$A:$A,B9))</f>
        <v/>
      </c>
      <c r="F9" s="18" t="str">
        <f aca="false">IF(B9="","",SUMIFS(先月データ!$R:$R,先月データ!$A:$A,B9))</f>
        <v/>
      </c>
      <c r="G9" s="24" t="str">
        <f aca="false">IF(設定!$B$4="","",IF(A9&lt;=DAY(EOMONTH(設定!$B$4,0)),設定!$B$4+A9-1,""))</f>
        <v/>
      </c>
      <c r="H9" s="41" t="str">
        <f aca="false">IF(G9="","",IF(COUNTIF(祝日!$A:$A,G9)&gt;0,"祝",CHOOSE(WEEKDAY(G9,2),"月","火","水","木","金","土","日")))</f>
        <v/>
      </c>
      <c r="I9" s="18" t="str">
        <f aca="false">IF(G9="","",SUMIFS(先々月データ!$Q:$Q,先々月データ!$A:$A,G9))</f>
        <v/>
      </c>
      <c r="J9" s="18" t="str">
        <f aca="false">IF(G9="","",SUMIFS(先々月データ!$L:$L,先々月データ!$A:$A,G9))</f>
        <v/>
      </c>
      <c r="K9" s="18" t="str">
        <f aca="false">IF(G9="","",SUMIFS(先々月データ!$R:$R,先々月データ!$A:$A,G9))</f>
        <v/>
      </c>
    </row>
    <row r="10" customFormat="false" ht="15" hidden="false" customHeight="false" outlineLevel="0" collapsed="false">
      <c r="A10" s="41" t="n">
        <v>8</v>
      </c>
      <c r="B10" s="24" t="str">
        <f aca="false">IF(設定!$B$3="","",IF(A10&lt;=DAY(EOMONTH(設定!$B$3,0)),設定!$B$3+A10-1,""))</f>
        <v/>
      </c>
      <c r="C10" s="41" t="str">
        <f aca="false">IF(B10="","",IF(COUNTIF(祝日!$A:$A,B10)&gt;0,"祝",CHOOSE(WEEKDAY(B10,2),"月","火","水","木","金","土","日")))</f>
        <v/>
      </c>
      <c r="D10" s="18" t="str">
        <f aca="false">IF(B10="","",SUMIFS(先月データ!$Q:$Q,先月データ!$A:$A,B10))</f>
        <v/>
      </c>
      <c r="E10" s="18" t="str">
        <f aca="false">IF(B10="","",SUMIFS(先月データ!$L:$L,先月データ!$A:$A,B10))</f>
        <v/>
      </c>
      <c r="F10" s="18" t="str">
        <f aca="false">IF(B10="","",SUMIFS(先月データ!$R:$R,先月データ!$A:$A,B10))</f>
        <v/>
      </c>
      <c r="G10" s="24" t="str">
        <f aca="false">IF(設定!$B$4="","",IF(A10&lt;=DAY(EOMONTH(設定!$B$4,0)),設定!$B$4+A10-1,""))</f>
        <v/>
      </c>
      <c r="H10" s="41" t="str">
        <f aca="false">IF(G10="","",IF(COUNTIF(祝日!$A:$A,G10)&gt;0,"祝",CHOOSE(WEEKDAY(G10,2),"月","火","水","木","金","土","日")))</f>
        <v/>
      </c>
      <c r="I10" s="18" t="str">
        <f aca="false">IF(G10="","",SUMIFS(先々月データ!$Q:$Q,先々月データ!$A:$A,G10))</f>
        <v/>
      </c>
      <c r="J10" s="18" t="str">
        <f aca="false">IF(G10="","",SUMIFS(先々月データ!$L:$L,先々月データ!$A:$A,G10))</f>
        <v/>
      </c>
      <c r="K10" s="18" t="str">
        <f aca="false">IF(G10="","",SUMIFS(先々月データ!$R:$R,先々月データ!$A:$A,G10))</f>
        <v/>
      </c>
    </row>
    <row r="11" customFormat="false" ht="15" hidden="false" customHeight="false" outlineLevel="0" collapsed="false">
      <c r="A11" s="41" t="n">
        <v>9</v>
      </c>
      <c r="B11" s="24" t="str">
        <f aca="false">IF(設定!$B$3="","",IF(A11&lt;=DAY(EOMONTH(設定!$B$3,0)),設定!$B$3+A11-1,""))</f>
        <v/>
      </c>
      <c r="C11" s="41" t="str">
        <f aca="false">IF(B11="","",IF(COUNTIF(祝日!$A:$A,B11)&gt;0,"祝",CHOOSE(WEEKDAY(B11,2),"月","火","水","木","金","土","日")))</f>
        <v/>
      </c>
      <c r="D11" s="18" t="str">
        <f aca="false">IF(B11="","",SUMIFS(先月データ!$Q:$Q,先月データ!$A:$A,B11))</f>
        <v/>
      </c>
      <c r="E11" s="18" t="str">
        <f aca="false">IF(B11="","",SUMIFS(先月データ!$L:$L,先月データ!$A:$A,B11))</f>
        <v/>
      </c>
      <c r="F11" s="18" t="str">
        <f aca="false">IF(B11="","",SUMIFS(先月データ!$R:$R,先月データ!$A:$A,B11))</f>
        <v/>
      </c>
      <c r="G11" s="24" t="str">
        <f aca="false">IF(設定!$B$4="","",IF(A11&lt;=DAY(EOMONTH(設定!$B$4,0)),設定!$B$4+A11-1,""))</f>
        <v/>
      </c>
      <c r="H11" s="41" t="str">
        <f aca="false">IF(G11="","",IF(COUNTIF(祝日!$A:$A,G11)&gt;0,"祝",CHOOSE(WEEKDAY(G11,2),"月","火","水","木","金","土","日")))</f>
        <v/>
      </c>
      <c r="I11" s="18" t="str">
        <f aca="false">IF(G11="","",SUMIFS(先々月データ!$Q:$Q,先々月データ!$A:$A,G11))</f>
        <v/>
      </c>
      <c r="J11" s="18" t="str">
        <f aca="false">IF(G11="","",SUMIFS(先々月データ!$L:$L,先々月データ!$A:$A,G11))</f>
        <v/>
      </c>
      <c r="K11" s="18" t="str">
        <f aca="false">IF(G11="","",SUMIFS(先々月データ!$R:$R,先々月データ!$A:$A,G11))</f>
        <v/>
      </c>
    </row>
    <row r="12" customFormat="false" ht="15" hidden="false" customHeight="false" outlineLevel="0" collapsed="false">
      <c r="A12" s="41" t="n">
        <v>10</v>
      </c>
      <c r="B12" s="24" t="str">
        <f aca="false">IF(設定!$B$3="","",IF(A12&lt;=DAY(EOMONTH(設定!$B$3,0)),設定!$B$3+A12-1,""))</f>
        <v/>
      </c>
      <c r="C12" s="41" t="str">
        <f aca="false">IF(B12="","",IF(COUNTIF(祝日!$A:$A,B12)&gt;0,"祝",CHOOSE(WEEKDAY(B12,2),"月","火","水","木","金","土","日")))</f>
        <v/>
      </c>
      <c r="D12" s="18" t="str">
        <f aca="false">IF(B12="","",SUMIFS(先月データ!$Q:$Q,先月データ!$A:$A,B12))</f>
        <v/>
      </c>
      <c r="E12" s="18" t="str">
        <f aca="false">IF(B12="","",SUMIFS(先月データ!$L:$L,先月データ!$A:$A,B12))</f>
        <v/>
      </c>
      <c r="F12" s="18" t="str">
        <f aca="false">IF(B12="","",SUMIFS(先月データ!$R:$R,先月データ!$A:$A,B12))</f>
        <v/>
      </c>
      <c r="G12" s="24" t="str">
        <f aca="false">IF(設定!$B$4="","",IF(A12&lt;=DAY(EOMONTH(設定!$B$4,0)),設定!$B$4+A12-1,""))</f>
        <v/>
      </c>
      <c r="H12" s="41" t="str">
        <f aca="false">IF(G12="","",IF(COUNTIF(祝日!$A:$A,G12)&gt;0,"祝",CHOOSE(WEEKDAY(G12,2),"月","火","水","木","金","土","日")))</f>
        <v/>
      </c>
      <c r="I12" s="18" t="str">
        <f aca="false">IF(G12="","",SUMIFS(先々月データ!$Q:$Q,先々月データ!$A:$A,G12))</f>
        <v/>
      </c>
      <c r="J12" s="18" t="str">
        <f aca="false">IF(G12="","",SUMIFS(先々月データ!$L:$L,先々月データ!$A:$A,G12))</f>
        <v/>
      </c>
      <c r="K12" s="18" t="str">
        <f aca="false">IF(G12="","",SUMIFS(先々月データ!$R:$R,先々月データ!$A:$A,G12))</f>
        <v/>
      </c>
    </row>
    <row r="13" customFormat="false" ht="15" hidden="false" customHeight="false" outlineLevel="0" collapsed="false">
      <c r="A13" s="41" t="n">
        <v>11</v>
      </c>
      <c r="B13" s="24" t="str">
        <f aca="false">IF(設定!$B$3="","",IF(A13&lt;=DAY(EOMONTH(設定!$B$3,0)),設定!$B$3+A13-1,""))</f>
        <v/>
      </c>
      <c r="C13" s="41" t="str">
        <f aca="false">IF(B13="","",IF(COUNTIF(祝日!$A:$A,B13)&gt;0,"祝",CHOOSE(WEEKDAY(B13,2),"月","火","水","木","金","土","日")))</f>
        <v/>
      </c>
      <c r="D13" s="18" t="str">
        <f aca="false">IF(B13="","",SUMIFS(先月データ!$Q:$Q,先月データ!$A:$A,B13))</f>
        <v/>
      </c>
      <c r="E13" s="18" t="str">
        <f aca="false">IF(B13="","",SUMIFS(先月データ!$L:$L,先月データ!$A:$A,B13))</f>
        <v/>
      </c>
      <c r="F13" s="18" t="str">
        <f aca="false">IF(B13="","",SUMIFS(先月データ!$R:$R,先月データ!$A:$A,B13))</f>
        <v/>
      </c>
      <c r="G13" s="24" t="str">
        <f aca="false">IF(設定!$B$4="","",IF(A13&lt;=DAY(EOMONTH(設定!$B$4,0)),設定!$B$4+A13-1,""))</f>
        <v/>
      </c>
      <c r="H13" s="41" t="str">
        <f aca="false">IF(G13="","",IF(COUNTIF(祝日!$A:$A,G13)&gt;0,"祝",CHOOSE(WEEKDAY(G13,2),"月","火","水","木","金","土","日")))</f>
        <v/>
      </c>
      <c r="I13" s="18" t="str">
        <f aca="false">IF(G13="","",SUMIFS(先々月データ!$Q:$Q,先々月データ!$A:$A,G13))</f>
        <v/>
      </c>
      <c r="J13" s="18" t="str">
        <f aca="false">IF(G13="","",SUMIFS(先々月データ!$L:$L,先々月データ!$A:$A,G13))</f>
        <v/>
      </c>
      <c r="K13" s="18" t="str">
        <f aca="false">IF(G13="","",SUMIFS(先々月データ!$R:$R,先々月データ!$A:$A,G13))</f>
        <v/>
      </c>
    </row>
    <row r="14" customFormat="false" ht="15" hidden="false" customHeight="false" outlineLevel="0" collapsed="false">
      <c r="A14" s="41" t="n">
        <v>12</v>
      </c>
      <c r="B14" s="24" t="str">
        <f aca="false">IF(設定!$B$3="","",IF(A14&lt;=DAY(EOMONTH(設定!$B$3,0)),設定!$B$3+A14-1,""))</f>
        <v/>
      </c>
      <c r="C14" s="41" t="str">
        <f aca="false">IF(B14="","",IF(COUNTIF(祝日!$A:$A,B14)&gt;0,"祝",CHOOSE(WEEKDAY(B14,2),"月","火","水","木","金","土","日")))</f>
        <v/>
      </c>
      <c r="D14" s="18" t="str">
        <f aca="false">IF(B14="","",SUMIFS(先月データ!$Q:$Q,先月データ!$A:$A,B14))</f>
        <v/>
      </c>
      <c r="E14" s="18" t="str">
        <f aca="false">IF(B14="","",SUMIFS(先月データ!$L:$L,先月データ!$A:$A,B14))</f>
        <v/>
      </c>
      <c r="F14" s="18" t="str">
        <f aca="false">IF(B14="","",SUMIFS(先月データ!$R:$R,先月データ!$A:$A,B14))</f>
        <v/>
      </c>
      <c r="G14" s="24" t="str">
        <f aca="false">IF(設定!$B$4="","",IF(A14&lt;=DAY(EOMONTH(設定!$B$4,0)),設定!$B$4+A14-1,""))</f>
        <v/>
      </c>
      <c r="H14" s="41" t="str">
        <f aca="false">IF(G14="","",IF(COUNTIF(祝日!$A:$A,G14)&gt;0,"祝",CHOOSE(WEEKDAY(G14,2),"月","火","水","木","金","土","日")))</f>
        <v/>
      </c>
      <c r="I14" s="18" t="str">
        <f aca="false">IF(G14="","",SUMIFS(先々月データ!$Q:$Q,先々月データ!$A:$A,G14))</f>
        <v/>
      </c>
      <c r="J14" s="18" t="str">
        <f aca="false">IF(G14="","",SUMIFS(先々月データ!$L:$L,先々月データ!$A:$A,G14))</f>
        <v/>
      </c>
      <c r="K14" s="18" t="str">
        <f aca="false">IF(G14="","",SUMIFS(先々月データ!$R:$R,先々月データ!$A:$A,G14))</f>
        <v/>
      </c>
    </row>
    <row r="15" customFormat="false" ht="15" hidden="false" customHeight="false" outlineLevel="0" collapsed="false">
      <c r="A15" s="41" t="n">
        <v>13</v>
      </c>
      <c r="B15" s="24" t="str">
        <f aca="false">IF(設定!$B$3="","",IF(A15&lt;=DAY(EOMONTH(設定!$B$3,0)),設定!$B$3+A15-1,""))</f>
        <v/>
      </c>
      <c r="C15" s="41" t="str">
        <f aca="false">IF(B15="","",IF(COUNTIF(祝日!$A:$A,B15)&gt;0,"祝",CHOOSE(WEEKDAY(B15,2),"月","火","水","木","金","土","日")))</f>
        <v/>
      </c>
      <c r="D15" s="18" t="str">
        <f aca="false">IF(B15="","",SUMIFS(先月データ!$Q:$Q,先月データ!$A:$A,B15))</f>
        <v/>
      </c>
      <c r="E15" s="18" t="str">
        <f aca="false">IF(B15="","",SUMIFS(先月データ!$L:$L,先月データ!$A:$A,B15))</f>
        <v/>
      </c>
      <c r="F15" s="18" t="str">
        <f aca="false">IF(B15="","",SUMIFS(先月データ!$R:$R,先月データ!$A:$A,B15))</f>
        <v/>
      </c>
      <c r="G15" s="24" t="str">
        <f aca="false">IF(設定!$B$4="","",IF(A15&lt;=DAY(EOMONTH(設定!$B$4,0)),設定!$B$4+A15-1,""))</f>
        <v/>
      </c>
      <c r="H15" s="41" t="str">
        <f aca="false">IF(G15="","",IF(COUNTIF(祝日!$A:$A,G15)&gt;0,"祝",CHOOSE(WEEKDAY(G15,2),"月","火","水","木","金","土","日")))</f>
        <v/>
      </c>
      <c r="I15" s="18" t="str">
        <f aca="false">IF(G15="","",SUMIFS(先々月データ!$Q:$Q,先々月データ!$A:$A,G15))</f>
        <v/>
      </c>
      <c r="J15" s="18" t="str">
        <f aca="false">IF(G15="","",SUMIFS(先々月データ!$L:$L,先々月データ!$A:$A,G15))</f>
        <v/>
      </c>
      <c r="K15" s="18" t="str">
        <f aca="false">IF(G15="","",SUMIFS(先々月データ!$R:$R,先々月データ!$A:$A,G15))</f>
        <v/>
      </c>
    </row>
    <row r="16" customFormat="false" ht="15" hidden="false" customHeight="false" outlineLevel="0" collapsed="false">
      <c r="A16" s="41" t="n">
        <v>14</v>
      </c>
      <c r="B16" s="24" t="str">
        <f aca="false">IF(設定!$B$3="","",IF(A16&lt;=DAY(EOMONTH(設定!$B$3,0)),設定!$B$3+A16-1,""))</f>
        <v/>
      </c>
      <c r="C16" s="41" t="str">
        <f aca="false">IF(B16="","",IF(COUNTIF(祝日!$A:$A,B16)&gt;0,"祝",CHOOSE(WEEKDAY(B16,2),"月","火","水","木","金","土","日")))</f>
        <v/>
      </c>
      <c r="D16" s="18" t="str">
        <f aca="false">IF(B16="","",SUMIFS(先月データ!$Q:$Q,先月データ!$A:$A,B16))</f>
        <v/>
      </c>
      <c r="E16" s="18" t="str">
        <f aca="false">IF(B16="","",SUMIFS(先月データ!$L:$L,先月データ!$A:$A,B16))</f>
        <v/>
      </c>
      <c r="F16" s="18" t="str">
        <f aca="false">IF(B16="","",SUMIFS(先月データ!$R:$R,先月データ!$A:$A,B16))</f>
        <v/>
      </c>
      <c r="G16" s="24" t="str">
        <f aca="false">IF(設定!$B$4="","",IF(A16&lt;=DAY(EOMONTH(設定!$B$4,0)),設定!$B$4+A16-1,""))</f>
        <v/>
      </c>
      <c r="H16" s="41" t="str">
        <f aca="false">IF(G16="","",IF(COUNTIF(祝日!$A:$A,G16)&gt;0,"祝",CHOOSE(WEEKDAY(G16,2),"月","火","水","木","金","土","日")))</f>
        <v/>
      </c>
      <c r="I16" s="18" t="str">
        <f aca="false">IF(G16="","",SUMIFS(先々月データ!$Q:$Q,先々月データ!$A:$A,G16))</f>
        <v/>
      </c>
      <c r="J16" s="18" t="str">
        <f aca="false">IF(G16="","",SUMIFS(先々月データ!$L:$L,先々月データ!$A:$A,G16))</f>
        <v/>
      </c>
      <c r="K16" s="18" t="str">
        <f aca="false">IF(G16="","",SUMIFS(先々月データ!$R:$R,先々月データ!$A:$A,G16))</f>
        <v/>
      </c>
    </row>
    <row r="17" customFormat="false" ht="15" hidden="false" customHeight="false" outlineLevel="0" collapsed="false">
      <c r="A17" s="41" t="n">
        <v>15</v>
      </c>
      <c r="B17" s="24" t="str">
        <f aca="false">IF(設定!$B$3="","",IF(A17&lt;=DAY(EOMONTH(設定!$B$3,0)),設定!$B$3+A17-1,""))</f>
        <v/>
      </c>
      <c r="C17" s="41" t="str">
        <f aca="false">IF(B17="","",IF(COUNTIF(祝日!$A:$A,B17)&gt;0,"祝",CHOOSE(WEEKDAY(B17,2),"月","火","水","木","金","土","日")))</f>
        <v/>
      </c>
      <c r="D17" s="18" t="str">
        <f aca="false">IF(B17="","",SUMIFS(先月データ!$Q:$Q,先月データ!$A:$A,B17))</f>
        <v/>
      </c>
      <c r="E17" s="18" t="str">
        <f aca="false">IF(B17="","",SUMIFS(先月データ!$L:$L,先月データ!$A:$A,B17))</f>
        <v/>
      </c>
      <c r="F17" s="18" t="str">
        <f aca="false">IF(B17="","",SUMIFS(先月データ!$R:$R,先月データ!$A:$A,B17))</f>
        <v/>
      </c>
      <c r="G17" s="24" t="str">
        <f aca="false">IF(設定!$B$4="","",IF(A17&lt;=DAY(EOMONTH(設定!$B$4,0)),設定!$B$4+A17-1,""))</f>
        <v/>
      </c>
      <c r="H17" s="41" t="str">
        <f aca="false">IF(G17="","",IF(COUNTIF(祝日!$A:$A,G17)&gt;0,"祝",CHOOSE(WEEKDAY(G17,2),"月","火","水","木","金","土","日")))</f>
        <v/>
      </c>
      <c r="I17" s="18" t="str">
        <f aca="false">IF(G17="","",SUMIFS(先々月データ!$Q:$Q,先々月データ!$A:$A,G17))</f>
        <v/>
      </c>
      <c r="J17" s="18" t="str">
        <f aca="false">IF(G17="","",SUMIFS(先々月データ!$L:$L,先々月データ!$A:$A,G17))</f>
        <v/>
      </c>
      <c r="K17" s="18" t="str">
        <f aca="false">IF(G17="","",SUMIFS(先々月データ!$R:$R,先々月データ!$A:$A,G17))</f>
        <v/>
      </c>
    </row>
    <row r="18" customFormat="false" ht="15" hidden="false" customHeight="false" outlineLevel="0" collapsed="false">
      <c r="A18" s="41" t="n">
        <v>16</v>
      </c>
      <c r="B18" s="24" t="str">
        <f aca="false">IF(設定!$B$3="","",IF(A18&lt;=DAY(EOMONTH(設定!$B$3,0)),設定!$B$3+A18-1,""))</f>
        <v/>
      </c>
      <c r="C18" s="41" t="str">
        <f aca="false">IF(B18="","",IF(COUNTIF(祝日!$A:$A,B18)&gt;0,"祝",CHOOSE(WEEKDAY(B18,2),"月","火","水","木","金","土","日")))</f>
        <v/>
      </c>
      <c r="D18" s="18" t="str">
        <f aca="false">IF(B18="","",SUMIFS(先月データ!$Q:$Q,先月データ!$A:$A,B18))</f>
        <v/>
      </c>
      <c r="E18" s="18" t="str">
        <f aca="false">IF(B18="","",SUMIFS(先月データ!$L:$L,先月データ!$A:$A,B18))</f>
        <v/>
      </c>
      <c r="F18" s="18" t="str">
        <f aca="false">IF(B18="","",SUMIFS(先月データ!$R:$R,先月データ!$A:$A,B18))</f>
        <v/>
      </c>
      <c r="G18" s="24" t="str">
        <f aca="false">IF(設定!$B$4="","",IF(A18&lt;=DAY(EOMONTH(設定!$B$4,0)),設定!$B$4+A18-1,""))</f>
        <v/>
      </c>
      <c r="H18" s="41" t="str">
        <f aca="false">IF(G18="","",IF(COUNTIF(祝日!$A:$A,G18)&gt;0,"祝",CHOOSE(WEEKDAY(G18,2),"月","火","水","木","金","土","日")))</f>
        <v/>
      </c>
      <c r="I18" s="18" t="str">
        <f aca="false">IF(G18="","",SUMIFS(先々月データ!$Q:$Q,先々月データ!$A:$A,G18))</f>
        <v/>
      </c>
      <c r="J18" s="18" t="str">
        <f aca="false">IF(G18="","",SUMIFS(先々月データ!$L:$L,先々月データ!$A:$A,G18))</f>
        <v/>
      </c>
      <c r="K18" s="18" t="str">
        <f aca="false">IF(G18="","",SUMIFS(先々月データ!$R:$R,先々月データ!$A:$A,G18))</f>
        <v/>
      </c>
    </row>
    <row r="19" customFormat="false" ht="15" hidden="false" customHeight="false" outlineLevel="0" collapsed="false">
      <c r="A19" s="41" t="n">
        <v>17</v>
      </c>
      <c r="B19" s="24" t="str">
        <f aca="false">IF(設定!$B$3="","",IF(A19&lt;=DAY(EOMONTH(設定!$B$3,0)),設定!$B$3+A19-1,""))</f>
        <v/>
      </c>
      <c r="C19" s="41" t="str">
        <f aca="false">IF(B19="","",IF(COUNTIF(祝日!$A:$A,B19)&gt;0,"祝",CHOOSE(WEEKDAY(B19,2),"月","火","水","木","金","土","日")))</f>
        <v/>
      </c>
      <c r="D19" s="18" t="str">
        <f aca="false">IF(B19="","",SUMIFS(先月データ!$Q:$Q,先月データ!$A:$A,B19))</f>
        <v/>
      </c>
      <c r="E19" s="18" t="str">
        <f aca="false">IF(B19="","",SUMIFS(先月データ!$L:$L,先月データ!$A:$A,B19))</f>
        <v/>
      </c>
      <c r="F19" s="18" t="str">
        <f aca="false">IF(B19="","",SUMIFS(先月データ!$R:$R,先月データ!$A:$A,B19))</f>
        <v/>
      </c>
      <c r="G19" s="24" t="str">
        <f aca="false">IF(設定!$B$4="","",IF(A19&lt;=DAY(EOMONTH(設定!$B$4,0)),設定!$B$4+A19-1,""))</f>
        <v/>
      </c>
      <c r="H19" s="41" t="str">
        <f aca="false">IF(G19="","",IF(COUNTIF(祝日!$A:$A,G19)&gt;0,"祝",CHOOSE(WEEKDAY(G19,2),"月","火","水","木","金","土","日")))</f>
        <v/>
      </c>
      <c r="I19" s="18" t="str">
        <f aca="false">IF(G19="","",SUMIFS(先々月データ!$Q:$Q,先々月データ!$A:$A,G19))</f>
        <v/>
      </c>
      <c r="J19" s="18" t="str">
        <f aca="false">IF(G19="","",SUMIFS(先々月データ!$L:$L,先々月データ!$A:$A,G19))</f>
        <v/>
      </c>
      <c r="K19" s="18" t="str">
        <f aca="false">IF(G19="","",SUMIFS(先々月データ!$R:$R,先々月データ!$A:$A,G19))</f>
        <v/>
      </c>
    </row>
    <row r="20" customFormat="false" ht="15" hidden="false" customHeight="false" outlineLevel="0" collapsed="false">
      <c r="A20" s="41" t="n">
        <v>18</v>
      </c>
      <c r="B20" s="24" t="str">
        <f aca="false">IF(設定!$B$3="","",IF(A20&lt;=DAY(EOMONTH(設定!$B$3,0)),設定!$B$3+A20-1,""))</f>
        <v/>
      </c>
      <c r="C20" s="41" t="str">
        <f aca="false">IF(B20="","",IF(COUNTIF(祝日!$A:$A,B20)&gt;0,"祝",CHOOSE(WEEKDAY(B20,2),"月","火","水","木","金","土","日")))</f>
        <v/>
      </c>
      <c r="D20" s="18" t="str">
        <f aca="false">IF(B20="","",SUMIFS(先月データ!$Q:$Q,先月データ!$A:$A,B20))</f>
        <v/>
      </c>
      <c r="E20" s="18" t="str">
        <f aca="false">IF(B20="","",SUMIFS(先月データ!$L:$L,先月データ!$A:$A,B20))</f>
        <v/>
      </c>
      <c r="F20" s="18" t="str">
        <f aca="false">IF(B20="","",SUMIFS(先月データ!$R:$R,先月データ!$A:$A,B20))</f>
        <v/>
      </c>
      <c r="G20" s="24" t="str">
        <f aca="false">IF(設定!$B$4="","",IF(A20&lt;=DAY(EOMONTH(設定!$B$4,0)),設定!$B$4+A20-1,""))</f>
        <v/>
      </c>
      <c r="H20" s="41" t="str">
        <f aca="false">IF(G20="","",IF(COUNTIF(祝日!$A:$A,G20)&gt;0,"祝",CHOOSE(WEEKDAY(G20,2),"月","火","水","木","金","土","日")))</f>
        <v/>
      </c>
      <c r="I20" s="18" t="str">
        <f aca="false">IF(G20="","",SUMIFS(先々月データ!$Q:$Q,先々月データ!$A:$A,G20))</f>
        <v/>
      </c>
      <c r="J20" s="18" t="str">
        <f aca="false">IF(G20="","",SUMIFS(先々月データ!$L:$L,先々月データ!$A:$A,G20))</f>
        <v/>
      </c>
      <c r="K20" s="18" t="str">
        <f aca="false">IF(G20="","",SUMIFS(先々月データ!$R:$R,先々月データ!$A:$A,G20))</f>
        <v/>
      </c>
    </row>
    <row r="21" customFormat="false" ht="15" hidden="false" customHeight="false" outlineLevel="0" collapsed="false">
      <c r="A21" s="41" t="n">
        <v>19</v>
      </c>
      <c r="B21" s="24" t="str">
        <f aca="false">IF(設定!$B$3="","",IF(A21&lt;=DAY(EOMONTH(設定!$B$3,0)),設定!$B$3+A21-1,""))</f>
        <v/>
      </c>
      <c r="C21" s="41" t="str">
        <f aca="false">IF(B21="","",IF(COUNTIF(祝日!$A:$A,B21)&gt;0,"祝",CHOOSE(WEEKDAY(B21,2),"月","火","水","木","金","土","日")))</f>
        <v/>
      </c>
      <c r="D21" s="18" t="str">
        <f aca="false">IF(B21="","",SUMIFS(先月データ!$Q:$Q,先月データ!$A:$A,B21))</f>
        <v/>
      </c>
      <c r="E21" s="18" t="str">
        <f aca="false">IF(B21="","",SUMIFS(先月データ!$L:$L,先月データ!$A:$A,B21))</f>
        <v/>
      </c>
      <c r="F21" s="18" t="str">
        <f aca="false">IF(B21="","",SUMIFS(先月データ!$R:$R,先月データ!$A:$A,B21))</f>
        <v/>
      </c>
      <c r="G21" s="24" t="str">
        <f aca="false">IF(設定!$B$4="","",IF(A21&lt;=DAY(EOMONTH(設定!$B$4,0)),設定!$B$4+A21-1,""))</f>
        <v/>
      </c>
      <c r="H21" s="41" t="str">
        <f aca="false">IF(G21="","",IF(COUNTIF(祝日!$A:$A,G21)&gt;0,"祝",CHOOSE(WEEKDAY(G21,2),"月","火","水","木","金","土","日")))</f>
        <v/>
      </c>
      <c r="I21" s="18" t="str">
        <f aca="false">IF(G21="","",SUMIFS(先々月データ!$Q:$Q,先々月データ!$A:$A,G21))</f>
        <v/>
      </c>
      <c r="J21" s="18" t="str">
        <f aca="false">IF(G21="","",SUMIFS(先々月データ!$L:$L,先々月データ!$A:$A,G21))</f>
        <v/>
      </c>
      <c r="K21" s="18" t="str">
        <f aca="false">IF(G21="","",SUMIFS(先々月データ!$R:$R,先々月データ!$A:$A,G21))</f>
        <v/>
      </c>
    </row>
    <row r="22" customFormat="false" ht="15" hidden="false" customHeight="false" outlineLevel="0" collapsed="false">
      <c r="A22" s="41" t="n">
        <v>20</v>
      </c>
      <c r="B22" s="24" t="str">
        <f aca="false">IF(設定!$B$3="","",IF(A22&lt;=DAY(EOMONTH(設定!$B$3,0)),設定!$B$3+A22-1,""))</f>
        <v/>
      </c>
      <c r="C22" s="41" t="str">
        <f aca="false">IF(B22="","",IF(COUNTIF(祝日!$A:$A,B22)&gt;0,"祝",CHOOSE(WEEKDAY(B22,2),"月","火","水","木","金","土","日")))</f>
        <v/>
      </c>
      <c r="D22" s="18" t="str">
        <f aca="false">IF(B22="","",SUMIFS(先月データ!$Q:$Q,先月データ!$A:$A,B22))</f>
        <v/>
      </c>
      <c r="E22" s="18" t="str">
        <f aca="false">IF(B22="","",SUMIFS(先月データ!$L:$L,先月データ!$A:$A,B22))</f>
        <v/>
      </c>
      <c r="F22" s="18" t="str">
        <f aca="false">IF(B22="","",SUMIFS(先月データ!$R:$R,先月データ!$A:$A,B22))</f>
        <v/>
      </c>
      <c r="G22" s="24" t="str">
        <f aca="false">IF(設定!$B$4="","",IF(A22&lt;=DAY(EOMONTH(設定!$B$4,0)),設定!$B$4+A22-1,""))</f>
        <v/>
      </c>
      <c r="H22" s="41" t="str">
        <f aca="false">IF(G22="","",IF(COUNTIF(祝日!$A:$A,G22)&gt;0,"祝",CHOOSE(WEEKDAY(G22,2),"月","火","水","木","金","土","日")))</f>
        <v/>
      </c>
      <c r="I22" s="18" t="str">
        <f aca="false">IF(G22="","",SUMIFS(先々月データ!$Q:$Q,先々月データ!$A:$A,G22))</f>
        <v/>
      </c>
      <c r="J22" s="18" t="str">
        <f aca="false">IF(G22="","",SUMIFS(先々月データ!$L:$L,先々月データ!$A:$A,G22))</f>
        <v/>
      </c>
      <c r="K22" s="18" t="str">
        <f aca="false">IF(G22="","",SUMIFS(先々月データ!$R:$R,先々月データ!$A:$A,G22))</f>
        <v/>
      </c>
    </row>
    <row r="23" customFormat="false" ht="15" hidden="false" customHeight="false" outlineLevel="0" collapsed="false">
      <c r="A23" s="41" t="n">
        <v>21</v>
      </c>
      <c r="B23" s="24" t="str">
        <f aca="false">IF(設定!$B$3="","",IF(A23&lt;=DAY(EOMONTH(設定!$B$3,0)),設定!$B$3+A23-1,""))</f>
        <v/>
      </c>
      <c r="C23" s="41" t="str">
        <f aca="false">IF(B23="","",IF(COUNTIF(祝日!$A:$A,B23)&gt;0,"祝",CHOOSE(WEEKDAY(B23,2),"月","火","水","木","金","土","日")))</f>
        <v/>
      </c>
      <c r="D23" s="18" t="str">
        <f aca="false">IF(B23="","",SUMIFS(先月データ!$Q:$Q,先月データ!$A:$A,B23))</f>
        <v/>
      </c>
      <c r="E23" s="18" t="str">
        <f aca="false">IF(B23="","",SUMIFS(先月データ!$L:$L,先月データ!$A:$A,B23))</f>
        <v/>
      </c>
      <c r="F23" s="18" t="str">
        <f aca="false">IF(B23="","",SUMIFS(先月データ!$R:$R,先月データ!$A:$A,B23))</f>
        <v/>
      </c>
      <c r="G23" s="24" t="str">
        <f aca="false">IF(設定!$B$4="","",IF(A23&lt;=DAY(EOMONTH(設定!$B$4,0)),設定!$B$4+A23-1,""))</f>
        <v/>
      </c>
      <c r="H23" s="41" t="str">
        <f aca="false">IF(G23="","",IF(COUNTIF(祝日!$A:$A,G23)&gt;0,"祝",CHOOSE(WEEKDAY(G23,2),"月","火","水","木","金","土","日")))</f>
        <v/>
      </c>
      <c r="I23" s="18" t="str">
        <f aca="false">IF(G23="","",SUMIFS(先々月データ!$Q:$Q,先々月データ!$A:$A,G23))</f>
        <v/>
      </c>
      <c r="J23" s="18" t="str">
        <f aca="false">IF(G23="","",SUMIFS(先々月データ!$L:$L,先々月データ!$A:$A,G23))</f>
        <v/>
      </c>
      <c r="K23" s="18" t="str">
        <f aca="false">IF(G23="","",SUMIFS(先々月データ!$R:$R,先々月データ!$A:$A,G23))</f>
        <v/>
      </c>
    </row>
    <row r="24" customFormat="false" ht="15" hidden="false" customHeight="false" outlineLevel="0" collapsed="false">
      <c r="A24" s="41" t="n">
        <v>22</v>
      </c>
      <c r="B24" s="24" t="str">
        <f aca="false">IF(設定!$B$3="","",IF(A24&lt;=DAY(EOMONTH(設定!$B$3,0)),設定!$B$3+A24-1,""))</f>
        <v/>
      </c>
      <c r="C24" s="41" t="str">
        <f aca="false">IF(B24="","",IF(COUNTIF(祝日!$A:$A,B24)&gt;0,"祝",CHOOSE(WEEKDAY(B24,2),"月","火","水","木","金","土","日")))</f>
        <v/>
      </c>
      <c r="D24" s="18" t="str">
        <f aca="false">IF(B24="","",SUMIFS(先月データ!$Q:$Q,先月データ!$A:$A,B24))</f>
        <v/>
      </c>
      <c r="E24" s="18" t="str">
        <f aca="false">IF(B24="","",SUMIFS(先月データ!$L:$L,先月データ!$A:$A,B24))</f>
        <v/>
      </c>
      <c r="F24" s="18" t="str">
        <f aca="false">IF(B24="","",SUMIFS(先月データ!$R:$R,先月データ!$A:$A,B24))</f>
        <v/>
      </c>
      <c r="G24" s="24" t="str">
        <f aca="false">IF(設定!$B$4="","",IF(A24&lt;=DAY(EOMONTH(設定!$B$4,0)),設定!$B$4+A24-1,""))</f>
        <v/>
      </c>
      <c r="H24" s="41" t="str">
        <f aca="false">IF(G24="","",IF(COUNTIF(祝日!$A:$A,G24)&gt;0,"祝",CHOOSE(WEEKDAY(G24,2),"月","火","水","木","金","土","日")))</f>
        <v/>
      </c>
      <c r="I24" s="18" t="str">
        <f aca="false">IF(G24="","",SUMIFS(先々月データ!$Q:$Q,先々月データ!$A:$A,G24))</f>
        <v/>
      </c>
      <c r="J24" s="18" t="str">
        <f aca="false">IF(G24="","",SUMIFS(先々月データ!$L:$L,先々月データ!$A:$A,G24))</f>
        <v/>
      </c>
      <c r="K24" s="18" t="str">
        <f aca="false">IF(G24="","",SUMIFS(先々月データ!$R:$R,先々月データ!$A:$A,G24))</f>
        <v/>
      </c>
    </row>
    <row r="25" customFormat="false" ht="15" hidden="false" customHeight="false" outlineLevel="0" collapsed="false">
      <c r="A25" s="41" t="n">
        <v>23</v>
      </c>
      <c r="B25" s="24" t="str">
        <f aca="false">IF(設定!$B$3="","",IF(A25&lt;=DAY(EOMONTH(設定!$B$3,0)),設定!$B$3+A25-1,""))</f>
        <v/>
      </c>
      <c r="C25" s="41" t="str">
        <f aca="false">IF(B25="","",IF(COUNTIF(祝日!$A:$A,B25)&gt;0,"祝",CHOOSE(WEEKDAY(B25,2),"月","火","水","木","金","土","日")))</f>
        <v/>
      </c>
      <c r="D25" s="18" t="str">
        <f aca="false">IF(B25="","",SUMIFS(先月データ!$Q:$Q,先月データ!$A:$A,B25))</f>
        <v/>
      </c>
      <c r="E25" s="18" t="str">
        <f aca="false">IF(B25="","",SUMIFS(先月データ!$L:$L,先月データ!$A:$A,B25))</f>
        <v/>
      </c>
      <c r="F25" s="18" t="str">
        <f aca="false">IF(B25="","",SUMIFS(先月データ!$R:$R,先月データ!$A:$A,B25))</f>
        <v/>
      </c>
      <c r="G25" s="24" t="str">
        <f aca="false">IF(設定!$B$4="","",IF(A25&lt;=DAY(EOMONTH(設定!$B$4,0)),設定!$B$4+A25-1,""))</f>
        <v/>
      </c>
      <c r="H25" s="41" t="str">
        <f aca="false">IF(G25="","",IF(COUNTIF(祝日!$A:$A,G25)&gt;0,"祝",CHOOSE(WEEKDAY(G25,2),"月","火","水","木","金","土","日")))</f>
        <v/>
      </c>
      <c r="I25" s="18" t="str">
        <f aca="false">IF(G25="","",SUMIFS(先々月データ!$Q:$Q,先々月データ!$A:$A,G25))</f>
        <v/>
      </c>
      <c r="J25" s="18" t="str">
        <f aca="false">IF(G25="","",SUMIFS(先々月データ!$L:$L,先々月データ!$A:$A,G25))</f>
        <v/>
      </c>
      <c r="K25" s="18" t="str">
        <f aca="false">IF(G25="","",SUMIFS(先々月データ!$R:$R,先々月データ!$A:$A,G25))</f>
        <v/>
      </c>
    </row>
    <row r="26" customFormat="false" ht="15" hidden="false" customHeight="false" outlineLevel="0" collapsed="false">
      <c r="A26" s="41" t="n">
        <v>24</v>
      </c>
      <c r="B26" s="24" t="str">
        <f aca="false">IF(設定!$B$3="","",IF(A26&lt;=DAY(EOMONTH(設定!$B$3,0)),設定!$B$3+A26-1,""))</f>
        <v/>
      </c>
      <c r="C26" s="41" t="str">
        <f aca="false">IF(B26="","",IF(COUNTIF(祝日!$A:$A,B26)&gt;0,"祝",CHOOSE(WEEKDAY(B26,2),"月","火","水","木","金","土","日")))</f>
        <v/>
      </c>
      <c r="D26" s="18" t="str">
        <f aca="false">IF(B26="","",SUMIFS(先月データ!$Q:$Q,先月データ!$A:$A,B26))</f>
        <v/>
      </c>
      <c r="E26" s="18" t="str">
        <f aca="false">IF(B26="","",SUMIFS(先月データ!$L:$L,先月データ!$A:$A,B26))</f>
        <v/>
      </c>
      <c r="F26" s="18" t="str">
        <f aca="false">IF(B26="","",SUMIFS(先月データ!$R:$R,先月データ!$A:$A,B26))</f>
        <v/>
      </c>
      <c r="G26" s="24" t="str">
        <f aca="false">IF(設定!$B$4="","",IF(A26&lt;=DAY(EOMONTH(設定!$B$4,0)),設定!$B$4+A26-1,""))</f>
        <v/>
      </c>
      <c r="H26" s="41" t="str">
        <f aca="false">IF(G26="","",IF(COUNTIF(祝日!$A:$A,G26)&gt;0,"祝",CHOOSE(WEEKDAY(G26,2),"月","火","水","木","金","土","日")))</f>
        <v/>
      </c>
      <c r="I26" s="18" t="str">
        <f aca="false">IF(G26="","",SUMIFS(先々月データ!$Q:$Q,先々月データ!$A:$A,G26))</f>
        <v/>
      </c>
      <c r="J26" s="18" t="str">
        <f aca="false">IF(G26="","",SUMIFS(先々月データ!$L:$L,先々月データ!$A:$A,G26))</f>
        <v/>
      </c>
      <c r="K26" s="18" t="str">
        <f aca="false">IF(G26="","",SUMIFS(先々月データ!$R:$R,先々月データ!$A:$A,G26))</f>
        <v/>
      </c>
    </row>
    <row r="27" customFormat="false" ht="15" hidden="false" customHeight="false" outlineLevel="0" collapsed="false">
      <c r="A27" s="41" t="n">
        <v>25</v>
      </c>
      <c r="B27" s="24" t="str">
        <f aca="false">IF(設定!$B$3="","",IF(A27&lt;=DAY(EOMONTH(設定!$B$3,0)),設定!$B$3+A27-1,""))</f>
        <v/>
      </c>
      <c r="C27" s="41" t="str">
        <f aca="false">IF(B27="","",IF(COUNTIF(祝日!$A:$A,B27)&gt;0,"祝",CHOOSE(WEEKDAY(B27,2),"月","火","水","木","金","土","日")))</f>
        <v/>
      </c>
      <c r="D27" s="18" t="str">
        <f aca="false">IF(B27="","",SUMIFS(先月データ!$Q:$Q,先月データ!$A:$A,B27))</f>
        <v/>
      </c>
      <c r="E27" s="18" t="str">
        <f aca="false">IF(B27="","",SUMIFS(先月データ!$L:$L,先月データ!$A:$A,B27))</f>
        <v/>
      </c>
      <c r="F27" s="18" t="str">
        <f aca="false">IF(B27="","",SUMIFS(先月データ!$R:$R,先月データ!$A:$A,B27))</f>
        <v/>
      </c>
      <c r="G27" s="24" t="str">
        <f aca="false">IF(設定!$B$4="","",IF(A27&lt;=DAY(EOMONTH(設定!$B$4,0)),設定!$B$4+A27-1,""))</f>
        <v/>
      </c>
      <c r="H27" s="41" t="str">
        <f aca="false">IF(G27="","",IF(COUNTIF(祝日!$A:$A,G27)&gt;0,"祝",CHOOSE(WEEKDAY(G27,2),"月","火","水","木","金","土","日")))</f>
        <v/>
      </c>
      <c r="I27" s="18" t="str">
        <f aca="false">IF(G27="","",SUMIFS(先々月データ!$Q:$Q,先々月データ!$A:$A,G27))</f>
        <v/>
      </c>
      <c r="J27" s="18" t="str">
        <f aca="false">IF(G27="","",SUMIFS(先々月データ!$L:$L,先々月データ!$A:$A,G27))</f>
        <v/>
      </c>
      <c r="K27" s="18" t="str">
        <f aca="false">IF(G27="","",SUMIFS(先々月データ!$R:$R,先々月データ!$A:$A,G27))</f>
        <v/>
      </c>
    </row>
    <row r="28" customFormat="false" ht="15" hidden="false" customHeight="false" outlineLevel="0" collapsed="false">
      <c r="A28" s="41" t="n">
        <v>26</v>
      </c>
      <c r="B28" s="24" t="str">
        <f aca="false">IF(設定!$B$3="","",IF(A28&lt;=DAY(EOMONTH(設定!$B$3,0)),設定!$B$3+A28-1,""))</f>
        <v/>
      </c>
      <c r="C28" s="41" t="str">
        <f aca="false">IF(B28="","",IF(COUNTIF(祝日!$A:$A,B28)&gt;0,"祝",CHOOSE(WEEKDAY(B28,2),"月","火","水","木","金","土","日")))</f>
        <v/>
      </c>
      <c r="D28" s="18" t="str">
        <f aca="false">IF(B28="","",SUMIFS(先月データ!$Q:$Q,先月データ!$A:$A,B28))</f>
        <v/>
      </c>
      <c r="E28" s="18" t="str">
        <f aca="false">IF(B28="","",SUMIFS(先月データ!$L:$L,先月データ!$A:$A,B28))</f>
        <v/>
      </c>
      <c r="F28" s="18" t="str">
        <f aca="false">IF(B28="","",SUMIFS(先月データ!$R:$R,先月データ!$A:$A,B28))</f>
        <v/>
      </c>
      <c r="G28" s="24" t="str">
        <f aca="false">IF(設定!$B$4="","",IF(A28&lt;=DAY(EOMONTH(設定!$B$4,0)),設定!$B$4+A28-1,""))</f>
        <v/>
      </c>
      <c r="H28" s="41" t="str">
        <f aca="false">IF(G28="","",IF(COUNTIF(祝日!$A:$A,G28)&gt;0,"祝",CHOOSE(WEEKDAY(G28,2),"月","火","水","木","金","土","日")))</f>
        <v/>
      </c>
      <c r="I28" s="18" t="str">
        <f aca="false">IF(G28="","",SUMIFS(先々月データ!$Q:$Q,先々月データ!$A:$A,G28))</f>
        <v/>
      </c>
      <c r="J28" s="18" t="str">
        <f aca="false">IF(G28="","",SUMIFS(先々月データ!$L:$L,先々月データ!$A:$A,G28))</f>
        <v/>
      </c>
      <c r="K28" s="18" t="str">
        <f aca="false">IF(G28="","",SUMIFS(先々月データ!$R:$R,先々月データ!$A:$A,G28))</f>
        <v/>
      </c>
    </row>
    <row r="29" customFormat="false" ht="15" hidden="false" customHeight="false" outlineLevel="0" collapsed="false">
      <c r="A29" s="41" t="n">
        <v>27</v>
      </c>
      <c r="B29" s="24" t="str">
        <f aca="false">IF(設定!$B$3="","",IF(A29&lt;=DAY(EOMONTH(設定!$B$3,0)),設定!$B$3+A29-1,""))</f>
        <v/>
      </c>
      <c r="C29" s="41" t="str">
        <f aca="false">IF(B29="","",IF(COUNTIF(祝日!$A:$A,B29)&gt;0,"祝",CHOOSE(WEEKDAY(B29,2),"月","火","水","木","金","土","日")))</f>
        <v/>
      </c>
      <c r="D29" s="18" t="str">
        <f aca="false">IF(B29="","",SUMIFS(先月データ!$Q:$Q,先月データ!$A:$A,B29))</f>
        <v/>
      </c>
      <c r="E29" s="18" t="str">
        <f aca="false">IF(B29="","",SUMIFS(先月データ!$L:$L,先月データ!$A:$A,B29))</f>
        <v/>
      </c>
      <c r="F29" s="18" t="str">
        <f aca="false">IF(B29="","",SUMIFS(先月データ!$R:$R,先月データ!$A:$A,B29))</f>
        <v/>
      </c>
      <c r="G29" s="24" t="str">
        <f aca="false">IF(設定!$B$4="","",IF(A29&lt;=DAY(EOMONTH(設定!$B$4,0)),設定!$B$4+A29-1,""))</f>
        <v/>
      </c>
      <c r="H29" s="41" t="str">
        <f aca="false">IF(G29="","",IF(COUNTIF(祝日!$A:$A,G29)&gt;0,"祝",CHOOSE(WEEKDAY(G29,2),"月","火","水","木","金","土","日")))</f>
        <v/>
      </c>
      <c r="I29" s="18" t="str">
        <f aca="false">IF(G29="","",SUMIFS(先々月データ!$Q:$Q,先々月データ!$A:$A,G29))</f>
        <v/>
      </c>
      <c r="J29" s="18" t="str">
        <f aca="false">IF(G29="","",SUMIFS(先々月データ!$L:$L,先々月データ!$A:$A,G29))</f>
        <v/>
      </c>
      <c r="K29" s="18" t="str">
        <f aca="false">IF(G29="","",SUMIFS(先々月データ!$R:$R,先々月データ!$A:$A,G29))</f>
        <v/>
      </c>
    </row>
    <row r="30" customFormat="false" ht="15" hidden="false" customHeight="false" outlineLevel="0" collapsed="false">
      <c r="A30" s="41" t="n">
        <v>28</v>
      </c>
      <c r="B30" s="24" t="str">
        <f aca="false">IF(設定!$B$3="","",IF(A30&lt;=DAY(EOMONTH(設定!$B$3,0)),設定!$B$3+A30-1,""))</f>
        <v/>
      </c>
      <c r="C30" s="41" t="str">
        <f aca="false">IF(B30="","",IF(COUNTIF(祝日!$A:$A,B30)&gt;0,"祝",CHOOSE(WEEKDAY(B30,2),"月","火","水","木","金","土","日")))</f>
        <v/>
      </c>
      <c r="D30" s="18" t="str">
        <f aca="false">IF(B30="","",SUMIFS(先月データ!$Q:$Q,先月データ!$A:$A,B30))</f>
        <v/>
      </c>
      <c r="E30" s="18" t="str">
        <f aca="false">IF(B30="","",SUMIFS(先月データ!$L:$L,先月データ!$A:$A,B30))</f>
        <v/>
      </c>
      <c r="F30" s="18" t="str">
        <f aca="false">IF(B30="","",SUMIFS(先月データ!$R:$R,先月データ!$A:$A,B30))</f>
        <v/>
      </c>
      <c r="G30" s="24" t="str">
        <f aca="false">IF(設定!$B$4="","",IF(A30&lt;=DAY(EOMONTH(設定!$B$4,0)),設定!$B$4+A30-1,""))</f>
        <v/>
      </c>
      <c r="H30" s="41" t="str">
        <f aca="false">IF(G30="","",IF(COUNTIF(祝日!$A:$A,G30)&gt;0,"祝",CHOOSE(WEEKDAY(G30,2),"月","火","水","木","金","土","日")))</f>
        <v/>
      </c>
      <c r="I30" s="18" t="str">
        <f aca="false">IF(G30="","",SUMIFS(先々月データ!$Q:$Q,先々月データ!$A:$A,G30))</f>
        <v/>
      </c>
      <c r="J30" s="18" t="str">
        <f aca="false">IF(G30="","",SUMIFS(先々月データ!$L:$L,先々月データ!$A:$A,G30))</f>
        <v/>
      </c>
      <c r="K30" s="18" t="str">
        <f aca="false">IF(G30="","",SUMIFS(先々月データ!$R:$R,先々月データ!$A:$A,G30))</f>
        <v/>
      </c>
    </row>
    <row r="31" customFormat="false" ht="15" hidden="false" customHeight="false" outlineLevel="0" collapsed="false">
      <c r="A31" s="41" t="n">
        <v>29</v>
      </c>
      <c r="B31" s="24" t="str">
        <f aca="false">IF(設定!$B$3="","",IF(A31&lt;=DAY(EOMONTH(設定!$B$3,0)),設定!$B$3+A31-1,""))</f>
        <v/>
      </c>
      <c r="C31" s="41" t="str">
        <f aca="false">IF(B31="","",IF(COUNTIF(祝日!$A:$A,B31)&gt;0,"祝",CHOOSE(WEEKDAY(B31,2),"月","火","水","木","金","土","日")))</f>
        <v/>
      </c>
      <c r="D31" s="18" t="str">
        <f aca="false">IF(B31="","",SUMIFS(先月データ!$Q:$Q,先月データ!$A:$A,B31))</f>
        <v/>
      </c>
      <c r="E31" s="18" t="str">
        <f aca="false">IF(B31="","",SUMIFS(先月データ!$L:$L,先月データ!$A:$A,B31))</f>
        <v/>
      </c>
      <c r="F31" s="18" t="str">
        <f aca="false">IF(B31="","",SUMIFS(先月データ!$R:$R,先月データ!$A:$A,B31))</f>
        <v/>
      </c>
      <c r="G31" s="24" t="str">
        <f aca="false">IF(設定!$B$4="","",IF(A31&lt;=DAY(EOMONTH(設定!$B$4,0)),設定!$B$4+A31-1,""))</f>
        <v/>
      </c>
      <c r="H31" s="41" t="str">
        <f aca="false">IF(G31="","",IF(COUNTIF(祝日!$A:$A,G31)&gt;0,"祝",CHOOSE(WEEKDAY(G31,2),"月","火","水","木","金","土","日")))</f>
        <v/>
      </c>
      <c r="I31" s="18" t="str">
        <f aca="false">IF(G31="","",SUMIFS(先々月データ!$Q:$Q,先々月データ!$A:$A,G31))</f>
        <v/>
      </c>
      <c r="J31" s="18" t="str">
        <f aca="false">IF(G31="","",SUMIFS(先々月データ!$L:$L,先々月データ!$A:$A,G31))</f>
        <v/>
      </c>
      <c r="K31" s="18" t="str">
        <f aca="false">IF(G31="","",SUMIFS(先々月データ!$R:$R,先々月データ!$A:$A,G31))</f>
        <v/>
      </c>
    </row>
    <row r="32" customFormat="false" ht="15" hidden="false" customHeight="false" outlineLevel="0" collapsed="false">
      <c r="A32" s="41" t="n">
        <v>30</v>
      </c>
      <c r="B32" s="24" t="str">
        <f aca="false">IF(設定!$B$3="","",IF(A32&lt;=DAY(EOMONTH(設定!$B$3,0)),設定!$B$3+A32-1,""))</f>
        <v/>
      </c>
      <c r="C32" s="41" t="str">
        <f aca="false">IF(B32="","",IF(COUNTIF(祝日!$A:$A,B32)&gt;0,"祝",CHOOSE(WEEKDAY(B32,2),"月","火","水","木","金","土","日")))</f>
        <v/>
      </c>
      <c r="D32" s="18" t="str">
        <f aca="false">IF(B32="","",SUMIFS(先月データ!$Q:$Q,先月データ!$A:$A,B32))</f>
        <v/>
      </c>
      <c r="E32" s="18" t="str">
        <f aca="false">IF(B32="","",SUMIFS(先月データ!$L:$L,先月データ!$A:$A,B32))</f>
        <v/>
      </c>
      <c r="F32" s="18" t="str">
        <f aca="false">IF(B32="","",SUMIFS(先月データ!$R:$R,先月データ!$A:$A,B32))</f>
        <v/>
      </c>
      <c r="G32" s="24" t="str">
        <f aca="false">IF(設定!$B$4="","",IF(A32&lt;=DAY(EOMONTH(設定!$B$4,0)),設定!$B$4+A32-1,""))</f>
        <v/>
      </c>
      <c r="H32" s="41" t="str">
        <f aca="false">IF(G32="","",IF(COUNTIF(祝日!$A:$A,G32)&gt;0,"祝",CHOOSE(WEEKDAY(G32,2),"月","火","水","木","金","土","日")))</f>
        <v/>
      </c>
      <c r="I32" s="18" t="str">
        <f aca="false">IF(G32="","",SUMIFS(先々月データ!$Q:$Q,先々月データ!$A:$A,G32))</f>
        <v/>
      </c>
      <c r="J32" s="18" t="str">
        <f aca="false">IF(G32="","",SUMIFS(先々月データ!$L:$L,先々月データ!$A:$A,G32))</f>
        <v/>
      </c>
      <c r="K32" s="18" t="str">
        <f aca="false">IF(G32="","",SUMIFS(先々月データ!$R:$R,先々月データ!$A:$A,G32))</f>
        <v/>
      </c>
    </row>
    <row r="33" customFormat="false" ht="15" hidden="false" customHeight="false" outlineLevel="0" collapsed="false">
      <c r="A33" s="41" t="n">
        <v>31</v>
      </c>
      <c r="B33" s="24" t="str">
        <f aca="false">IF(設定!$B$3="","",IF(A33&lt;=DAY(EOMONTH(設定!$B$3,0)),設定!$B$3+A33-1,""))</f>
        <v/>
      </c>
      <c r="C33" s="41" t="str">
        <f aca="false">IF(B33="","",IF(COUNTIF(祝日!$A:$A,B33)&gt;0,"祝",CHOOSE(WEEKDAY(B33,2),"月","火","水","木","金","土","日")))</f>
        <v/>
      </c>
      <c r="D33" s="18" t="str">
        <f aca="false">IF(B33="","",SUMIFS(先月データ!$Q:$Q,先月データ!$A:$A,B33))</f>
        <v/>
      </c>
      <c r="E33" s="18" t="str">
        <f aca="false">IF(B33="","",SUMIFS(先月データ!$L:$L,先月データ!$A:$A,B33))</f>
        <v/>
      </c>
      <c r="F33" s="18" t="str">
        <f aca="false">IF(B33="","",SUMIFS(先月データ!$R:$R,先月データ!$A:$A,B33))</f>
        <v/>
      </c>
      <c r="G33" s="24" t="str">
        <f aca="false">IF(設定!$B$4="","",IF(A33&lt;=DAY(EOMONTH(設定!$B$4,0)),設定!$B$4+A33-1,""))</f>
        <v/>
      </c>
      <c r="H33" s="41" t="str">
        <f aca="false">IF(G33="","",IF(COUNTIF(祝日!$A:$A,G33)&gt;0,"祝",CHOOSE(WEEKDAY(G33,2),"月","火","水","木","金","土","日")))</f>
        <v/>
      </c>
      <c r="I33" s="18" t="str">
        <f aca="false">IF(G33="","",SUMIFS(先々月データ!$Q:$Q,先々月データ!$A:$A,G33))</f>
        <v/>
      </c>
      <c r="J33" s="18" t="str">
        <f aca="false">IF(G33="","",SUMIFS(先々月データ!$L:$L,先々月データ!$A:$A,G33))</f>
        <v/>
      </c>
      <c r="K33" s="18" t="str">
        <f aca="false">IF(G33="","",SUMIFS(先々月データ!$R:$R,先々月データ!$A:$A,G33))</f>
        <v/>
      </c>
    </row>
    <row r="35" customFormat="false" ht="15" hidden="false" customHeight="false" outlineLevel="0" collapsed="false">
      <c r="A35" s="29" t="s">
        <v>95</v>
      </c>
    </row>
    <row r="36" customFormat="false" ht="26.85" hidden="false" customHeight="false" outlineLevel="0" collapsed="false">
      <c r="A36" s="10" t="s">
        <v>38</v>
      </c>
      <c r="B36" s="10" t="s">
        <v>96</v>
      </c>
      <c r="C36" s="10" t="s">
        <v>97</v>
      </c>
      <c r="D36" s="10" t="s">
        <v>98</v>
      </c>
      <c r="E36" s="10" t="s">
        <v>99</v>
      </c>
      <c r="F36" s="10" t="s">
        <v>100</v>
      </c>
      <c r="G36" s="10" t="s">
        <v>101</v>
      </c>
      <c r="H36" s="10" t="s">
        <v>102</v>
      </c>
      <c r="I36" s="10" t="s">
        <v>103</v>
      </c>
      <c r="J36" s="10" t="s">
        <v>104</v>
      </c>
    </row>
    <row r="37" customFormat="false" ht="15" hidden="false" customHeight="false" outlineLevel="0" collapsed="false">
      <c r="A37" s="42" t="s">
        <v>105</v>
      </c>
      <c r="B37" s="25" t="n">
        <f aca="false">COUNTIFS($C$3:$C$33,A37,$D$3:$D$33,"&gt;0")</f>
        <v>0</v>
      </c>
      <c r="C37" s="13" t="str">
        <f aca="false">IF(B37&gt;0,AVERAGEIFS($D$3:$D$33,$C$3:$C$33,A37,$D$3:$D$33,"&gt;0"),"")</f>
        <v/>
      </c>
      <c r="D37" s="25" t="n">
        <f aca="false">COUNTIFS($H$3:$H$33,A37,$I$3:$I$33,"&gt;0")</f>
        <v>0</v>
      </c>
      <c r="E37" s="13" t="str">
        <f aca="false">IF(D37&gt;0,AVERAGEIFS($I$3:$I$33,$H$3:$H$33,A37,$I$3:$I$33,"&gt;0"),"")</f>
        <v/>
      </c>
      <c r="F37" s="13" t="str">
        <f aca="false">IF(AND(B37&gt;0,D37&gt;0),(設定!$B$8*C37+設定!$B$9*E37)/(設定!$B$8+設定!$B$9),IF(B37&gt;0,C37,IF(D37&gt;0,E37,"")))</f>
        <v/>
      </c>
      <c r="G37" s="13" t="n">
        <f aca="false">IF(F37&lt;&gt;"",F37,IF(AND(A37="祝",$F$43&lt;&gt;""),$F$43,$G$46))</f>
        <v>0</v>
      </c>
      <c r="H37" s="18" t="str">
        <f aca="false">IFERROR(SUMIFS($E$3:$E$33,$C$3:$C$33,A37)/SUMIFS($D$3:$D$33,$C$3:$C$33,A37),"")</f>
        <v/>
      </c>
      <c r="I37" s="18" t="str">
        <f aca="false">IFERROR(SUMIFS($J$3:$J$33,$H$3:$H$33,A37)/SUMIFS($I$3:$I$33,$H$3:$H$33,A37),"")</f>
        <v/>
      </c>
      <c r="J37" s="18" t="n">
        <f aca="false">IF(AND(H37&lt;&gt;"",I37&lt;&gt;""),(設定!$B$8*H37+設定!$B$9*I37)/(設定!$B$8+設定!$B$9),IF(H37&lt;&gt;"",H37,IF(I37&lt;&gt;"",I37,$J$46)))</f>
        <v>0</v>
      </c>
    </row>
    <row r="38" customFormat="false" ht="15" hidden="false" customHeight="false" outlineLevel="0" collapsed="false">
      <c r="A38" s="42" t="s">
        <v>106</v>
      </c>
      <c r="B38" s="25" t="n">
        <f aca="false">COUNTIFS($C$3:$C$33,A38,$D$3:$D$33,"&gt;0")</f>
        <v>0</v>
      </c>
      <c r="C38" s="13" t="str">
        <f aca="false">IF(B38&gt;0,AVERAGEIFS($D$3:$D$33,$C$3:$C$33,A38,$D$3:$D$33,"&gt;0"),"")</f>
        <v/>
      </c>
      <c r="D38" s="25" t="n">
        <f aca="false">COUNTIFS($H$3:$H$33,A38,$I$3:$I$33,"&gt;0")</f>
        <v>0</v>
      </c>
      <c r="E38" s="13" t="str">
        <f aca="false">IF(D38&gt;0,AVERAGEIFS($I$3:$I$33,$H$3:$H$33,A38,$I$3:$I$33,"&gt;0"),"")</f>
        <v/>
      </c>
      <c r="F38" s="13" t="str">
        <f aca="false">IF(AND(B38&gt;0,D38&gt;0),(設定!$B$8*C38+設定!$B$9*E38)/(設定!$B$8+設定!$B$9),IF(B38&gt;0,C38,IF(D38&gt;0,E38,"")))</f>
        <v/>
      </c>
      <c r="G38" s="13" t="n">
        <f aca="false">IF(F38&lt;&gt;"",F38,IF(AND(A38="祝",$F$43&lt;&gt;""),$F$43,$G$46))</f>
        <v>0</v>
      </c>
      <c r="H38" s="18" t="str">
        <f aca="false">IFERROR(SUMIFS($E$3:$E$33,$C$3:$C$33,A38)/SUMIFS($D$3:$D$33,$C$3:$C$33,A38),"")</f>
        <v/>
      </c>
      <c r="I38" s="18" t="str">
        <f aca="false">IFERROR(SUMIFS($J$3:$J$33,$H$3:$H$33,A38)/SUMIFS($I$3:$I$33,$H$3:$H$33,A38),"")</f>
        <v/>
      </c>
      <c r="J38" s="18" t="n">
        <f aca="false">IF(AND(H38&lt;&gt;"",I38&lt;&gt;""),(設定!$B$8*H38+設定!$B$9*I38)/(設定!$B$8+設定!$B$9),IF(H38&lt;&gt;"",H38,IF(I38&lt;&gt;"",I38,$J$46)))</f>
        <v>0</v>
      </c>
    </row>
    <row r="39" customFormat="false" ht="15" hidden="false" customHeight="false" outlineLevel="0" collapsed="false">
      <c r="A39" s="42" t="s">
        <v>107</v>
      </c>
      <c r="B39" s="25" t="n">
        <f aca="false">COUNTIFS($C$3:$C$33,A39,$D$3:$D$33,"&gt;0")</f>
        <v>0</v>
      </c>
      <c r="C39" s="13" t="str">
        <f aca="false">IF(B39&gt;0,AVERAGEIFS($D$3:$D$33,$C$3:$C$33,A39,$D$3:$D$33,"&gt;0"),"")</f>
        <v/>
      </c>
      <c r="D39" s="25" t="n">
        <f aca="false">COUNTIFS($H$3:$H$33,A39,$I$3:$I$33,"&gt;0")</f>
        <v>0</v>
      </c>
      <c r="E39" s="13" t="str">
        <f aca="false">IF(D39&gt;0,AVERAGEIFS($I$3:$I$33,$H$3:$H$33,A39,$I$3:$I$33,"&gt;0"),"")</f>
        <v/>
      </c>
      <c r="F39" s="13" t="str">
        <f aca="false">IF(AND(B39&gt;0,D39&gt;0),(設定!$B$8*C39+設定!$B$9*E39)/(設定!$B$8+設定!$B$9),IF(B39&gt;0,C39,IF(D39&gt;0,E39,"")))</f>
        <v/>
      </c>
      <c r="G39" s="13" t="n">
        <f aca="false">IF(F39&lt;&gt;"",F39,IF(AND(A39="祝",$F$43&lt;&gt;""),$F$43,$G$46))</f>
        <v>0</v>
      </c>
      <c r="H39" s="18" t="str">
        <f aca="false">IFERROR(SUMIFS($E$3:$E$33,$C$3:$C$33,A39)/SUMIFS($D$3:$D$33,$C$3:$C$33,A39),"")</f>
        <v/>
      </c>
      <c r="I39" s="18" t="str">
        <f aca="false">IFERROR(SUMIFS($J$3:$J$33,$H$3:$H$33,A39)/SUMIFS($I$3:$I$33,$H$3:$H$33,A39),"")</f>
        <v/>
      </c>
      <c r="J39" s="18" t="n">
        <f aca="false">IF(AND(H39&lt;&gt;"",I39&lt;&gt;""),(設定!$B$8*H39+設定!$B$9*I39)/(設定!$B$8+設定!$B$9),IF(H39&lt;&gt;"",H39,IF(I39&lt;&gt;"",I39,$J$46)))</f>
        <v>0</v>
      </c>
    </row>
    <row r="40" customFormat="false" ht="15" hidden="false" customHeight="false" outlineLevel="0" collapsed="false">
      <c r="A40" s="42" t="s">
        <v>108</v>
      </c>
      <c r="B40" s="25" t="n">
        <f aca="false">COUNTIFS($C$3:$C$33,A40,$D$3:$D$33,"&gt;0")</f>
        <v>0</v>
      </c>
      <c r="C40" s="13" t="str">
        <f aca="false">IF(B40&gt;0,AVERAGEIFS($D$3:$D$33,$C$3:$C$33,A40,$D$3:$D$33,"&gt;0"),"")</f>
        <v/>
      </c>
      <c r="D40" s="25" t="n">
        <f aca="false">COUNTIFS($H$3:$H$33,A40,$I$3:$I$33,"&gt;0")</f>
        <v>0</v>
      </c>
      <c r="E40" s="13" t="str">
        <f aca="false">IF(D40&gt;0,AVERAGEIFS($I$3:$I$33,$H$3:$H$33,A40,$I$3:$I$33,"&gt;0"),"")</f>
        <v/>
      </c>
      <c r="F40" s="13" t="str">
        <f aca="false">IF(AND(B40&gt;0,D40&gt;0),(設定!$B$8*C40+設定!$B$9*E40)/(設定!$B$8+設定!$B$9),IF(B40&gt;0,C40,IF(D40&gt;0,E40,"")))</f>
        <v/>
      </c>
      <c r="G40" s="13" t="n">
        <f aca="false">IF(F40&lt;&gt;"",F40,IF(AND(A40="祝",$F$43&lt;&gt;""),$F$43,$G$46))</f>
        <v>0</v>
      </c>
      <c r="H40" s="18" t="str">
        <f aca="false">IFERROR(SUMIFS($E$3:$E$33,$C$3:$C$33,A40)/SUMIFS($D$3:$D$33,$C$3:$C$33,A40),"")</f>
        <v/>
      </c>
      <c r="I40" s="18" t="str">
        <f aca="false">IFERROR(SUMIFS($J$3:$J$33,$H$3:$H$33,A40)/SUMIFS($I$3:$I$33,$H$3:$H$33,A40),"")</f>
        <v/>
      </c>
      <c r="J40" s="18" t="n">
        <f aca="false">IF(AND(H40&lt;&gt;"",I40&lt;&gt;""),(設定!$B$8*H40+設定!$B$9*I40)/(設定!$B$8+設定!$B$9),IF(H40&lt;&gt;"",H40,IF(I40&lt;&gt;"",I40,$J$46)))</f>
        <v>0</v>
      </c>
    </row>
    <row r="41" customFormat="false" ht="15" hidden="false" customHeight="false" outlineLevel="0" collapsed="false">
      <c r="A41" s="42" t="s">
        <v>109</v>
      </c>
      <c r="B41" s="25" t="n">
        <f aca="false">COUNTIFS($C$3:$C$33,A41,$D$3:$D$33,"&gt;0")</f>
        <v>0</v>
      </c>
      <c r="C41" s="13" t="str">
        <f aca="false">IF(B41&gt;0,AVERAGEIFS($D$3:$D$33,$C$3:$C$33,A41,$D$3:$D$33,"&gt;0"),"")</f>
        <v/>
      </c>
      <c r="D41" s="25" t="n">
        <f aca="false">COUNTIFS($H$3:$H$33,A41,$I$3:$I$33,"&gt;0")</f>
        <v>0</v>
      </c>
      <c r="E41" s="13" t="str">
        <f aca="false">IF(D41&gt;0,AVERAGEIFS($I$3:$I$33,$H$3:$H$33,A41,$I$3:$I$33,"&gt;0"),"")</f>
        <v/>
      </c>
      <c r="F41" s="13" t="str">
        <f aca="false">IF(AND(B41&gt;0,D41&gt;0),(設定!$B$8*C41+設定!$B$9*E41)/(設定!$B$8+設定!$B$9),IF(B41&gt;0,C41,IF(D41&gt;0,E41,"")))</f>
        <v/>
      </c>
      <c r="G41" s="13" t="n">
        <f aca="false">IF(F41&lt;&gt;"",F41,IF(AND(A41="祝",$F$43&lt;&gt;""),$F$43,$G$46))</f>
        <v>0</v>
      </c>
      <c r="H41" s="18" t="str">
        <f aca="false">IFERROR(SUMIFS($E$3:$E$33,$C$3:$C$33,A41)/SUMIFS($D$3:$D$33,$C$3:$C$33,A41),"")</f>
        <v/>
      </c>
      <c r="I41" s="18" t="str">
        <f aca="false">IFERROR(SUMIFS($J$3:$J$33,$H$3:$H$33,A41)/SUMIFS($I$3:$I$33,$H$3:$H$33,A41),"")</f>
        <v/>
      </c>
      <c r="J41" s="18" t="n">
        <f aca="false">IF(AND(H41&lt;&gt;"",I41&lt;&gt;""),(設定!$B$8*H41+設定!$B$9*I41)/(設定!$B$8+設定!$B$9),IF(H41&lt;&gt;"",H41,IF(I41&lt;&gt;"",I41,$J$46)))</f>
        <v>0</v>
      </c>
    </row>
    <row r="42" customFormat="false" ht="15" hidden="false" customHeight="false" outlineLevel="0" collapsed="false">
      <c r="A42" s="42" t="s">
        <v>110</v>
      </c>
      <c r="B42" s="25" t="n">
        <f aca="false">COUNTIFS($C$3:$C$33,A42,$D$3:$D$33,"&gt;0")</f>
        <v>0</v>
      </c>
      <c r="C42" s="13" t="str">
        <f aca="false">IF(B42&gt;0,AVERAGEIFS($D$3:$D$33,$C$3:$C$33,A42,$D$3:$D$33,"&gt;0"),"")</f>
        <v/>
      </c>
      <c r="D42" s="25" t="n">
        <f aca="false">COUNTIFS($H$3:$H$33,A42,$I$3:$I$33,"&gt;0")</f>
        <v>0</v>
      </c>
      <c r="E42" s="13" t="str">
        <f aca="false">IF(D42&gt;0,AVERAGEIFS($I$3:$I$33,$H$3:$H$33,A42,$I$3:$I$33,"&gt;0"),"")</f>
        <v/>
      </c>
      <c r="F42" s="13" t="str">
        <f aca="false">IF(AND(B42&gt;0,D42&gt;0),(設定!$B$8*C42+設定!$B$9*E42)/(設定!$B$8+設定!$B$9),IF(B42&gt;0,C42,IF(D42&gt;0,E42,"")))</f>
        <v/>
      </c>
      <c r="G42" s="13" t="n">
        <f aca="false">IF(F42&lt;&gt;"",F42,IF(AND(A42="祝",$F$43&lt;&gt;""),$F$43,$G$46))</f>
        <v>0</v>
      </c>
      <c r="H42" s="18" t="str">
        <f aca="false">IFERROR(SUMIFS($E$3:$E$33,$C$3:$C$33,A42)/SUMIFS($D$3:$D$33,$C$3:$C$33,A42),"")</f>
        <v/>
      </c>
      <c r="I42" s="18" t="str">
        <f aca="false">IFERROR(SUMIFS($J$3:$J$33,$H$3:$H$33,A42)/SUMIFS($I$3:$I$33,$H$3:$H$33,A42),"")</f>
        <v/>
      </c>
      <c r="J42" s="18" t="n">
        <f aca="false">IF(AND(H42&lt;&gt;"",I42&lt;&gt;""),(設定!$B$8*H42+設定!$B$9*I42)/(設定!$B$8+設定!$B$9),IF(H42&lt;&gt;"",H42,IF(I42&lt;&gt;"",I42,$J$46)))</f>
        <v>0</v>
      </c>
    </row>
    <row r="43" customFormat="false" ht="15" hidden="false" customHeight="false" outlineLevel="0" collapsed="false">
      <c r="A43" s="42" t="s">
        <v>89</v>
      </c>
      <c r="B43" s="25" t="n">
        <f aca="false">COUNTIFS($C$3:$C$33,A43,$D$3:$D$33,"&gt;0")</f>
        <v>0</v>
      </c>
      <c r="C43" s="13" t="str">
        <f aca="false">IF(B43&gt;0,AVERAGEIFS($D$3:$D$33,$C$3:$C$33,A43,$D$3:$D$33,"&gt;0"),"")</f>
        <v/>
      </c>
      <c r="D43" s="25" t="n">
        <f aca="false">COUNTIFS($H$3:$H$33,A43,$I$3:$I$33,"&gt;0")</f>
        <v>0</v>
      </c>
      <c r="E43" s="13" t="str">
        <f aca="false">IF(D43&gt;0,AVERAGEIFS($I$3:$I$33,$H$3:$H$33,A43,$I$3:$I$33,"&gt;0"),"")</f>
        <v/>
      </c>
      <c r="F43" s="13" t="str">
        <f aca="false">IF(AND(B43&gt;0,D43&gt;0),(設定!$B$8*C43+設定!$B$9*E43)/(設定!$B$8+設定!$B$9),IF(B43&gt;0,C43,IF(D43&gt;0,E43,"")))</f>
        <v/>
      </c>
      <c r="G43" s="13" t="n">
        <f aca="false">IF(F43&lt;&gt;"",F43,IF(AND(A43="祝",$F$43&lt;&gt;""),$F$43,$G$46))</f>
        <v>0</v>
      </c>
      <c r="H43" s="18" t="str">
        <f aca="false">IFERROR(SUMIFS($E$3:$E$33,$C$3:$C$33,A43)/SUMIFS($D$3:$D$33,$C$3:$C$33,A43),"")</f>
        <v/>
      </c>
      <c r="I43" s="18" t="str">
        <f aca="false">IFERROR(SUMIFS($J$3:$J$33,$H$3:$H$33,A43)/SUMIFS($I$3:$I$33,$H$3:$H$33,A43),"")</f>
        <v/>
      </c>
      <c r="J43" s="18" t="n">
        <f aca="false">IF(AND(H43&lt;&gt;"",I43&lt;&gt;""),(設定!$B$8*H43+設定!$B$9*I43)/(設定!$B$8+設定!$B$9),IF(H43&lt;&gt;"",H43,IF(I43&lt;&gt;"",I43,$J$46)))</f>
        <v>0</v>
      </c>
    </row>
    <row r="44" customFormat="false" ht="15" hidden="false" customHeight="false" outlineLevel="0" collapsed="false">
      <c r="A44" s="42" t="s">
        <v>111</v>
      </c>
      <c r="B44" s="25" t="n">
        <f aca="false">COUNTIFS($C$3:$C$33,A44,$D$3:$D$33,"&gt;0")</f>
        <v>0</v>
      </c>
      <c r="C44" s="13" t="str">
        <f aca="false">IF(B44&gt;0,AVERAGEIFS($D$3:$D$33,$C$3:$C$33,A44,$D$3:$D$33,"&gt;0"),"")</f>
        <v/>
      </c>
      <c r="D44" s="25" t="n">
        <f aca="false">COUNTIFS($H$3:$H$33,A44,$I$3:$I$33,"&gt;0")</f>
        <v>0</v>
      </c>
      <c r="E44" s="13" t="str">
        <f aca="false">IF(D44&gt;0,AVERAGEIFS($I$3:$I$33,$H$3:$H$33,A44,$I$3:$I$33,"&gt;0"),"")</f>
        <v/>
      </c>
      <c r="F44" s="13" t="str">
        <f aca="false">IF(AND(B44&gt;0,D44&gt;0),(設定!$B$8*C44+設定!$B$9*E44)/(設定!$B$8+設定!$B$9),IF(B44&gt;0,C44,IF(D44&gt;0,E44,"")))</f>
        <v/>
      </c>
      <c r="G44" s="13" t="n">
        <f aca="false">IF(F44&lt;&gt;"",F44,IF(AND(A44="祝",$F$43&lt;&gt;""),$F$43,$G$46))</f>
        <v>0</v>
      </c>
      <c r="H44" s="18" t="str">
        <f aca="false">IFERROR(SUMIFS($E$3:$E$33,$C$3:$C$33,A44)/SUMIFS($D$3:$D$33,$C$3:$C$33,A44),"")</f>
        <v/>
      </c>
      <c r="I44" s="18" t="str">
        <f aca="false">IFERROR(SUMIFS($J$3:$J$33,$H$3:$H$33,A44)/SUMIFS($I$3:$I$33,$H$3:$H$33,A44),"")</f>
        <v/>
      </c>
      <c r="J44" s="18" t="n">
        <f aca="false">IF(AND(H44&lt;&gt;"",I44&lt;&gt;""),(設定!$B$8*H44+設定!$B$9*I44)/(設定!$B$8+設定!$B$9),IF(H44&lt;&gt;"",H44,IF(I44&lt;&gt;"",I44,$J$46)))</f>
        <v>0</v>
      </c>
    </row>
    <row r="46" customFormat="false" ht="15" hidden="false" customHeight="false" outlineLevel="0" collapsed="false">
      <c r="A46" s="43" t="s">
        <v>112</v>
      </c>
      <c r="B46" s="43"/>
      <c r="C46" s="43"/>
      <c r="D46" s="43"/>
      <c r="E46" s="43"/>
      <c r="F46" s="43"/>
      <c r="G46" s="44" t="n">
        <f aca="false">IFERROR((設定!$B$8*IFERROR(AVERAGEIF($D$3:$D$33,"&gt;0"),0)+設定!$B$9*IFERROR(AVERAGEIF($I$3:$I$33,"&gt;0"),0))/(設定!$B$8*(COUNTIF($D$3:$D$33,"&gt;0")&gt;0)+設定!$B$9*(COUNTIF($I$3:$I$33,"&gt;0")&gt;0)),0)</f>
        <v>0</v>
      </c>
      <c r="H46" s="43"/>
      <c r="I46" s="43"/>
      <c r="J46" s="43" t="n">
        <f aca="false">IFERROR((SUM($E$3:$E$33)+SUM($J$3:$J$33))/(SUM($D$3:$D$33)+SUM($I$3:$I$33)),0)</f>
        <v>0</v>
      </c>
    </row>
    <row r="50" customFormat="false" ht="15" hidden="false" customHeight="false" outlineLevel="0" collapsed="false">
      <c r="A50" s="29" t="s">
        <v>113</v>
      </c>
    </row>
    <row r="51" customFormat="false" ht="15" hidden="false" customHeight="false" outlineLevel="0" collapsed="false">
      <c r="A51" s="45" t="s">
        <v>38</v>
      </c>
      <c r="B51" s="23" t="n">
        <v>11</v>
      </c>
      <c r="C51" s="23" t="n">
        <v>12</v>
      </c>
      <c r="D51" s="23" t="n">
        <v>13</v>
      </c>
      <c r="E51" s="23" t="n">
        <v>14</v>
      </c>
      <c r="F51" s="23" t="n">
        <v>15</v>
      </c>
      <c r="G51" s="23" t="n">
        <v>16</v>
      </c>
      <c r="H51" s="23" t="n">
        <v>17</v>
      </c>
      <c r="I51" s="23" t="n">
        <v>18</v>
      </c>
      <c r="J51" s="23" t="n">
        <v>19</v>
      </c>
      <c r="K51" s="23" t="n">
        <v>20</v>
      </c>
      <c r="L51" s="23" t="n">
        <v>21</v>
      </c>
      <c r="M51" s="23" t="n">
        <v>22</v>
      </c>
      <c r="N51" s="23" t="n">
        <v>23</v>
      </c>
      <c r="O51" s="45" t="s">
        <v>36</v>
      </c>
    </row>
    <row r="52" customFormat="false" ht="15" hidden="false" customHeight="false" outlineLevel="0" collapsed="false">
      <c r="A52" s="35" t="s">
        <v>105</v>
      </c>
      <c r="B52" s="46" t="n">
        <f aca="false">IF(N($O63)&gt;0,N(B63)/$O63,IF(AND($A52="祝",N($O$69)&gt;0),N(B$69)/$O$69,IFERROR(SUM(B$63:B$70)/SUM($O$63:$O$70),0)))</f>
        <v>0</v>
      </c>
      <c r="C52" s="46" t="n">
        <f aca="false">IF(N($O63)&gt;0,N(C63)/$O63,IF(AND($A52="祝",N($O$69)&gt;0),N(C$69)/$O$69,IFERROR(SUM(C$63:C$70)/SUM($O$63:$O$70),0)))</f>
        <v>0</v>
      </c>
      <c r="D52" s="46" t="n">
        <f aca="false">IF(N($O63)&gt;0,N(D63)/$O63,IF(AND($A52="祝",N($O$69)&gt;0),N(D$69)/$O$69,IFERROR(SUM(D$63:D$70)/SUM($O$63:$O$70),0)))</f>
        <v>0</v>
      </c>
      <c r="E52" s="46" t="n">
        <f aca="false">IF(N($O63)&gt;0,N(E63)/$O63,IF(AND($A52="祝",N($O$69)&gt;0),N(E$69)/$O$69,IFERROR(SUM(E$63:E$70)/SUM($O$63:$O$70),0)))</f>
        <v>0</v>
      </c>
      <c r="F52" s="46" t="n">
        <f aca="false">IF(N($O63)&gt;0,N(F63)/$O63,IF(AND($A52="祝",N($O$69)&gt;0),N(F$69)/$O$69,IFERROR(SUM(F$63:F$70)/SUM($O$63:$O$70),0)))</f>
        <v>0</v>
      </c>
      <c r="G52" s="46" t="n">
        <f aca="false">IF(N($O63)&gt;0,N(G63)/$O63,IF(AND($A52="祝",N($O$69)&gt;0),N(G$69)/$O$69,IFERROR(SUM(G$63:G$70)/SUM($O$63:$O$70),0)))</f>
        <v>0</v>
      </c>
      <c r="H52" s="46" t="n">
        <f aca="false">IF(N($O63)&gt;0,N(H63)/$O63,IF(AND($A52="祝",N($O$69)&gt;0),N(H$69)/$O$69,IFERROR(SUM(H$63:H$70)/SUM($O$63:$O$70),0)))</f>
        <v>0</v>
      </c>
      <c r="I52" s="46" t="n">
        <f aca="false">IF(N($O63)&gt;0,N(I63)/$O63,IF(AND($A52="祝",N($O$69)&gt;0),N(I$69)/$O$69,IFERROR(SUM(I$63:I$70)/SUM($O$63:$O$70),0)))</f>
        <v>0</v>
      </c>
      <c r="J52" s="46" t="n">
        <f aca="false">IF(N($O63)&gt;0,N(J63)/$O63,IF(AND($A52="祝",N($O$69)&gt;0),N(J$69)/$O$69,IFERROR(SUM(J$63:J$70)/SUM($O$63:$O$70),0)))</f>
        <v>0</v>
      </c>
      <c r="K52" s="46" t="n">
        <f aca="false">IF(N($O63)&gt;0,N(K63)/$O63,IF(AND($A52="祝",N($O$69)&gt;0),N(K$69)/$O$69,IFERROR(SUM(K$63:K$70)/SUM($O$63:$O$70),0)))</f>
        <v>0</v>
      </c>
      <c r="L52" s="46" t="n">
        <f aca="false">IF(N($O63)&gt;0,N(L63)/$O63,IF(AND($A52="祝",N($O$69)&gt;0),N(L$69)/$O$69,IFERROR(SUM(L$63:L$70)/SUM($O$63:$O$70),0)))</f>
        <v>0</v>
      </c>
      <c r="M52" s="46" t="n">
        <f aca="false">IF(N($O63)&gt;0,N(M63)/$O63,IF(AND($A52="祝",N($O$69)&gt;0),N(M$69)/$O$69,IFERROR(SUM(M$63:M$70)/SUM($O$63:$O$70),0)))</f>
        <v>0</v>
      </c>
      <c r="N52" s="46" t="n">
        <f aca="false">IF(N($O63)&gt;0,N(N63)/$O63,IF(AND($A52="祝",N($O$69)&gt;0),N(N$69)/$O$69,IFERROR(SUM(N$63:N$70)/SUM($O$63:$O$70),0)))</f>
        <v>0</v>
      </c>
      <c r="O52" s="47" t="n">
        <f aca="false">SUM(B52:N52)</f>
        <v>0</v>
      </c>
    </row>
    <row r="53" customFormat="false" ht="15" hidden="false" customHeight="false" outlineLevel="0" collapsed="false">
      <c r="A53" s="35" t="s">
        <v>106</v>
      </c>
      <c r="B53" s="46" t="n">
        <f aca="false">IF(N($O64)&gt;0,N(B64)/$O64,IF(AND($A53="祝",N($O$69)&gt;0),N(B$69)/$O$69,IFERROR(SUM(B$63:B$70)/SUM($O$63:$O$70),0)))</f>
        <v>0</v>
      </c>
      <c r="C53" s="46" t="n">
        <f aca="false">IF(N($O64)&gt;0,N(C64)/$O64,IF(AND($A53="祝",N($O$69)&gt;0),N(C$69)/$O$69,IFERROR(SUM(C$63:C$70)/SUM($O$63:$O$70),0)))</f>
        <v>0</v>
      </c>
      <c r="D53" s="46" t="n">
        <f aca="false">IF(N($O64)&gt;0,N(D64)/$O64,IF(AND($A53="祝",N($O$69)&gt;0),N(D$69)/$O$69,IFERROR(SUM(D$63:D$70)/SUM($O$63:$O$70),0)))</f>
        <v>0</v>
      </c>
      <c r="E53" s="46" t="n">
        <f aca="false">IF(N($O64)&gt;0,N(E64)/$O64,IF(AND($A53="祝",N($O$69)&gt;0),N(E$69)/$O$69,IFERROR(SUM(E$63:E$70)/SUM($O$63:$O$70),0)))</f>
        <v>0</v>
      </c>
      <c r="F53" s="46" t="n">
        <f aca="false">IF(N($O64)&gt;0,N(F64)/$O64,IF(AND($A53="祝",N($O$69)&gt;0),N(F$69)/$O$69,IFERROR(SUM(F$63:F$70)/SUM($O$63:$O$70),0)))</f>
        <v>0</v>
      </c>
      <c r="G53" s="46" t="n">
        <f aca="false">IF(N($O64)&gt;0,N(G64)/$O64,IF(AND($A53="祝",N($O$69)&gt;0),N(G$69)/$O$69,IFERROR(SUM(G$63:G$70)/SUM($O$63:$O$70),0)))</f>
        <v>0</v>
      </c>
      <c r="H53" s="46" t="n">
        <f aca="false">IF(N($O64)&gt;0,N(H64)/$O64,IF(AND($A53="祝",N($O$69)&gt;0),N(H$69)/$O$69,IFERROR(SUM(H$63:H$70)/SUM($O$63:$O$70),0)))</f>
        <v>0</v>
      </c>
      <c r="I53" s="46" t="n">
        <f aca="false">IF(N($O64)&gt;0,N(I64)/$O64,IF(AND($A53="祝",N($O$69)&gt;0),N(I$69)/$O$69,IFERROR(SUM(I$63:I$70)/SUM($O$63:$O$70),0)))</f>
        <v>0</v>
      </c>
      <c r="J53" s="46" t="n">
        <f aca="false">IF(N($O64)&gt;0,N(J64)/$O64,IF(AND($A53="祝",N($O$69)&gt;0),N(J$69)/$O$69,IFERROR(SUM(J$63:J$70)/SUM($O$63:$O$70),0)))</f>
        <v>0</v>
      </c>
      <c r="K53" s="46" t="n">
        <f aca="false">IF(N($O64)&gt;0,N(K64)/$O64,IF(AND($A53="祝",N($O$69)&gt;0),N(K$69)/$O$69,IFERROR(SUM(K$63:K$70)/SUM($O$63:$O$70),0)))</f>
        <v>0</v>
      </c>
      <c r="L53" s="46" t="n">
        <f aca="false">IF(N($O64)&gt;0,N(L64)/$O64,IF(AND($A53="祝",N($O$69)&gt;0),N(L$69)/$O$69,IFERROR(SUM(L$63:L$70)/SUM($O$63:$O$70),0)))</f>
        <v>0</v>
      </c>
      <c r="M53" s="46" t="n">
        <f aca="false">IF(N($O64)&gt;0,N(M64)/$O64,IF(AND($A53="祝",N($O$69)&gt;0),N(M$69)/$O$69,IFERROR(SUM(M$63:M$70)/SUM($O$63:$O$70),0)))</f>
        <v>0</v>
      </c>
      <c r="N53" s="46" t="n">
        <f aca="false">IF(N($O64)&gt;0,N(N64)/$O64,IF(AND($A53="祝",N($O$69)&gt;0),N(N$69)/$O$69,IFERROR(SUM(N$63:N$70)/SUM($O$63:$O$70),0)))</f>
        <v>0</v>
      </c>
      <c r="O53" s="47" t="n">
        <f aca="false">SUM(B53:N53)</f>
        <v>0</v>
      </c>
    </row>
    <row r="54" customFormat="false" ht="15" hidden="false" customHeight="false" outlineLevel="0" collapsed="false">
      <c r="A54" s="35" t="s">
        <v>107</v>
      </c>
      <c r="B54" s="46" t="n">
        <f aca="false">IF(N($O65)&gt;0,N(B65)/$O65,IF(AND($A54="祝",N($O$69)&gt;0),N(B$69)/$O$69,IFERROR(SUM(B$63:B$70)/SUM($O$63:$O$70),0)))</f>
        <v>0</v>
      </c>
      <c r="C54" s="46" t="n">
        <f aca="false">IF(N($O65)&gt;0,N(C65)/$O65,IF(AND($A54="祝",N($O$69)&gt;0),N(C$69)/$O$69,IFERROR(SUM(C$63:C$70)/SUM($O$63:$O$70),0)))</f>
        <v>0</v>
      </c>
      <c r="D54" s="46" t="n">
        <f aca="false">IF(N($O65)&gt;0,N(D65)/$O65,IF(AND($A54="祝",N($O$69)&gt;0),N(D$69)/$O$69,IFERROR(SUM(D$63:D$70)/SUM($O$63:$O$70),0)))</f>
        <v>0</v>
      </c>
      <c r="E54" s="46" t="n">
        <f aca="false">IF(N($O65)&gt;0,N(E65)/$O65,IF(AND($A54="祝",N($O$69)&gt;0),N(E$69)/$O$69,IFERROR(SUM(E$63:E$70)/SUM($O$63:$O$70),0)))</f>
        <v>0</v>
      </c>
      <c r="F54" s="46" t="n">
        <f aca="false">IF(N($O65)&gt;0,N(F65)/$O65,IF(AND($A54="祝",N($O$69)&gt;0),N(F$69)/$O$69,IFERROR(SUM(F$63:F$70)/SUM($O$63:$O$70),0)))</f>
        <v>0</v>
      </c>
      <c r="G54" s="46" t="n">
        <f aca="false">IF(N($O65)&gt;0,N(G65)/$O65,IF(AND($A54="祝",N($O$69)&gt;0),N(G$69)/$O$69,IFERROR(SUM(G$63:G$70)/SUM($O$63:$O$70),0)))</f>
        <v>0</v>
      </c>
      <c r="H54" s="46" t="n">
        <f aca="false">IF(N($O65)&gt;0,N(H65)/$O65,IF(AND($A54="祝",N($O$69)&gt;0),N(H$69)/$O$69,IFERROR(SUM(H$63:H$70)/SUM($O$63:$O$70),0)))</f>
        <v>0</v>
      </c>
      <c r="I54" s="46" t="n">
        <f aca="false">IF(N($O65)&gt;0,N(I65)/$O65,IF(AND($A54="祝",N($O$69)&gt;0),N(I$69)/$O$69,IFERROR(SUM(I$63:I$70)/SUM($O$63:$O$70),0)))</f>
        <v>0</v>
      </c>
      <c r="J54" s="46" t="n">
        <f aca="false">IF(N($O65)&gt;0,N(J65)/$O65,IF(AND($A54="祝",N($O$69)&gt;0),N(J$69)/$O$69,IFERROR(SUM(J$63:J$70)/SUM($O$63:$O$70),0)))</f>
        <v>0</v>
      </c>
      <c r="K54" s="46" t="n">
        <f aca="false">IF(N($O65)&gt;0,N(K65)/$O65,IF(AND($A54="祝",N($O$69)&gt;0),N(K$69)/$O$69,IFERROR(SUM(K$63:K$70)/SUM($O$63:$O$70),0)))</f>
        <v>0</v>
      </c>
      <c r="L54" s="46" t="n">
        <f aca="false">IF(N($O65)&gt;0,N(L65)/$O65,IF(AND($A54="祝",N($O$69)&gt;0),N(L$69)/$O$69,IFERROR(SUM(L$63:L$70)/SUM($O$63:$O$70),0)))</f>
        <v>0</v>
      </c>
      <c r="M54" s="46" t="n">
        <f aca="false">IF(N($O65)&gt;0,N(M65)/$O65,IF(AND($A54="祝",N($O$69)&gt;0),N(M$69)/$O$69,IFERROR(SUM(M$63:M$70)/SUM($O$63:$O$70),0)))</f>
        <v>0</v>
      </c>
      <c r="N54" s="46" t="n">
        <f aca="false">IF(N($O65)&gt;0,N(N65)/$O65,IF(AND($A54="祝",N($O$69)&gt;0),N(N$69)/$O$69,IFERROR(SUM(N$63:N$70)/SUM($O$63:$O$70),0)))</f>
        <v>0</v>
      </c>
      <c r="O54" s="47" t="n">
        <f aca="false">SUM(B54:N54)</f>
        <v>0</v>
      </c>
    </row>
    <row r="55" customFormat="false" ht="15" hidden="false" customHeight="false" outlineLevel="0" collapsed="false">
      <c r="A55" s="35" t="s">
        <v>108</v>
      </c>
      <c r="B55" s="46" t="n">
        <f aca="false">IF(N($O66)&gt;0,N(B66)/$O66,IF(AND($A55="祝",N($O$69)&gt;0),N(B$69)/$O$69,IFERROR(SUM(B$63:B$70)/SUM($O$63:$O$70),0)))</f>
        <v>0</v>
      </c>
      <c r="C55" s="46" t="n">
        <f aca="false">IF(N($O66)&gt;0,N(C66)/$O66,IF(AND($A55="祝",N($O$69)&gt;0),N(C$69)/$O$69,IFERROR(SUM(C$63:C$70)/SUM($O$63:$O$70),0)))</f>
        <v>0</v>
      </c>
      <c r="D55" s="46" t="n">
        <f aca="false">IF(N($O66)&gt;0,N(D66)/$O66,IF(AND($A55="祝",N($O$69)&gt;0),N(D$69)/$O$69,IFERROR(SUM(D$63:D$70)/SUM($O$63:$O$70),0)))</f>
        <v>0</v>
      </c>
      <c r="E55" s="46" t="n">
        <f aca="false">IF(N($O66)&gt;0,N(E66)/$O66,IF(AND($A55="祝",N($O$69)&gt;0),N(E$69)/$O$69,IFERROR(SUM(E$63:E$70)/SUM($O$63:$O$70),0)))</f>
        <v>0</v>
      </c>
      <c r="F55" s="46" t="n">
        <f aca="false">IF(N($O66)&gt;0,N(F66)/$O66,IF(AND($A55="祝",N($O$69)&gt;0),N(F$69)/$O$69,IFERROR(SUM(F$63:F$70)/SUM($O$63:$O$70),0)))</f>
        <v>0</v>
      </c>
      <c r="G55" s="46" t="n">
        <f aca="false">IF(N($O66)&gt;0,N(G66)/$O66,IF(AND($A55="祝",N($O$69)&gt;0),N(G$69)/$O$69,IFERROR(SUM(G$63:G$70)/SUM($O$63:$O$70),0)))</f>
        <v>0</v>
      </c>
      <c r="H55" s="46" t="n">
        <f aca="false">IF(N($O66)&gt;0,N(H66)/$O66,IF(AND($A55="祝",N($O$69)&gt;0),N(H$69)/$O$69,IFERROR(SUM(H$63:H$70)/SUM($O$63:$O$70),0)))</f>
        <v>0</v>
      </c>
      <c r="I55" s="46" t="n">
        <f aca="false">IF(N($O66)&gt;0,N(I66)/$O66,IF(AND($A55="祝",N($O$69)&gt;0),N(I$69)/$O$69,IFERROR(SUM(I$63:I$70)/SUM($O$63:$O$70),0)))</f>
        <v>0</v>
      </c>
      <c r="J55" s="46" t="n">
        <f aca="false">IF(N($O66)&gt;0,N(J66)/$O66,IF(AND($A55="祝",N($O$69)&gt;0),N(J$69)/$O$69,IFERROR(SUM(J$63:J$70)/SUM($O$63:$O$70),0)))</f>
        <v>0</v>
      </c>
      <c r="K55" s="46" t="n">
        <f aca="false">IF(N($O66)&gt;0,N(K66)/$O66,IF(AND($A55="祝",N($O$69)&gt;0),N(K$69)/$O$69,IFERROR(SUM(K$63:K$70)/SUM($O$63:$O$70),0)))</f>
        <v>0</v>
      </c>
      <c r="L55" s="46" t="n">
        <f aca="false">IF(N($O66)&gt;0,N(L66)/$O66,IF(AND($A55="祝",N($O$69)&gt;0),N(L$69)/$O$69,IFERROR(SUM(L$63:L$70)/SUM($O$63:$O$70),0)))</f>
        <v>0</v>
      </c>
      <c r="M55" s="46" t="n">
        <f aca="false">IF(N($O66)&gt;0,N(M66)/$O66,IF(AND($A55="祝",N($O$69)&gt;0),N(M$69)/$O$69,IFERROR(SUM(M$63:M$70)/SUM($O$63:$O$70),0)))</f>
        <v>0</v>
      </c>
      <c r="N55" s="46" t="n">
        <f aca="false">IF(N($O66)&gt;0,N(N66)/$O66,IF(AND($A55="祝",N($O$69)&gt;0),N(N$69)/$O$69,IFERROR(SUM(N$63:N$70)/SUM($O$63:$O$70),0)))</f>
        <v>0</v>
      </c>
      <c r="O55" s="47" t="n">
        <f aca="false">SUM(B55:N55)</f>
        <v>0</v>
      </c>
    </row>
    <row r="56" customFormat="false" ht="15" hidden="false" customHeight="false" outlineLevel="0" collapsed="false">
      <c r="A56" s="35" t="s">
        <v>109</v>
      </c>
      <c r="B56" s="46" t="n">
        <f aca="false">IF(N($O67)&gt;0,N(B67)/$O67,IF(AND($A56="祝",N($O$69)&gt;0),N(B$69)/$O$69,IFERROR(SUM(B$63:B$70)/SUM($O$63:$O$70),0)))</f>
        <v>0</v>
      </c>
      <c r="C56" s="46" t="n">
        <f aca="false">IF(N($O67)&gt;0,N(C67)/$O67,IF(AND($A56="祝",N($O$69)&gt;0),N(C$69)/$O$69,IFERROR(SUM(C$63:C$70)/SUM($O$63:$O$70),0)))</f>
        <v>0</v>
      </c>
      <c r="D56" s="46" t="n">
        <f aca="false">IF(N($O67)&gt;0,N(D67)/$O67,IF(AND($A56="祝",N($O$69)&gt;0),N(D$69)/$O$69,IFERROR(SUM(D$63:D$70)/SUM($O$63:$O$70),0)))</f>
        <v>0</v>
      </c>
      <c r="E56" s="46" t="n">
        <f aca="false">IF(N($O67)&gt;0,N(E67)/$O67,IF(AND($A56="祝",N($O$69)&gt;0),N(E$69)/$O$69,IFERROR(SUM(E$63:E$70)/SUM($O$63:$O$70),0)))</f>
        <v>0</v>
      </c>
      <c r="F56" s="46" t="n">
        <f aca="false">IF(N($O67)&gt;0,N(F67)/$O67,IF(AND($A56="祝",N($O$69)&gt;0),N(F$69)/$O$69,IFERROR(SUM(F$63:F$70)/SUM($O$63:$O$70),0)))</f>
        <v>0</v>
      </c>
      <c r="G56" s="46" t="n">
        <f aca="false">IF(N($O67)&gt;0,N(G67)/$O67,IF(AND($A56="祝",N($O$69)&gt;0),N(G$69)/$O$69,IFERROR(SUM(G$63:G$70)/SUM($O$63:$O$70),0)))</f>
        <v>0</v>
      </c>
      <c r="H56" s="46" t="n">
        <f aca="false">IF(N($O67)&gt;0,N(H67)/$O67,IF(AND($A56="祝",N($O$69)&gt;0),N(H$69)/$O$69,IFERROR(SUM(H$63:H$70)/SUM($O$63:$O$70),0)))</f>
        <v>0</v>
      </c>
      <c r="I56" s="46" t="n">
        <f aca="false">IF(N($O67)&gt;0,N(I67)/$O67,IF(AND($A56="祝",N($O$69)&gt;0),N(I$69)/$O$69,IFERROR(SUM(I$63:I$70)/SUM($O$63:$O$70),0)))</f>
        <v>0</v>
      </c>
      <c r="J56" s="46" t="n">
        <f aca="false">IF(N($O67)&gt;0,N(J67)/$O67,IF(AND($A56="祝",N($O$69)&gt;0),N(J$69)/$O$69,IFERROR(SUM(J$63:J$70)/SUM($O$63:$O$70),0)))</f>
        <v>0</v>
      </c>
      <c r="K56" s="46" t="n">
        <f aca="false">IF(N($O67)&gt;0,N(K67)/$O67,IF(AND($A56="祝",N($O$69)&gt;0),N(K$69)/$O$69,IFERROR(SUM(K$63:K$70)/SUM($O$63:$O$70),0)))</f>
        <v>0</v>
      </c>
      <c r="L56" s="46" t="n">
        <f aca="false">IF(N($O67)&gt;0,N(L67)/$O67,IF(AND($A56="祝",N($O$69)&gt;0),N(L$69)/$O$69,IFERROR(SUM(L$63:L$70)/SUM($O$63:$O$70),0)))</f>
        <v>0</v>
      </c>
      <c r="M56" s="46" t="n">
        <f aca="false">IF(N($O67)&gt;0,N(M67)/$O67,IF(AND($A56="祝",N($O$69)&gt;0),N(M$69)/$O$69,IFERROR(SUM(M$63:M$70)/SUM($O$63:$O$70),0)))</f>
        <v>0</v>
      </c>
      <c r="N56" s="46" t="n">
        <f aca="false">IF(N($O67)&gt;0,N(N67)/$O67,IF(AND($A56="祝",N($O$69)&gt;0),N(N$69)/$O$69,IFERROR(SUM(N$63:N$70)/SUM($O$63:$O$70),0)))</f>
        <v>0</v>
      </c>
      <c r="O56" s="47" t="n">
        <f aca="false">SUM(B56:N56)</f>
        <v>0</v>
      </c>
    </row>
    <row r="57" customFormat="false" ht="15" hidden="false" customHeight="false" outlineLevel="0" collapsed="false">
      <c r="A57" s="35" t="s">
        <v>110</v>
      </c>
      <c r="B57" s="46" t="n">
        <f aca="false">IF(N($O68)&gt;0,N(B68)/$O68,IF(AND($A57="祝",N($O$69)&gt;0),N(B$69)/$O$69,IFERROR(SUM(B$63:B$70)/SUM($O$63:$O$70),0)))</f>
        <v>0</v>
      </c>
      <c r="C57" s="46" t="n">
        <f aca="false">IF(N($O68)&gt;0,N(C68)/$O68,IF(AND($A57="祝",N($O$69)&gt;0),N(C$69)/$O$69,IFERROR(SUM(C$63:C$70)/SUM($O$63:$O$70),0)))</f>
        <v>0</v>
      </c>
      <c r="D57" s="46" t="n">
        <f aca="false">IF(N($O68)&gt;0,N(D68)/$O68,IF(AND($A57="祝",N($O$69)&gt;0),N(D$69)/$O$69,IFERROR(SUM(D$63:D$70)/SUM($O$63:$O$70),0)))</f>
        <v>0</v>
      </c>
      <c r="E57" s="46" t="n">
        <f aca="false">IF(N($O68)&gt;0,N(E68)/$O68,IF(AND($A57="祝",N($O$69)&gt;0),N(E$69)/$O$69,IFERROR(SUM(E$63:E$70)/SUM($O$63:$O$70),0)))</f>
        <v>0</v>
      </c>
      <c r="F57" s="46" t="n">
        <f aca="false">IF(N($O68)&gt;0,N(F68)/$O68,IF(AND($A57="祝",N($O$69)&gt;0),N(F$69)/$O$69,IFERROR(SUM(F$63:F$70)/SUM($O$63:$O$70),0)))</f>
        <v>0</v>
      </c>
      <c r="G57" s="46" t="n">
        <f aca="false">IF(N($O68)&gt;0,N(G68)/$O68,IF(AND($A57="祝",N($O$69)&gt;0),N(G$69)/$O$69,IFERROR(SUM(G$63:G$70)/SUM($O$63:$O$70),0)))</f>
        <v>0</v>
      </c>
      <c r="H57" s="46" t="n">
        <f aca="false">IF(N($O68)&gt;0,N(H68)/$O68,IF(AND($A57="祝",N($O$69)&gt;0),N(H$69)/$O$69,IFERROR(SUM(H$63:H$70)/SUM($O$63:$O$70),0)))</f>
        <v>0</v>
      </c>
      <c r="I57" s="46" t="n">
        <f aca="false">IF(N($O68)&gt;0,N(I68)/$O68,IF(AND($A57="祝",N($O$69)&gt;0),N(I$69)/$O$69,IFERROR(SUM(I$63:I$70)/SUM($O$63:$O$70),0)))</f>
        <v>0</v>
      </c>
      <c r="J57" s="46" t="n">
        <f aca="false">IF(N($O68)&gt;0,N(J68)/$O68,IF(AND($A57="祝",N($O$69)&gt;0),N(J$69)/$O$69,IFERROR(SUM(J$63:J$70)/SUM($O$63:$O$70),0)))</f>
        <v>0</v>
      </c>
      <c r="K57" s="46" t="n">
        <f aca="false">IF(N($O68)&gt;0,N(K68)/$O68,IF(AND($A57="祝",N($O$69)&gt;0),N(K$69)/$O$69,IFERROR(SUM(K$63:K$70)/SUM($O$63:$O$70),0)))</f>
        <v>0</v>
      </c>
      <c r="L57" s="46" t="n">
        <f aca="false">IF(N($O68)&gt;0,N(L68)/$O68,IF(AND($A57="祝",N($O$69)&gt;0),N(L$69)/$O$69,IFERROR(SUM(L$63:L$70)/SUM($O$63:$O$70),0)))</f>
        <v>0</v>
      </c>
      <c r="M57" s="46" t="n">
        <f aca="false">IF(N($O68)&gt;0,N(M68)/$O68,IF(AND($A57="祝",N($O$69)&gt;0),N(M$69)/$O$69,IFERROR(SUM(M$63:M$70)/SUM($O$63:$O$70),0)))</f>
        <v>0</v>
      </c>
      <c r="N57" s="46" t="n">
        <f aca="false">IF(N($O68)&gt;0,N(N68)/$O68,IF(AND($A57="祝",N($O$69)&gt;0),N(N$69)/$O$69,IFERROR(SUM(N$63:N$70)/SUM($O$63:$O$70),0)))</f>
        <v>0</v>
      </c>
      <c r="O57" s="47" t="n">
        <f aca="false">SUM(B57:N57)</f>
        <v>0</v>
      </c>
    </row>
    <row r="58" customFormat="false" ht="15" hidden="false" customHeight="false" outlineLevel="0" collapsed="false">
      <c r="A58" s="35" t="s">
        <v>89</v>
      </c>
      <c r="B58" s="46" t="n">
        <f aca="false">IF(N($O69)&gt;0,N(B69)/$O69,IF(AND($A58="祝",N($O$69)&gt;0),N(B$69)/$O$69,IFERROR(SUM(B$63:B$70)/SUM($O$63:$O$70),0)))</f>
        <v>0</v>
      </c>
      <c r="C58" s="46" t="n">
        <f aca="false">IF(N($O69)&gt;0,N(C69)/$O69,IF(AND($A58="祝",N($O$69)&gt;0),N(C$69)/$O$69,IFERROR(SUM(C$63:C$70)/SUM($O$63:$O$70),0)))</f>
        <v>0</v>
      </c>
      <c r="D58" s="46" t="n">
        <f aca="false">IF(N($O69)&gt;0,N(D69)/$O69,IF(AND($A58="祝",N($O$69)&gt;0),N(D$69)/$O$69,IFERROR(SUM(D$63:D$70)/SUM($O$63:$O$70),0)))</f>
        <v>0</v>
      </c>
      <c r="E58" s="46" t="n">
        <f aca="false">IF(N($O69)&gt;0,N(E69)/$O69,IF(AND($A58="祝",N($O$69)&gt;0),N(E$69)/$O$69,IFERROR(SUM(E$63:E$70)/SUM($O$63:$O$70),0)))</f>
        <v>0</v>
      </c>
      <c r="F58" s="46" t="n">
        <f aca="false">IF(N($O69)&gt;0,N(F69)/$O69,IF(AND($A58="祝",N($O$69)&gt;0),N(F$69)/$O$69,IFERROR(SUM(F$63:F$70)/SUM($O$63:$O$70),0)))</f>
        <v>0</v>
      </c>
      <c r="G58" s="46" t="n">
        <f aca="false">IF(N($O69)&gt;0,N(G69)/$O69,IF(AND($A58="祝",N($O$69)&gt;0),N(G$69)/$O$69,IFERROR(SUM(G$63:G$70)/SUM($O$63:$O$70),0)))</f>
        <v>0</v>
      </c>
      <c r="H58" s="46" t="n">
        <f aca="false">IF(N($O69)&gt;0,N(H69)/$O69,IF(AND($A58="祝",N($O$69)&gt;0),N(H$69)/$O$69,IFERROR(SUM(H$63:H$70)/SUM($O$63:$O$70),0)))</f>
        <v>0</v>
      </c>
      <c r="I58" s="46" t="n">
        <f aca="false">IF(N($O69)&gt;0,N(I69)/$O69,IF(AND($A58="祝",N($O$69)&gt;0),N(I$69)/$O$69,IFERROR(SUM(I$63:I$70)/SUM($O$63:$O$70),0)))</f>
        <v>0</v>
      </c>
      <c r="J58" s="46" t="n">
        <f aca="false">IF(N($O69)&gt;0,N(J69)/$O69,IF(AND($A58="祝",N($O$69)&gt;0),N(J$69)/$O$69,IFERROR(SUM(J$63:J$70)/SUM($O$63:$O$70),0)))</f>
        <v>0</v>
      </c>
      <c r="K58" s="46" t="n">
        <f aca="false">IF(N($O69)&gt;0,N(K69)/$O69,IF(AND($A58="祝",N($O$69)&gt;0),N(K$69)/$O$69,IFERROR(SUM(K$63:K$70)/SUM($O$63:$O$70),0)))</f>
        <v>0</v>
      </c>
      <c r="L58" s="46" t="n">
        <f aca="false">IF(N($O69)&gt;0,N(L69)/$O69,IF(AND($A58="祝",N($O$69)&gt;0),N(L$69)/$O$69,IFERROR(SUM(L$63:L$70)/SUM($O$63:$O$70),0)))</f>
        <v>0</v>
      </c>
      <c r="M58" s="46" t="n">
        <f aca="false">IF(N($O69)&gt;0,N(M69)/$O69,IF(AND($A58="祝",N($O$69)&gt;0),N(M$69)/$O$69,IFERROR(SUM(M$63:M$70)/SUM($O$63:$O$70),0)))</f>
        <v>0</v>
      </c>
      <c r="N58" s="46" t="n">
        <f aca="false">IF(N($O69)&gt;0,N(N69)/$O69,IF(AND($A58="祝",N($O$69)&gt;0),N(N$69)/$O$69,IFERROR(SUM(N$63:N$70)/SUM($O$63:$O$70),0)))</f>
        <v>0</v>
      </c>
      <c r="O58" s="47" t="n">
        <f aca="false">SUM(B58:N58)</f>
        <v>0</v>
      </c>
    </row>
    <row r="59" customFormat="false" ht="15" hidden="false" customHeight="false" outlineLevel="0" collapsed="false">
      <c r="A59" s="35" t="s">
        <v>111</v>
      </c>
      <c r="B59" s="46" t="n">
        <f aca="false">IF(N($O70)&gt;0,N(B70)/$O70,IF(AND($A59="祝",N($O$69)&gt;0),N(B$69)/$O$69,IFERROR(SUM(B$63:B$70)/SUM($O$63:$O$70),0)))</f>
        <v>0</v>
      </c>
      <c r="C59" s="46" t="n">
        <f aca="false">IF(N($O70)&gt;0,N(C70)/$O70,IF(AND($A59="祝",N($O$69)&gt;0),N(C$69)/$O$69,IFERROR(SUM(C$63:C$70)/SUM($O$63:$O$70),0)))</f>
        <v>0</v>
      </c>
      <c r="D59" s="46" t="n">
        <f aca="false">IF(N($O70)&gt;0,N(D70)/$O70,IF(AND($A59="祝",N($O$69)&gt;0),N(D$69)/$O$69,IFERROR(SUM(D$63:D$70)/SUM($O$63:$O$70),0)))</f>
        <v>0</v>
      </c>
      <c r="E59" s="46" t="n">
        <f aca="false">IF(N($O70)&gt;0,N(E70)/$O70,IF(AND($A59="祝",N($O$69)&gt;0),N(E$69)/$O$69,IFERROR(SUM(E$63:E$70)/SUM($O$63:$O$70),0)))</f>
        <v>0</v>
      </c>
      <c r="F59" s="46" t="n">
        <f aca="false">IF(N($O70)&gt;0,N(F70)/$O70,IF(AND($A59="祝",N($O$69)&gt;0),N(F$69)/$O$69,IFERROR(SUM(F$63:F$70)/SUM($O$63:$O$70),0)))</f>
        <v>0</v>
      </c>
      <c r="G59" s="46" t="n">
        <f aca="false">IF(N($O70)&gt;0,N(G70)/$O70,IF(AND($A59="祝",N($O$69)&gt;0),N(G$69)/$O$69,IFERROR(SUM(G$63:G$70)/SUM($O$63:$O$70),0)))</f>
        <v>0</v>
      </c>
      <c r="H59" s="46" t="n">
        <f aca="false">IF(N($O70)&gt;0,N(H70)/$O70,IF(AND($A59="祝",N($O$69)&gt;0),N(H$69)/$O$69,IFERROR(SUM(H$63:H$70)/SUM($O$63:$O$70),0)))</f>
        <v>0</v>
      </c>
      <c r="I59" s="46" t="n">
        <f aca="false">IF(N($O70)&gt;0,N(I70)/$O70,IF(AND($A59="祝",N($O$69)&gt;0),N(I$69)/$O$69,IFERROR(SUM(I$63:I$70)/SUM($O$63:$O$70),0)))</f>
        <v>0</v>
      </c>
      <c r="J59" s="46" t="n">
        <f aca="false">IF(N($O70)&gt;0,N(J70)/$O70,IF(AND($A59="祝",N($O$69)&gt;0),N(J$69)/$O$69,IFERROR(SUM(J$63:J$70)/SUM($O$63:$O$70),0)))</f>
        <v>0</v>
      </c>
      <c r="K59" s="46" t="n">
        <f aca="false">IF(N($O70)&gt;0,N(K70)/$O70,IF(AND($A59="祝",N($O$69)&gt;0),N(K$69)/$O$69,IFERROR(SUM(K$63:K$70)/SUM($O$63:$O$70),0)))</f>
        <v>0</v>
      </c>
      <c r="L59" s="46" t="n">
        <f aca="false">IF(N($O70)&gt;0,N(L70)/$O70,IF(AND($A59="祝",N($O$69)&gt;0),N(L$69)/$O$69,IFERROR(SUM(L$63:L$70)/SUM($O$63:$O$70),0)))</f>
        <v>0</v>
      </c>
      <c r="M59" s="46" t="n">
        <f aca="false">IF(N($O70)&gt;0,N(M70)/$O70,IF(AND($A59="祝",N($O$69)&gt;0),N(M$69)/$O$69,IFERROR(SUM(M$63:M$70)/SUM($O$63:$O$70),0)))</f>
        <v>0</v>
      </c>
      <c r="N59" s="46" t="n">
        <f aca="false">IF(N($O70)&gt;0,N(N70)/$O70,IF(AND($A59="祝",N($O$69)&gt;0),N(N$69)/$O$69,IFERROR(SUM(N$63:N$70)/SUM($O$63:$O$70),0)))</f>
        <v>0</v>
      </c>
      <c r="O59" s="47" t="n">
        <f aca="false">SUM(B59:N59)</f>
        <v>0</v>
      </c>
    </row>
    <row r="61" customFormat="false" ht="15" hidden="false" customHeight="false" outlineLevel="0" collapsed="false">
      <c r="A61" s="48" t="s">
        <v>114</v>
      </c>
    </row>
    <row r="63" customFormat="false" ht="15" hidden="false" customHeight="false" outlineLevel="0" collapsed="false">
      <c r="A63" s="49" t="s">
        <v>105</v>
      </c>
      <c r="B63" s="50" t="str">
        <f aca="false">IF(AND($B$37&gt;0,$D$37&gt;0),(設定!$B$8*IF(OR(設定!$B$3="",$B$37=0),"",SUMIFS(先月データ!$Q:$Q,先月データ!$Z:$Z,$A63,先月データ!$K:$K,B$51,先月データ!$A:$A,"&gt;="&amp;設定!$B$3,先月データ!$A:$A,"&lt;="&amp;EOMONTH(設定!$B$3,0))/$B$37)+設定!$B$9*IF(OR(設定!$B$4="",$D$37=0),"",SUMIFS(先々月データ!$Q:$Q,先々月データ!$Z:$Z,$A63,先々月データ!$K:$K,B$51,先々月データ!$A:$A,"&gt;="&amp;設定!$B$4,先々月データ!$A:$A,"&lt;="&amp;EOMONTH(設定!$B$4,0))/$D$37))/(設定!$B$8+設定!$B$9),IF($B$37&gt;0,IF(OR(設定!$B$3="",$B$37=0),"",SUMIFS(先月データ!$Q:$Q,先月データ!$Z:$Z,$A63,先月データ!$K:$K,B$51,先月データ!$A:$A,"&gt;="&amp;設定!$B$3,先月データ!$A:$A,"&lt;="&amp;EOMONTH(設定!$B$3,0))/$B$37),IF($D$37&gt;0,IF(OR(設定!$B$4="",$D$37=0),"",SUMIFS(先々月データ!$Q:$Q,先々月データ!$Z:$Z,$A63,先々月データ!$K:$K,B$51,先々月データ!$A:$A,"&gt;="&amp;設定!$B$4,先々月データ!$A:$A,"&lt;="&amp;EOMONTH(設定!$B$4,0))/$D$37),"")))</f>
        <v/>
      </c>
      <c r="C63" s="50" t="str">
        <f aca="false">IF(AND($B$37&gt;0,$D$37&gt;0),(設定!$B$8*IF(OR(設定!$B$3="",$B$37=0),"",SUMIFS(先月データ!$Q:$Q,先月データ!$Z:$Z,$A63,先月データ!$K:$K,C$51,先月データ!$A:$A,"&gt;="&amp;設定!$B$3,先月データ!$A:$A,"&lt;="&amp;EOMONTH(設定!$B$3,0))/$B$37)+設定!$B$9*IF(OR(設定!$B$4="",$D$37=0),"",SUMIFS(先々月データ!$Q:$Q,先々月データ!$Z:$Z,$A63,先々月データ!$K:$K,C$51,先々月データ!$A:$A,"&gt;="&amp;設定!$B$4,先々月データ!$A:$A,"&lt;="&amp;EOMONTH(設定!$B$4,0))/$D$37))/(設定!$B$8+設定!$B$9),IF($B$37&gt;0,IF(OR(設定!$B$3="",$B$37=0),"",SUMIFS(先月データ!$Q:$Q,先月データ!$Z:$Z,$A63,先月データ!$K:$K,C$51,先月データ!$A:$A,"&gt;="&amp;設定!$B$3,先月データ!$A:$A,"&lt;="&amp;EOMONTH(設定!$B$3,0))/$B$37),IF($D$37&gt;0,IF(OR(設定!$B$4="",$D$37=0),"",SUMIFS(先々月データ!$Q:$Q,先々月データ!$Z:$Z,$A63,先々月データ!$K:$K,C$51,先々月データ!$A:$A,"&gt;="&amp;設定!$B$4,先々月データ!$A:$A,"&lt;="&amp;EOMONTH(設定!$B$4,0))/$D$37),"")))</f>
        <v/>
      </c>
      <c r="D63" s="50" t="str">
        <f aca="false">IF(AND($B$37&gt;0,$D$37&gt;0),(設定!$B$8*IF(OR(設定!$B$3="",$B$37=0),"",SUMIFS(先月データ!$Q:$Q,先月データ!$Z:$Z,$A63,先月データ!$K:$K,D$51,先月データ!$A:$A,"&gt;="&amp;設定!$B$3,先月データ!$A:$A,"&lt;="&amp;EOMONTH(設定!$B$3,0))/$B$37)+設定!$B$9*IF(OR(設定!$B$4="",$D$37=0),"",SUMIFS(先々月データ!$Q:$Q,先々月データ!$Z:$Z,$A63,先々月データ!$K:$K,D$51,先々月データ!$A:$A,"&gt;="&amp;設定!$B$4,先々月データ!$A:$A,"&lt;="&amp;EOMONTH(設定!$B$4,0))/$D$37))/(設定!$B$8+設定!$B$9),IF($B$37&gt;0,IF(OR(設定!$B$3="",$B$37=0),"",SUMIFS(先月データ!$Q:$Q,先月データ!$Z:$Z,$A63,先月データ!$K:$K,D$51,先月データ!$A:$A,"&gt;="&amp;設定!$B$3,先月データ!$A:$A,"&lt;="&amp;EOMONTH(設定!$B$3,0))/$B$37),IF($D$37&gt;0,IF(OR(設定!$B$4="",$D$37=0),"",SUMIFS(先々月データ!$Q:$Q,先々月データ!$Z:$Z,$A63,先々月データ!$K:$K,D$51,先々月データ!$A:$A,"&gt;="&amp;設定!$B$4,先々月データ!$A:$A,"&lt;="&amp;EOMONTH(設定!$B$4,0))/$D$37),"")))</f>
        <v/>
      </c>
      <c r="E63" s="50" t="str">
        <f aca="false">IF(AND($B$37&gt;0,$D$37&gt;0),(設定!$B$8*IF(OR(設定!$B$3="",$B$37=0),"",SUMIFS(先月データ!$Q:$Q,先月データ!$Z:$Z,$A63,先月データ!$K:$K,E$51,先月データ!$A:$A,"&gt;="&amp;設定!$B$3,先月データ!$A:$A,"&lt;="&amp;EOMONTH(設定!$B$3,0))/$B$37)+設定!$B$9*IF(OR(設定!$B$4="",$D$37=0),"",SUMIFS(先々月データ!$Q:$Q,先々月データ!$Z:$Z,$A63,先々月データ!$K:$K,E$51,先々月データ!$A:$A,"&gt;="&amp;設定!$B$4,先々月データ!$A:$A,"&lt;="&amp;EOMONTH(設定!$B$4,0))/$D$37))/(設定!$B$8+設定!$B$9),IF($B$37&gt;0,IF(OR(設定!$B$3="",$B$37=0),"",SUMIFS(先月データ!$Q:$Q,先月データ!$Z:$Z,$A63,先月データ!$K:$K,E$51,先月データ!$A:$A,"&gt;="&amp;設定!$B$3,先月データ!$A:$A,"&lt;="&amp;EOMONTH(設定!$B$3,0))/$B$37),IF($D$37&gt;0,IF(OR(設定!$B$4="",$D$37=0),"",SUMIFS(先々月データ!$Q:$Q,先々月データ!$Z:$Z,$A63,先々月データ!$K:$K,E$51,先々月データ!$A:$A,"&gt;="&amp;設定!$B$4,先々月データ!$A:$A,"&lt;="&amp;EOMONTH(設定!$B$4,0))/$D$37),"")))</f>
        <v/>
      </c>
      <c r="F63" s="50" t="str">
        <f aca="false">IF(AND($B$37&gt;0,$D$37&gt;0),(設定!$B$8*IF(OR(設定!$B$3="",$B$37=0),"",SUMIFS(先月データ!$Q:$Q,先月データ!$Z:$Z,$A63,先月データ!$K:$K,F$51,先月データ!$A:$A,"&gt;="&amp;設定!$B$3,先月データ!$A:$A,"&lt;="&amp;EOMONTH(設定!$B$3,0))/$B$37)+設定!$B$9*IF(OR(設定!$B$4="",$D$37=0),"",SUMIFS(先々月データ!$Q:$Q,先々月データ!$Z:$Z,$A63,先々月データ!$K:$K,F$51,先々月データ!$A:$A,"&gt;="&amp;設定!$B$4,先々月データ!$A:$A,"&lt;="&amp;EOMONTH(設定!$B$4,0))/$D$37))/(設定!$B$8+設定!$B$9),IF($B$37&gt;0,IF(OR(設定!$B$3="",$B$37=0),"",SUMIFS(先月データ!$Q:$Q,先月データ!$Z:$Z,$A63,先月データ!$K:$K,F$51,先月データ!$A:$A,"&gt;="&amp;設定!$B$3,先月データ!$A:$A,"&lt;="&amp;EOMONTH(設定!$B$3,0))/$B$37),IF($D$37&gt;0,IF(OR(設定!$B$4="",$D$37=0),"",SUMIFS(先々月データ!$Q:$Q,先々月データ!$Z:$Z,$A63,先々月データ!$K:$K,F$51,先々月データ!$A:$A,"&gt;="&amp;設定!$B$4,先々月データ!$A:$A,"&lt;="&amp;EOMONTH(設定!$B$4,0))/$D$37),"")))</f>
        <v/>
      </c>
      <c r="G63" s="50" t="str">
        <f aca="false">IF(AND($B$37&gt;0,$D$37&gt;0),(設定!$B$8*IF(OR(設定!$B$3="",$B$37=0),"",SUMIFS(先月データ!$Q:$Q,先月データ!$Z:$Z,$A63,先月データ!$K:$K,G$51,先月データ!$A:$A,"&gt;="&amp;設定!$B$3,先月データ!$A:$A,"&lt;="&amp;EOMONTH(設定!$B$3,0))/$B$37)+設定!$B$9*IF(OR(設定!$B$4="",$D$37=0),"",SUMIFS(先々月データ!$Q:$Q,先々月データ!$Z:$Z,$A63,先々月データ!$K:$K,G$51,先々月データ!$A:$A,"&gt;="&amp;設定!$B$4,先々月データ!$A:$A,"&lt;="&amp;EOMONTH(設定!$B$4,0))/$D$37))/(設定!$B$8+設定!$B$9),IF($B$37&gt;0,IF(OR(設定!$B$3="",$B$37=0),"",SUMIFS(先月データ!$Q:$Q,先月データ!$Z:$Z,$A63,先月データ!$K:$K,G$51,先月データ!$A:$A,"&gt;="&amp;設定!$B$3,先月データ!$A:$A,"&lt;="&amp;EOMONTH(設定!$B$3,0))/$B$37),IF($D$37&gt;0,IF(OR(設定!$B$4="",$D$37=0),"",SUMIFS(先々月データ!$Q:$Q,先々月データ!$Z:$Z,$A63,先々月データ!$K:$K,G$51,先々月データ!$A:$A,"&gt;="&amp;設定!$B$4,先々月データ!$A:$A,"&lt;="&amp;EOMONTH(設定!$B$4,0))/$D$37),"")))</f>
        <v/>
      </c>
      <c r="H63" s="50" t="str">
        <f aca="false">IF(AND($B$37&gt;0,$D$37&gt;0),(設定!$B$8*IF(OR(設定!$B$3="",$B$37=0),"",SUMIFS(先月データ!$Q:$Q,先月データ!$Z:$Z,$A63,先月データ!$K:$K,H$51,先月データ!$A:$A,"&gt;="&amp;設定!$B$3,先月データ!$A:$A,"&lt;="&amp;EOMONTH(設定!$B$3,0))/$B$37)+設定!$B$9*IF(OR(設定!$B$4="",$D$37=0),"",SUMIFS(先々月データ!$Q:$Q,先々月データ!$Z:$Z,$A63,先々月データ!$K:$K,H$51,先々月データ!$A:$A,"&gt;="&amp;設定!$B$4,先々月データ!$A:$A,"&lt;="&amp;EOMONTH(設定!$B$4,0))/$D$37))/(設定!$B$8+設定!$B$9),IF($B$37&gt;0,IF(OR(設定!$B$3="",$B$37=0),"",SUMIFS(先月データ!$Q:$Q,先月データ!$Z:$Z,$A63,先月データ!$K:$K,H$51,先月データ!$A:$A,"&gt;="&amp;設定!$B$3,先月データ!$A:$A,"&lt;="&amp;EOMONTH(設定!$B$3,0))/$B$37),IF($D$37&gt;0,IF(OR(設定!$B$4="",$D$37=0),"",SUMIFS(先々月データ!$Q:$Q,先々月データ!$Z:$Z,$A63,先々月データ!$K:$K,H$51,先々月データ!$A:$A,"&gt;="&amp;設定!$B$4,先々月データ!$A:$A,"&lt;="&amp;EOMONTH(設定!$B$4,0))/$D$37),"")))</f>
        <v/>
      </c>
      <c r="I63" s="50" t="str">
        <f aca="false">IF(AND($B$37&gt;0,$D$37&gt;0),(設定!$B$8*IF(OR(設定!$B$3="",$B$37=0),"",SUMIFS(先月データ!$Q:$Q,先月データ!$Z:$Z,$A63,先月データ!$K:$K,I$51,先月データ!$A:$A,"&gt;="&amp;設定!$B$3,先月データ!$A:$A,"&lt;="&amp;EOMONTH(設定!$B$3,0))/$B$37)+設定!$B$9*IF(OR(設定!$B$4="",$D$37=0),"",SUMIFS(先々月データ!$Q:$Q,先々月データ!$Z:$Z,$A63,先々月データ!$K:$K,I$51,先々月データ!$A:$A,"&gt;="&amp;設定!$B$4,先々月データ!$A:$A,"&lt;="&amp;EOMONTH(設定!$B$4,0))/$D$37))/(設定!$B$8+設定!$B$9),IF($B$37&gt;0,IF(OR(設定!$B$3="",$B$37=0),"",SUMIFS(先月データ!$Q:$Q,先月データ!$Z:$Z,$A63,先月データ!$K:$K,I$51,先月データ!$A:$A,"&gt;="&amp;設定!$B$3,先月データ!$A:$A,"&lt;="&amp;EOMONTH(設定!$B$3,0))/$B$37),IF($D$37&gt;0,IF(OR(設定!$B$4="",$D$37=0),"",SUMIFS(先々月データ!$Q:$Q,先々月データ!$Z:$Z,$A63,先々月データ!$K:$K,I$51,先々月データ!$A:$A,"&gt;="&amp;設定!$B$4,先々月データ!$A:$A,"&lt;="&amp;EOMONTH(設定!$B$4,0))/$D$37),"")))</f>
        <v/>
      </c>
      <c r="J63" s="50" t="str">
        <f aca="false">IF(AND($B$37&gt;0,$D$37&gt;0),(設定!$B$8*IF(OR(設定!$B$3="",$B$37=0),"",SUMIFS(先月データ!$Q:$Q,先月データ!$Z:$Z,$A63,先月データ!$K:$K,J$51,先月データ!$A:$A,"&gt;="&amp;設定!$B$3,先月データ!$A:$A,"&lt;="&amp;EOMONTH(設定!$B$3,0))/$B$37)+設定!$B$9*IF(OR(設定!$B$4="",$D$37=0),"",SUMIFS(先々月データ!$Q:$Q,先々月データ!$Z:$Z,$A63,先々月データ!$K:$K,J$51,先々月データ!$A:$A,"&gt;="&amp;設定!$B$4,先々月データ!$A:$A,"&lt;="&amp;EOMONTH(設定!$B$4,0))/$D$37))/(設定!$B$8+設定!$B$9),IF($B$37&gt;0,IF(OR(設定!$B$3="",$B$37=0),"",SUMIFS(先月データ!$Q:$Q,先月データ!$Z:$Z,$A63,先月データ!$K:$K,J$51,先月データ!$A:$A,"&gt;="&amp;設定!$B$3,先月データ!$A:$A,"&lt;="&amp;EOMONTH(設定!$B$3,0))/$B$37),IF($D$37&gt;0,IF(OR(設定!$B$4="",$D$37=0),"",SUMIFS(先々月データ!$Q:$Q,先々月データ!$Z:$Z,$A63,先々月データ!$K:$K,J$51,先々月データ!$A:$A,"&gt;="&amp;設定!$B$4,先々月データ!$A:$A,"&lt;="&amp;EOMONTH(設定!$B$4,0))/$D$37),"")))</f>
        <v/>
      </c>
      <c r="K63" s="50" t="str">
        <f aca="false">IF(AND($B$37&gt;0,$D$37&gt;0),(設定!$B$8*IF(OR(設定!$B$3="",$B$37=0),"",SUMIFS(先月データ!$Q:$Q,先月データ!$Z:$Z,$A63,先月データ!$K:$K,K$51,先月データ!$A:$A,"&gt;="&amp;設定!$B$3,先月データ!$A:$A,"&lt;="&amp;EOMONTH(設定!$B$3,0))/$B$37)+設定!$B$9*IF(OR(設定!$B$4="",$D$37=0),"",SUMIFS(先々月データ!$Q:$Q,先々月データ!$Z:$Z,$A63,先々月データ!$K:$K,K$51,先々月データ!$A:$A,"&gt;="&amp;設定!$B$4,先々月データ!$A:$A,"&lt;="&amp;EOMONTH(設定!$B$4,0))/$D$37))/(設定!$B$8+設定!$B$9),IF($B$37&gt;0,IF(OR(設定!$B$3="",$B$37=0),"",SUMIFS(先月データ!$Q:$Q,先月データ!$Z:$Z,$A63,先月データ!$K:$K,K$51,先月データ!$A:$A,"&gt;="&amp;設定!$B$3,先月データ!$A:$A,"&lt;="&amp;EOMONTH(設定!$B$3,0))/$B$37),IF($D$37&gt;0,IF(OR(設定!$B$4="",$D$37=0),"",SUMIFS(先々月データ!$Q:$Q,先々月データ!$Z:$Z,$A63,先々月データ!$K:$K,K$51,先々月データ!$A:$A,"&gt;="&amp;設定!$B$4,先々月データ!$A:$A,"&lt;="&amp;EOMONTH(設定!$B$4,0))/$D$37),"")))</f>
        <v/>
      </c>
      <c r="L63" s="50" t="str">
        <f aca="false">IF(AND($B$37&gt;0,$D$37&gt;0),(設定!$B$8*IF(OR(設定!$B$3="",$B$37=0),"",SUMIFS(先月データ!$Q:$Q,先月データ!$Z:$Z,$A63,先月データ!$K:$K,L$51,先月データ!$A:$A,"&gt;="&amp;設定!$B$3,先月データ!$A:$A,"&lt;="&amp;EOMONTH(設定!$B$3,0))/$B$37)+設定!$B$9*IF(OR(設定!$B$4="",$D$37=0),"",SUMIFS(先々月データ!$Q:$Q,先々月データ!$Z:$Z,$A63,先々月データ!$K:$K,L$51,先々月データ!$A:$A,"&gt;="&amp;設定!$B$4,先々月データ!$A:$A,"&lt;="&amp;EOMONTH(設定!$B$4,0))/$D$37))/(設定!$B$8+設定!$B$9),IF($B$37&gt;0,IF(OR(設定!$B$3="",$B$37=0),"",SUMIFS(先月データ!$Q:$Q,先月データ!$Z:$Z,$A63,先月データ!$K:$K,L$51,先月データ!$A:$A,"&gt;="&amp;設定!$B$3,先月データ!$A:$A,"&lt;="&amp;EOMONTH(設定!$B$3,0))/$B$37),IF($D$37&gt;0,IF(OR(設定!$B$4="",$D$37=0),"",SUMIFS(先々月データ!$Q:$Q,先々月データ!$Z:$Z,$A63,先々月データ!$K:$K,L$51,先々月データ!$A:$A,"&gt;="&amp;設定!$B$4,先々月データ!$A:$A,"&lt;="&amp;EOMONTH(設定!$B$4,0))/$D$37),"")))</f>
        <v/>
      </c>
      <c r="M63" s="50" t="str">
        <f aca="false">IF(AND($B$37&gt;0,$D$37&gt;0),(設定!$B$8*IF(OR(設定!$B$3="",$B$37=0),"",SUMIFS(先月データ!$Q:$Q,先月データ!$Z:$Z,$A63,先月データ!$K:$K,M$51,先月データ!$A:$A,"&gt;="&amp;設定!$B$3,先月データ!$A:$A,"&lt;="&amp;EOMONTH(設定!$B$3,0))/$B$37)+設定!$B$9*IF(OR(設定!$B$4="",$D$37=0),"",SUMIFS(先々月データ!$Q:$Q,先々月データ!$Z:$Z,$A63,先々月データ!$K:$K,M$51,先々月データ!$A:$A,"&gt;="&amp;設定!$B$4,先々月データ!$A:$A,"&lt;="&amp;EOMONTH(設定!$B$4,0))/$D$37))/(設定!$B$8+設定!$B$9),IF($B$37&gt;0,IF(OR(設定!$B$3="",$B$37=0),"",SUMIFS(先月データ!$Q:$Q,先月データ!$Z:$Z,$A63,先月データ!$K:$K,M$51,先月データ!$A:$A,"&gt;="&amp;設定!$B$3,先月データ!$A:$A,"&lt;="&amp;EOMONTH(設定!$B$3,0))/$B$37),IF($D$37&gt;0,IF(OR(設定!$B$4="",$D$37=0),"",SUMIFS(先々月データ!$Q:$Q,先々月データ!$Z:$Z,$A63,先々月データ!$K:$K,M$51,先々月データ!$A:$A,"&gt;="&amp;設定!$B$4,先々月データ!$A:$A,"&lt;="&amp;EOMONTH(設定!$B$4,0))/$D$37),"")))</f>
        <v/>
      </c>
      <c r="N63" s="50" t="str">
        <f aca="false">IF(AND($B$37&gt;0,$D$37&gt;0),(設定!$B$8*IF(OR(設定!$B$3="",$B$37=0),"",SUMIFS(先月データ!$Q:$Q,先月データ!$Z:$Z,$A63,先月データ!$K:$K,N$51,先月データ!$A:$A,"&gt;="&amp;設定!$B$3,先月データ!$A:$A,"&lt;="&amp;EOMONTH(設定!$B$3,0))/$B$37)+設定!$B$9*IF(OR(設定!$B$4="",$D$37=0),"",SUMIFS(先々月データ!$Q:$Q,先々月データ!$Z:$Z,$A63,先々月データ!$K:$K,N$51,先々月データ!$A:$A,"&gt;="&amp;設定!$B$4,先々月データ!$A:$A,"&lt;="&amp;EOMONTH(設定!$B$4,0))/$D$37))/(設定!$B$8+設定!$B$9),IF($B$37&gt;0,IF(OR(設定!$B$3="",$B$37=0),"",SUMIFS(先月データ!$Q:$Q,先月データ!$Z:$Z,$A63,先月データ!$K:$K,N$51,先月データ!$A:$A,"&gt;="&amp;設定!$B$3,先月データ!$A:$A,"&lt;="&amp;EOMONTH(設定!$B$3,0))/$B$37),IF($D$37&gt;0,IF(OR(設定!$B$4="",$D$37=0),"",SUMIFS(先々月データ!$Q:$Q,先々月データ!$Z:$Z,$A63,先々月データ!$K:$K,N$51,先々月データ!$A:$A,"&gt;="&amp;設定!$B$4,先々月データ!$A:$A,"&lt;="&amp;EOMONTH(設定!$B$4,0))/$D$37),"")))</f>
        <v/>
      </c>
      <c r="O63" s="50" t="n">
        <f aca="false">SUM(B63:N63)</f>
        <v>0</v>
      </c>
    </row>
    <row r="64" customFormat="false" ht="15" hidden="false" customHeight="false" outlineLevel="0" collapsed="false">
      <c r="A64" s="49" t="s">
        <v>106</v>
      </c>
      <c r="B64" s="50" t="str">
        <f aca="false">IF(AND($B$38&gt;0,$D$38&gt;0),(設定!$B$8*IF(OR(設定!$B$3="",$B$38=0),"",SUMIFS(先月データ!$Q:$Q,先月データ!$Z:$Z,$A64,先月データ!$K:$K,B$51,先月データ!$A:$A,"&gt;="&amp;設定!$B$3,先月データ!$A:$A,"&lt;="&amp;EOMONTH(設定!$B$3,0))/$B$38)+設定!$B$9*IF(OR(設定!$B$4="",$D$38=0),"",SUMIFS(先々月データ!$Q:$Q,先々月データ!$Z:$Z,$A64,先々月データ!$K:$K,B$51,先々月データ!$A:$A,"&gt;="&amp;設定!$B$4,先々月データ!$A:$A,"&lt;="&amp;EOMONTH(設定!$B$4,0))/$D$38))/(設定!$B$8+設定!$B$9),IF($B$38&gt;0,IF(OR(設定!$B$3="",$B$38=0),"",SUMIFS(先月データ!$Q:$Q,先月データ!$Z:$Z,$A64,先月データ!$K:$K,B$51,先月データ!$A:$A,"&gt;="&amp;設定!$B$3,先月データ!$A:$A,"&lt;="&amp;EOMONTH(設定!$B$3,0))/$B$38),IF($D$38&gt;0,IF(OR(設定!$B$4="",$D$38=0),"",SUMIFS(先々月データ!$Q:$Q,先々月データ!$Z:$Z,$A64,先々月データ!$K:$K,B$51,先々月データ!$A:$A,"&gt;="&amp;設定!$B$4,先々月データ!$A:$A,"&lt;="&amp;EOMONTH(設定!$B$4,0))/$D$38),"")))</f>
        <v/>
      </c>
      <c r="C64" s="50" t="str">
        <f aca="false">IF(AND($B$38&gt;0,$D$38&gt;0),(設定!$B$8*IF(OR(設定!$B$3="",$B$38=0),"",SUMIFS(先月データ!$Q:$Q,先月データ!$Z:$Z,$A64,先月データ!$K:$K,C$51,先月データ!$A:$A,"&gt;="&amp;設定!$B$3,先月データ!$A:$A,"&lt;="&amp;EOMONTH(設定!$B$3,0))/$B$38)+設定!$B$9*IF(OR(設定!$B$4="",$D$38=0),"",SUMIFS(先々月データ!$Q:$Q,先々月データ!$Z:$Z,$A64,先々月データ!$K:$K,C$51,先々月データ!$A:$A,"&gt;="&amp;設定!$B$4,先々月データ!$A:$A,"&lt;="&amp;EOMONTH(設定!$B$4,0))/$D$38))/(設定!$B$8+設定!$B$9),IF($B$38&gt;0,IF(OR(設定!$B$3="",$B$38=0),"",SUMIFS(先月データ!$Q:$Q,先月データ!$Z:$Z,$A64,先月データ!$K:$K,C$51,先月データ!$A:$A,"&gt;="&amp;設定!$B$3,先月データ!$A:$A,"&lt;="&amp;EOMONTH(設定!$B$3,0))/$B$38),IF($D$38&gt;0,IF(OR(設定!$B$4="",$D$38=0),"",SUMIFS(先々月データ!$Q:$Q,先々月データ!$Z:$Z,$A64,先々月データ!$K:$K,C$51,先々月データ!$A:$A,"&gt;="&amp;設定!$B$4,先々月データ!$A:$A,"&lt;="&amp;EOMONTH(設定!$B$4,0))/$D$38),"")))</f>
        <v/>
      </c>
      <c r="D64" s="50" t="str">
        <f aca="false">IF(AND($B$38&gt;0,$D$38&gt;0),(設定!$B$8*IF(OR(設定!$B$3="",$B$38=0),"",SUMIFS(先月データ!$Q:$Q,先月データ!$Z:$Z,$A64,先月データ!$K:$K,D$51,先月データ!$A:$A,"&gt;="&amp;設定!$B$3,先月データ!$A:$A,"&lt;="&amp;EOMONTH(設定!$B$3,0))/$B$38)+設定!$B$9*IF(OR(設定!$B$4="",$D$38=0),"",SUMIFS(先々月データ!$Q:$Q,先々月データ!$Z:$Z,$A64,先々月データ!$K:$K,D$51,先々月データ!$A:$A,"&gt;="&amp;設定!$B$4,先々月データ!$A:$A,"&lt;="&amp;EOMONTH(設定!$B$4,0))/$D$38))/(設定!$B$8+設定!$B$9),IF($B$38&gt;0,IF(OR(設定!$B$3="",$B$38=0),"",SUMIFS(先月データ!$Q:$Q,先月データ!$Z:$Z,$A64,先月データ!$K:$K,D$51,先月データ!$A:$A,"&gt;="&amp;設定!$B$3,先月データ!$A:$A,"&lt;="&amp;EOMONTH(設定!$B$3,0))/$B$38),IF($D$38&gt;0,IF(OR(設定!$B$4="",$D$38=0),"",SUMIFS(先々月データ!$Q:$Q,先々月データ!$Z:$Z,$A64,先々月データ!$K:$K,D$51,先々月データ!$A:$A,"&gt;="&amp;設定!$B$4,先々月データ!$A:$A,"&lt;="&amp;EOMONTH(設定!$B$4,0))/$D$38),"")))</f>
        <v/>
      </c>
      <c r="E64" s="50" t="str">
        <f aca="false">IF(AND($B$38&gt;0,$D$38&gt;0),(設定!$B$8*IF(OR(設定!$B$3="",$B$38=0),"",SUMIFS(先月データ!$Q:$Q,先月データ!$Z:$Z,$A64,先月データ!$K:$K,E$51,先月データ!$A:$A,"&gt;="&amp;設定!$B$3,先月データ!$A:$A,"&lt;="&amp;EOMONTH(設定!$B$3,0))/$B$38)+設定!$B$9*IF(OR(設定!$B$4="",$D$38=0),"",SUMIFS(先々月データ!$Q:$Q,先々月データ!$Z:$Z,$A64,先々月データ!$K:$K,E$51,先々月データ!$A:$A,"&gt;="&amp;設定!$B$4,先々月データ!$A:$A,"&lt;="&amp;EOMONTH(設定!$B$4,0))/$D$38))/(設定!$B$8+設定!$B$9),IF($B$38&gt;0,IF(OR(設定!$B$3="",$B$38=0),"",SUMIFS(先月データ!$Q:$Q,先月データ!$Z:$Z,$A64,先月データ!$K:$K,E$51,先月データ!$A:$A,"&gt;="&amp;設定!$B$3,先月データ!$A:$A,"&lt;="&amp;EOMONTH(設定!$B$3,0))/$B$38),IF($D$38&gt;0,IF(OR(設定!$B$4="",$D$38=0),"",SUMIFS(先々月データ!$Q:$Q,先々月データ!$Z:$Z,$A64,先々月データ!$K:$K,E$51,先々月データ!$A:$A,"&gt;="&amp;設定!$B$4,先々月データ!$A:$A,"&lt;="&amp;EOMONTH(設定!$B$4,0))/$D$38),"")))</f>
        <v/>
      </c>
      <c r="F64" s="50" t="str">
        <f aca="false">IF(AND($B$38&gt;0,$D$38&gt;0),(設定!$B$8*IF(OR(設定!$B$3="",$B$38=0),"",SUMIFS(先月データ!$Q:$Q,先月データ!$Z:$Z,$A64,先月データ!$K:$K,F$51,先月データ!$A:$A,"&gt;="&amp;設定!$B$3,先月データ!$A:$A,"&lt;="&amp;EOMONTH(設定!$B$3,0))/$B$38)+設定!$B$9*IF(OR(設定!$B$4="",$D$38=0),"",SUMIFS(先々月データ!$Q:$Q,先々月データ!$Z:$Z,$A64,先々月データ!$K:$K,F$51,先々月データ!$A:$A,"&gt;="&amp;設定!$B$4,先々月データ!$A:$A,"&lt;="&amp;EOMONTH(設定!$B$4,0))/$D$38))/(設定!$B$8+設定!$B$9),IF($B$38&gt;0,IF(OR(設定!$B$3="",$B$38=0),"",SUMIFS(先月データ!$Q:$Q,先月データ!$Z:$Z,$A64,先月データ!$K:$K,F$51,先月データ!$A:$A,"&gt;="&amp;設定!$B$3,先月データ!$A:$A,"&lt;="&amp;EOMONTH(設定!$B$3,0))/$B$38),IF($D$38&gt;0,IF(OR(設定!$B$4="",$D$38=0),"",SUMIFS(先々月データ!$Q:$Q,先々月データ!$Z:$Z,$A64,先々月データ!$K:$K,F$51,先々月データ!$A:$A,"&gt;="&amp;設定!$B$4,先々月データ!$A:$A,"&lt;="&amp;EOMONTH(設定!$B$4,0))/$D$38),"")))</f>
        <v/>
      </c>
      <c r="G64" s="50" t="str">
        <f aca="false">IF(AND($B$38&gt;0,$D$38&gt;0),(設定!$B$8*IF(OR(設定!$B$3="",$B$38=0),"",SUMIFS(先月データ!$Q:$Q,先月データ!$Z:$Z,$A64,先月データ!$K:$K,G$51,先月データ!$A:$A,"&gt;="&amp;設定!$B$3,先月データ!$A:$A,"&lt;="&amp;EOMONTH(設定!$B$3,0))/$B$38)+設定!$B$9*IF(OR(設定!$B$4="",$D$38=0),"",SUMIFS(先々月データ!$Q:$Q,先々月データ!$Z:$Z,$A64,先々月データ!$K:$K,G$51,先々月データ!$A:$A,"&gt;="&amp;設定!$B$4,先々月データ!$A:$A,"&lt;="&amp;EOMONTH(設定!$B$4,0))/$D$38))/(設定!$B$8+設定!$B$9),IF($B$38&gt;0,IF(OR(設定!$B$3="",$B$38=0),"",SUMIFS(先月データ!$Q:$Q,先月データ!$Z:$Z,$A64,先月データ!$K:$K,G$51,先月データ!$A:$A,"&gt;="&amp;設定!$B$3,先月データ!$A:$A,"&lt;="&amp;EOMONTH(設定!$B$3,0))/$B$38),IF($D$38&gt;0,IF(OR(設定!$B$4="",$D$38=0),"",SUMIFS(先々月データ!$Q:$Q,先々月データ!$Z:$Z,$A64,先々月データ!$K:$K,G$51,先々月データ!$A:$A,"&gt;="&amp;設定!$B$4,先々月データ!$A:$A,"&lt;="&amp;EOMONTH(設定!$B$4,0))/$D$38),"")))</f>
        <v/>
      </c>
      <c r="H64" s="50" t="str">
        <f aca="false">IF(AND($B$38&gt;0,$D$38&gt;0),(設定!$B$8*IF(OR(設定!$B$3="",$B$38=0),"",SUMIFS(先月データ!$Q:$Q,先月データ!$Z:$Z,$A64,先月データ!$K:$K,H$51,先月データ!$A:$A,"&gt;="&amp;設定!$B$3,先月データ!$A:$A,"&lt;="&amp;EOMONTH(設定!$B$3,0))/$B$38)+設定!$B$9*IF(OR(設定!$B$4="",$D$38=0),"",SUMIFS(先々月データ!$Q:$Q,先々月データ!$Z:$Z,$A64,先々月データ!$K:$K,H$51,先々月データ!$A:$A,"&gt;="&amp;設定!$B$4,先々月データ!$A:$A,"&lt;="&amp;EOMONTH(設定!$B$4,0))/$D$38))/(設定!$B$8+設定!$B$9),IF($B$38&gt;0,IF(OR(設定!$B$3="",$B$38=0),"",SUMIFS(先月データ!$Q:$Q,先月データ!$Z:$Z,$A64,先月データ!$K:$K,H$51,先月データ!$A:$A,"&gt;="&amp;設定!$B$3,先月データ!$A:$A,"&lt;="&amp;EOMONTH(設定!$B$3,0))/$B$38),IF($D$38&gt;0,IF(OR(設定!$B$4="",$D$38=0),"",SUMIFS(先々月データ!$Q:$Q,先々月データ!$Z:$Z,$A64,先々月データ!$K:$K,H$51,先々月データ!$A:$A,"&gt;="&amp;設定!$B$4,先々月データ!$A:$A,"&lt;="&amp;EOMONTH(設定!$B$4,0))/$D$38),"")))</f>
        <v/>
      </c>
      <c r="I64" s="50" t="str">
        <f aca="false">IF(AND($B$38&gt;0,$D$38&gt;0),(設定!$B$8*IF(OR(設定!$B$3="",$B$38=0),"",SUMIFS(先月データ!$Q:$Q,先月データ!$Z:$Z,$A64,先月データ!$K:$K,I$51,先月データ!$A:$A,"&gt;="&amp;設定!$B$3,先月データ!$A:$A,"&lt;="&amp;EOMONTH(設定!$B$3,0))/$B$38)+設定!$B$9*IF(OR(設定!$B$4="",$D$38=0),"",SUMIFS(先々月データ!$Q:$Q,先々月データ!$Z:$Z,$A64,先々月データ!$K:$K,I$51,先々月データ!$A:$A,"&gt;="&amp;設定!$B$4,先々月データ!$A:$A,"&lt;="&amp;EOMONTH(設定!$B$4,0))/$D$38))/(設定!$B$8+設定!$B$9),IF($B$38&gt;0,IF(OR(設定!$B$3="",$B$38=0),"",SUMIFS(先月データ!$Q:$Q,先月データ!$Z:$Z,$A64,先月データ!$K:$K,I$51,先月データ!$A:$A,"&gt;="&amp;設定!$B$3,先月データ!$A:$A,"&lt;="&amp;EOMONTH(設定!$B$3,0))/$B$38),IF($D$38&gt;0,IF(OR(設定!$B$4="",$D$38=0),"",SUMIFS(先々月データ!$Q:$Q,先々月データ!$Z:$Z,$A64,先々月データ!$K:$K,I$51,先々月データ!$A:$A,"&gt;="&amp;設定!$B$4,先々月データ!$A:$A,"&lt;="&amp;EOMONTH(設定!$B$4,0))/$D$38),"")))</f>
        <v/>
      </c>
      <c r="J64" s="50" t="str">
        <f aca="false">IF(AND($B$38&gt;0,$D$38&gt;0),(設定!$B$8*IF(OR(設定!$B$3="",$B$38=0),"",SUMIFS(先月データ!$Q:$Q,先月データ!$Z:$Z,$A64,先月データ!$K:$K,J$51,先月データ!$A:$A,"&gt;="&amp;設定!$B$3,先月データ!$A:$A,"&lt;="&amp;EOMONTH(設定!$B$3,0))/$B$38)+設定!$B$9*IF(OR(設定!$B$4="",$D$38=0),"",SUMIFS(先々月データ!$Q:$Q,先々月データ!$Z:$Z,$A64,先々月データ!$K:$K,J$51,先々月データ!$A:$A,"&gt;="&amp;設定!$B$4,先々月データ!$A:$A,"&lt;="&amp;EOMONTH(設定!$B$4,0))/$D$38))/(設定!$B$8+設定!$B$9),IF($B$38&gt;0,IF(OR(設定!$B$3="",$B$38=0),"",SUMIFS(先月データ!$Q:$Q,先月データ!$Z:$Z,$A64,先月データ!$K:$K,J$51,先月データ!$A:$A,"&gt;="&amp;設定!$B$3,先月データ!$A:$A,"&lt;="&amp;EOMONTH(設定!$B$3,0))/$B$38),IF($D$38&gt;0,IF(OR(設定!$B$4="",$D$38=0),"",SUMIFS(先々月データ!$Q:$Q,先々月データ!$Z:$Z,$A64,先々月データ!$K:$K,J$51,先々月データ!$A:$A,"&gt;="&amp;設定!$B$4,先々月データ!$A:$A,"&lt;="&amp;EOMONTH(設定!$B$4,0))/$D$38),"")))</f>
        <v/>
      </c>
      <c r="K64" s="50" t="str">
        <f aca="false">IF(AND($B$38&gt;0,$D$38&gt;0),(設定!$B$8*IF(OR(設定!$B$3="",$B$38=0),"",SUMIFS(先月データ!$Q:$Q,先月データ!$Z:$Z,$A64,先月データ!$K:$K,K$51,先月データ!$A:$A,"&gt;="&amp;設定!$B$3,先月データ!$A:$A,"&lt;="&amp;EOMONTH(設定!$B$3,0))/$B$38)+設定!$B$9*IF(OR(設定!$B$4="",$D$38=0),"",SUMIFS(先々月データ!$Q:$Q,先々月データ!$Z:$Z,$A64,先々月データ!$K:$K,K$51,先々月データ!$A:$A,"&gt;="&amp;設定!$B$4,先々月データ!$A:$A,"&lt;="&amp;EOMONTH(設定!$B$4,0))/$D$38))/(設定!$B$8+設定!$B$9),IF($B$38&gt;0,IF(OR(設定!$B$3="",$B$38=0),"",SUMIFS(先月データ!$Q:$Q,先月データ!$Z:$Z,$A64,先月データ!$K:$K,K$51,先月データ!$A:$A,"&gt;="&amp;設定!$B$3,先月データ!$A:$A,"&lt;="&amp;EOMONTH(設定!$B$3,0))/$B$38),IF($D$38&gt;0,IF(OR(設定!$B$4="",$D$38=0),"",SUMIFS(先々月データ!$Q:$Q,先々月データ!$Z:$Z,$A64,先々月データ!$K:$K,K$51,先々月データ!$A:$A,"&gt;="&amp;設定!$B$4,先々月データ!$A:$A,"&lt;="&amp;EOMONTH(設定!$B$4,0))/$D$38),"")))</f>
        <v/>
      </c>
      <c r="L64" s="50" t="str">
        <f aca="false">IF(AND($B$38&gt;0,$D$38&gt;0),(設定!$B$8*IF(OR(設定!$B$3="",$B$38=0),"",SUMIFS(先月データ!$Q:$Q,先月データ!$Z:$Z,$A64,先月データ!$K:$K,L$51,先月データ!$A:$A,"&gt;="&amp;設定!$B$3,先月データ!$A:$A,"&lt;="&amp;EOMONTH(設定!$B$3,0))/$B$38)+設定!$B$9*IF(OR(設定!$B$4="",$D$38=0),"",SUMIFS(先々月データ!$Q:$Q,先々月データ!$Z:$Z,$A64,先々月データ!$K:$K,L$51,先々月データ!$A:$A,"&gt;="&amp;設定!$B$4,先々月データ!$A:$A,"&lt;="&amp;EOMONTH(設定!$B$4,0))/$D$38))/(設定!$B$8+設定!$B$9),IF($B$38&gt;0,IF(OR(設定!$B$3="",$B$38=0),"",SUMIFS(先月データ!$Q:$Q,先月データ!$Z:$Z,$A64,先月データ!$K:$K,L$51,先月データ!$A:$A,"&gt;="&amp;設定!$B$3,先月データ!$A:$A,"&lt;="&amp;EOMONTH(設定!$B$3,0))/$B$38),IF($D$38&gt;0,IF(OR(設定!$B$4="",$D$38=0),"",SUMIFS(先々月データ!$Q:$Q,先々月データ!$Z:$Z,$A64,先々月データ!$K:$K,L$51,先々月データ!$A:$A,"&gt;="&amp;設定!$B$4,先々月データ!$A:$A,"&lt;="&amp;EOMONTH(設定!$B$4,0))/$D$38),"")))</f>
        <v/>
      </c>
      <c r="M64" s="50" t="str">
        <f aca="false">IF(AND($B$38&gt;0,$D$38&gt;0),(設定!$B$8*IF(OR(設定!$B$3="",$B$38=0),"",SUMIFS(先月データ!$Q:$Q,先月データ!$Z:$Z,$A64,先月データ!$K:$K,M$51,先月データ!$A:$A,"&gt;="&amp;設定!$B$3,先月データ!$A:$A,"&lt;="&amp;EOMONTH(設定!$B$3,0))/$B$38)+設定!$B$9*IF(OR(設定!$B$4="",$D$38=0),"",SUMIFS(先々月データ!$Q:$Q,先々月データ!$Z:$Z,$A64,先々月データ!$K:$K,M$51,先々月データ!$A:$A,"&gt;="&amp;設定!$B$4,先々月データ!$A:$A,"&lt;="&amp;EOMONTH(設定!$B$4,0))/$D$38))/(設定!$B$8+設定!$B$9),IF($B$38&gt;0,IF(OR(設定!$B$3="",$B$38=0),"",SUMIFS(先月データ!$Q:$Q,先月データ!$Z:$Z,$A64,先月データ!$K:$K,M$51,先月データ!$A:$A,"&gt;="&amp;設定!$B$3,先月データ!$A:$A,"&lt;="&amp;EOMONTH(設定!$B$3,0))/$B$38),IF($D$38&gt;0,IF(OR(設定!$B$4="",$D$38=0),"",SUMIFS(先々月データ!$Q:$Q,先々月データ!$Z:$Z,$A64,先々月データ!$K:$K,M$51,先々月データ!$A:$A,"&gt;="&amp;設定!$B$4,先々月データ!$A:$A,"&lt;="&amp;EOMONTH(設定!$B$4,0))/$D$38),"")))</f>
        <v/>
      </c>
      <c r="N64" s="50" t="str">
        <f aca="false">IF(AND($B$38&gt;0,$D$38&gt;0),(設定!$B$8*IF(OR(設定!$B$3="",$B$38=0),"",SUMIFS(先月データ!$Q:$Q,先月データ!$Z:$Z,$A64,先月データ!$K:$K,N$51,先月データ!$A:$A,"&gt;="&amp;設定!$B$3,先月データ!$A:$A,"&lt;="&amp;EOMONTH(設定!$B$3,0))/$B$38)+設定!$B$9*IF(OR(設定!$B$4="",$D$38=0),"",SUMIFS(先々月データ!$Q:$Q,先々月データ!$Z:$Z,$A64,先々月データ!$K:$K,N$51,先々月データ!$A:$A,"&gt;="&amp;設定!$B$4,先々月データ!$A:$A,"&lt;="&amp;EOMONTH(設定!$B$4,0))/$D$38))/(設定!$B$8+設定!$B$9),IF($B$38&gt;0,IF(OR(設定!$B$3="",$B$38=0),"",SUMIFS(先月データ!$Q:$Q,先月データ!$Z:$Z,$A64,先月データ!$K:$K,N$51,先月データ!$A:$A,"&gt;="&amp;設定!$B$3,先月データ!$A:$A,"&lt;="&amp;EOMONTH(設定!$B$3,0))/$B$38),IF($D$38&gt;0,IF(OR(設定!$B$4="",$D$38=0),"",SUMIFS(先々月データ!$Q:$Q,先々月データ!$Z:$Z,$A64,先々月データ!$K:$K,N$51,先々月データ!$A:$A,"&gt;="&amp;設定!$B$4,先々月データ!$A:$A,"&lt;="&amp;EOMONTH(設定!$B$4,0))/$D$38),"")))</f>
        <v/>
      </c>
      <c r="O64" s="50" t="n">
        <f aca="false">SUM(B64:N64)</f>
        <v>0</v>
      </c>
    </row>
    <row r="65" customFormat="false" ht="15" hidden="false" customHeight="false" outlineLevel="0" collapsed="false">
      <c r="A65" s="49" t="s">
        <v>107</v>
      </c>
      <c r="B65" s="50" t="str">
        <f aca="false">IF(AND($B$39&gt;0,$D$39&gt;0),(設定!$B$8*IF(OR(設定!$B$3="",$B$39=0),"",SUMIFS(先月データ!$Q:$Q,先月データ!$Z:$Z,$A65,先月データ!$K:$K,B$51,先月データ!$A:$A,"&gt;="&amp;設定!$B$3,先月データ!$A:$A,"&lt;="&amp;EOMONTH(設定!$B$3,0))/$B$39)+設定!$B$9*IF(OR(設定!$B$4="",$D$39=0),"",SUMIFS(先々月データ!$Q:$Q,先々月データ!$Z:$Z,$A65,先々月データ!$K:$K,B$51,先々月データ!$A:$A,"&gt;="&amp;設定!$B$4,先々月データ!$A:$A,"&lt;="&amp;EOMONTH(設定!$B$4,0))/$D$39))/(設定!$B$8+設定!$B$9),IF($B$39&gt;0,IF(OR(設定!$B$3="",$B$39=0),"",SUMIFS(先月データ!$Q:$Q,先月データ!$Z:$Z,$A65,先月データ!$K:$K,B$51,先月データ!$A:$A,"&gt;="&amp;設定!$B$3,先月データ!$A:$A,"&lt;="&amp;EOMONTH(設定!$B$3,0))/$B$39),IF($D$39&gt;0,IF(OR(設定!$B$4="",$D$39=0),"",SUMIFS(先々月データ!$Q:$Q,先々月データ!$Z:$Z,$A65,先々月データ!$K:$K,B$51,先々月データ!$A:$A,"&gt;="&amp;設定!$B$4,先々月データ!$A:$A,"&lt;="&amp;EOMONTH(設定!$B$4,0))/$D$39),"")))</f>
        <v/>
      </c>
      <c r="C65" s="50" t="str">
        <f aca="false">IF(AND($B$39&gt;0,$D$39&gt;0),(設定!$B$8*IF(OR(設定!$B$3="",$B$39=0),"",SUMIFS(先月データ!$Q:$Q,先月データ!$Z:$Z,$A65,先月データ!$K:$K,C$51,先月データ!$A:$A,"&gt;="&amp;設定!$B$3,先月データ!$A:$A,"&lt;="&amp;EOMONTH(設定!$B$3,0))/$B$39)+設定!$B$9*IF(OR(設定!$B$4="",$D$39=0),"",SUMIFS(先々月データ!$Q:$Q,先々月データ!$Z:$Z,$A65,先々月データ!$K:$K,C$51,先々月データ!$A:$A,"&gt;="&amp;設定!$B$4,先々月データ!$A:$A,"&lt;="&amp;EOMONTH(設定!$B$4,0))/$D$39))/(設定!$B$8+設定!$B$9),IF($B$39&gt;0,IF(OR(設定!$B$3="",$B$39=0),"",SUMIFS(先月データ!$Q:$Q,先月データ!$Z:$Z,$A65,先月データ!$K:$K,C$51,先月データ!$A:$A,"&gt;="&amp;設定!$B$3,先月データ!$A:$A,"&lt;="&amp;EOMONTH(設定!$B$3,0))/$B$39),IF($D$39&gt;0,IF(OR(設定!$B$4="",$D$39=0),"",SUMIFS(先々月データ!$Q:$Q,先々月データ!$Z:$Z,$A65,先々月データ!$K:$K,C$51,先々月データ!$A:$A,"&gt;="&amp;設定!$B$4,先々月データ!$A:$A,"&lt;="&amp;EOMONTH(設定!$B$4,0))/$D$39),"")))</f>
        <v/>
      </c>
      <c r="D65" s="50" t="str">
        <f aca="false">IF(AND($B$39&gt;0,$D$39&gt;0),(設定!$B$8*IF(OR(設定!$B$3="",$B$39=0),"",SUMIFS(先月データ!$Q:$Q,先月データ!$Z:$Z,$A65,先月データ!$K:$K,D$51,先月データ!$A:$A,"&gt;="&amp;設定!$B$3,先月データ!$A:$A,"&lt;="&amp;EOMONTH(設定!$B$3,0))/$B$39)+設定!$B$9*IF(OR(設定!$B$4="",$D$39=0),"",SUMIFS(先々月データ!$Q:$Q,先々月データ!$Z:$Z,$A65,先々月データ!$K:$K,D$51,先々月データ!$A:$A,"&gt;="&amp;設定!$B$4,先々月データ!$A:$A,"&lt;="&amp;EOMONTH(設定!$B$4,0))/$D$39))/(設定!$B$8+設定!$B$9),IF($B$39&gt;0,IF(OR(設定!$B$3="",$B$39=0),"",SUMIFS(先月データ!$Q:$Q,先月データ!$Z:$Z,$A65,先月データ!$K:$K,D$51,先月データ!$A:$A,"&gt;="&amp;設定!$B$3,先月データ!$A:$A,"&lt;="&amp;EOMONTH(設定!$B$3,0))/$B$39),IF($D$39&gt;0,IF(OR(設定!$B$4="",$D$39=0),"",SUMIFS(先々月データ!$Q:$Q,先々月データ!$Z:$Z,$A65,先々月データ!$K:$K,D$51,先々月データ!$A:$A,"&gt;="&amp;設定!$B$4,先々月データ!$A:$A,"&lt;="&amp;EOMONTH(設定!$B$4,0))/$D$39),"")))</f>
        <v/>
      </c>
      <c r="E65" s="50" t="str">
        <f aca="false">IF(AND($B$39&gt;0,$D$39&gt;0),(設定!$B$8*IF(OR(設定!$B$3="",$B$39=0),"",SUMIFS(先月データ!$Q:$Q,先月データ!$Z:$Z,$A65,先月データ!$K:$K,E$51,先月データ!$A:$A,"&gt;="&amp;設定!$B$3,先月データ!$A:$A,"&lt;="&amp;EOMONTH(設定!$B$3,0))/$B$39)+設定!$B$9*IF(OR(設定!$B$4="",$D$39=0),"",SUMIFS(先々月データ!$Q:$Q,先々月データ!$Z:$Z,$A65,先々月データ!$K:$K,E$51,先々月データ!$A:$A,"&gt;="&amp;設定!$B$4,先々月データ!$A:$A,"&lt;="&amp;EOMONTH(設定!$B$4,0))/$D$39))/(設定!$B$8+設定!$B$9),IF($B$39&gt;0,IF(OR(設定!$B$3="",$B$39=0),"",SUMIFS(先月データ!$Q:$Q,先月データ!$Z:$Z,$A65,先月データ!$K:$K,E$51,先月データ!$A:$A,"&gt;="&amp;設定!$B$3,先月データ!$A:$A,"&lt;="&amp;EOMONTH(設定!$B$3,0))/$B$39),IF($D$39&gt;0,IF(OR(設定!$B$4="",$D$39=0),"",SUMIFS(先々月データ!$Q:$Q,先々月データ!$Z:$Z,$A65,先々月データ!$K:$K,E$51,先々月データ!$A:$A,"&gt;="&amp;設定!$B$4,先々月データ!$A:$A,"&lt;="&amp;EOMONTH(設定!$B$4,0))/$D$39),"")))</f>
        <v/>
      </c>
      <c r="F65" s="50" t="str">
        <f aca="false">IF(AND($B$39&gt;0,$D$39&gt;0),(設定!$B$8*IF(OR(設定!$B$3="",$B$39=0),"",SUMIFS(先月データ!$Q:$Q,先月データ!$Z:$Z,$A65,先月データ!$K:$K,F$51,先月データ!$A:$A,"&gt;="&amp;設定!$B$3,先月データ!$A:$A,"&lt;="&amp;EOMONTH(設定!$B$3,0))/$B$39)+設定!$B$9*IF(OR(設定!$B$4="",$D$39=0),"",SUMIFS(先々月データ!$Q:$Q,先々月データ!$Z:$Z,$A65,先々月データ!$K:$K,F$51,先々月データ!$A:$A,"&gt;="&amp;設定!$B$4,先々月データ!$A:$A,"&lt;="&amp;EOMONTH(設定!$B$4,0))/$D$39))/(設定!$B$8+設定!$B$9),IF($B$39&gt;0,IF(OR(設定!$B$3="",$B$39=0),"",SUMIFS(先月データ!$Q:$Q,先月データ!$Z:$Z,$A65,先月データ!$K:$K,F$51,先月データ!$A:$A,"&gt;="&amp;設定!$B$3,先月データ!$A:$A,"&lt;="&amp;EOMONTH(設定!$B$3,0))/$B$39),IF($D$39&gt;0,IF(OR(設定!$B$4="",$D$39=0),"",SUMIFS(先々月データ!$Q:$Q,先々月データ!$Z:$Z,$A65,先々月データ!$K:$K,F$51,先々月データ!$A:$A,"&gt;="&amp;設定!$B$4,先々月データ!$A:$A,"&lt;="&amp;EOMONTH(設定!$B$4,0))/$D$39),"")))</f>
        <v/>
      </c>
      <c r="G65" s="50" t="str">
        <f aca="false">IF(AND($B$39&gt;0,$D$39&gt;0),(設定!$B$8*IF(OR(設定!$B$3="",$B$39=0),"",SUMIFS(先月データ!$Q:$Q,先月データ!$Z:$Z,$A65,先月データ!$K:$K,G$51,先月データ!$A:$A,"&gt;="&amp;設定!$B$3,先月データ!$A:$A,"&lt;="&amp;EOMONTH(設定!$B$3,0))/$B$39)+設定!$B$9*IF(OR(設定!$B$4="",$D$39=0),"",SUMIFS(先々月データ!$Q:$Q,先々月データ!$Z:$Z,$A65,先々月データ!$K:$K,G$51,先々月データ!$A:$A,"&gt;="&amp;設定!$B$4,先々月データ!$A:$A,"&lt;="&amp;EOMONTH(設定!$B$4,0))/$D$39))/(設定!$B$8+設定!$B$9),IF($B$39&gt;0,IF(OR(設定!$B$3="",$B$39=0),"",SUMIFS(先月データ!$Q:$Q,先月データ!$Z:$Z,$A65,先月データ!$K:$K,G$51,先月データ!$A:$A,"&gt;="&amp;設定!$B$3,先月データ!$A:$A,"&lt;="&amp;EOMONTH(設定!$B$3,0))/$B$39),IF($D$39&gt;0,IF(OR(設定!$B$4="",$D$39=0),"",SUMIFS(先々月データ!$Q:$Q,先々月データ!$Z:$Z,$A65,先々月データ!$K:$K,G$51,先々月データ!$A:$A,"&gt;="&amp;設定!$B$4,先々月データ!$A:$A,"&lt;="&amp;EOMONTH(設定!$B$4,0))/$D$39),"")))</f>
        <v/>
      </c>
      <c r="H65" s="50" t="str">
        <f aca="false">IF(AND($B$39&gt;0,$D$39&gt;0),(設定!$B$8*IF(OR(設定!$B$3="",$B$39=0),"",SUMIFS(先月データ!$Q:$Q,先月データ!$Z:$Z,$A65,先月データ!$K:$K,H$51,先月データ!$A:$A,"&gt;="&amp;設定!$B$3,先月データ!$A:$A,"&lt;="&amp;EOMONTH(設定!$B$3,0))/$B$39)+設定!$B$9*IF(OR(設定!$B$4="",$D$39=0),"",SUMIFS(先々月データ!$Q:$Q,先々月データ!$Z:$Z,$A65,先々月データ!$K:$K,H$51,先々月データ!$A:$A,"&gt;="&amp;設定!$B$4,先々月データ!$A:$A,"&lt;="&amp;EOMONTH(設定!$B$4,0))/$D$39))/(設定!$B$8+設定!$B$9),IF($B$39&gt;0,IF(OR(設定!$B$3="",$B$39=0),"",SUMIFS(先月データ!$Q:$Q,先月データ!$Z:$Z,$A65,先月データ!$K:$K,H$51,先月データ!$A:$A,"&gt;="&amp;設定!$B$3,先月データ!$A:$A,"&lt;="&amp;EOMONTH(設定!$B$3,0))/$B$39),IF($D$39&gt;0,IF(OR(設定!$B$4="",$D$39=0),"",SUMIFS(先々月データ!$Q:$Q,先々月データ!$Z:$Z,$A65,先々月データ!$K:$K,H$51,先々月データ!$A:$A,"&gt;="&amp;設定!$B$4,先々月データ!$A:$A,"&lt;="&amp;EOMONTH(設定!$B$4,0))/$D$39),"")))</f>
        <v/>
      </c>
      <c r="I65" s="50" t="str">
        <f aca="false">IF(AND($B$39&gt;0,$D$39&gt;0),(設定!$B$8*IF(OR(設定!$B$3="",$B$39=0),"",SUMIFS(先月データ!$Q:$Q,先月データ!$Z:$Z,$A65,先月データ!$K:$K,I$51,先月データ!$A:$A,"&gt;="&amp;設定!$B$3,先月データ!$A:$A,"&lt;="&amp;EOMONTH(設定!$B$3,0))/$B$39)+設定!$B$9*IF(OR(設定!$B$4="",$D$39=0),"",SUMIFS(先々月データ!$Q:$Q,先々月データ!$Z:$Z,$A65,先々月データ!$K:$K,I$51,先々月データ!$A:$A,"&gt;="&amp;設定!$B$4,先々月データ!$A:$A,"&lt;="&amp;EOMONTH(設定!$B$4,0))/$D$39))/(設定!$B$8+設定!$B$9),IF($B$39&gt;0,IF(OR(設定!$B$3="",$B$39=0),"",SUMIFS(先月データ!$Q:$Q,先月データ!$Z:$Z,$A65,先月データ!$K:$K,I$51,先月データ!$A:$A,"&gt;="&amp;設定!$B$3,先月データ!$A:$A,"&lt;="&amp;EOMONTH(設定!$B$3,0))/$B$39),IF($D$39&gt;0,IF(OR(設定!$B$4="",$D$39=0),"",SUMIFS(先々月データ!$Q:$Q,先々月データ!$Z:$Z,$A65,先々月データ!$K:$K,I$51,先々月データ!$A:$A,"&gt;="&amp;設定!$B$4,先々月データ!$A:$A,"&lt;="&amp;EOMONTH(設定!$B$4,0))/$D$39),"")))</f>
        <v/>
      </c>
      <c r="J65" s="50" t="str">
        <f aca="false">IF(AND($B$39&gt;0,$D$39&gt;0),(設定!$B$8*IF(OR(設定!$B$3="",$B$39=0),"",SUMIFS(先月データ!$Q:$Q,先月データ!$Z:$Z,$A65,先月データ!$K:$K,J$51,先月データ!$A:$A,"&gt;="&amp;設定!$B$3,先月データ!$A:$A,"&lt;="&amp;EOMONTH(設定!$B$3,0))/$B$39)+設定!$B$9*IF(OR(設定!$B$4="",$D$39=0),"",SUMIFS(先々月データ!$Q:$Q,先々月データ!$Z:$Z,$A65,先々月データ!$K:$K,J$51,先々月データ!$A:$A,"&gt;="&amp;設定!$B$4,先々月データ!$A:$A,"&lt;="&amp;EOMONTH(設定!$B$4,0))/$D$39))/(設定!$B$8+設定!$B$9),IF($B$39&gt;0,IF(OR(設定!$B$3="",$B$39=0),"",SUMIFS(先月データ!$Q:$Q,先月データ!$Z:$Z,$A65,先月データ!$K:$K,J$51,先月データ!$A:$A,"&gt;="&amp;設定!$B$3,先月データ!$A:$A,"&lt;="&amp;EOMONTH(設定!$B$3,0))/$B$39),IF($D$39&gt;0,IF(OR(設定!$B$4="",$D$39=0),"",SUMIFS(先々月データ!$Q:$Q,先々月データ!$Z:$Z,$A65,先々月データ!$K:$K,J$51,先々月データ!$A:$A,"&gt;="&amp;設定!$B$4,先々月データ!$A:$A,"&lt;="&amp;EOMONTH(設定!$B$4,0))/$D$39),"")))</f>
        <v/>
      </c>
      <c r="K65" s="50" t="str">
        <f aca="false">IF(AND($B$39&gt;0,$D$39&gt;0),(設定!$B$8*IF(OR(設定!$B$3="",$B$39=0),"",SUMIFS(先月データ!$Q:$Q,先月データ!$Z:$Z,$A65,先月データ!$K:$K,K$51,先月データ!$A:$A,"&gt;="&amp;設定!$B$3,先月データ!$A:$A,"&lt;="&amp;EOMONTH(設定!$B$3,0))/$B$39)+設定!$B$9*IF(OR(設定!$B$4="",$D$39=0),"",SUMIFS(先々月データ!$Q:$Q,先々月データ!$Z:$Z,$A65,先々月データ!$K:$K,K$51,先々月データ!$A:$A,"&gt;="&amp;設定!$B$4,先々月データ!$A:$A,"&lt;="&amp;EOMONTH(設定!$B$4,0))/$D$39))/(設定!$B$8+設定!$B$9),IF($B$39&gt;0,IF(OR(設定!$B$3="",$B$39=0),"",SUMIFS(先月データ!$Q:$Q,先月データ!$Z:$Z,$A65,先月データ!$K:$K,K$51,先月データ!$A:$A,"&gt;="&amp;設定!$B$3,先月データ!$A:$A,"&lt;="&amp;EOMONTH(設定!$B$3,0))/$B$39),IF($D$39&gt;0,IF(OR(設定!$B$4="",$D$39=0),"",SUMIFS(先々月データ!$Q:$Q,先々月データ!$Z:$Z,$A65,先々月データ!$K:$K,K$51,先々月データ!$A:$A,"&gt;="&amp;設定!$B$4,先々月データ!$A:$A,"&lt;="&amp;EOMONTH(設定!$B$4,0))/$D$39),"")))</f>
        <v/>
      </c>
      <c r="L65" s="50" t="str">
        <f aca="false">IF(AND($B$39&gt;0,$D$39&gt;0),(設定!$B$8*IF(OR(設定!$B$3="",$B$39=0),"",SUMIFS(先月データ!$Q:$Q,先月データ!$Z:$Z,$A65,先月データ!$K:$K,L$51,先月データ!$A:$A,"&gt;="&amp;設定!$B$3,先月データ!$A:$A,"&lt;="&amp;EOMONTH(設定!$B$3,0))/$B$39)+設定!$B$9*IF(OR(設定!$B$4="",$D$39=0),"",SUMIFS(先々月データ!$Q:$Q,先々月データ!$Z:$Z,$A65,先々月データ!$K:$K,L$51,先々月データ!$A:$A,"&gt;="&amp;設定!$B$4,先々月データ!$A:$A,"&lt;="&amp;EOMONTH(設定!$B$4,0))/$D$39))/(設定!$B$8+設定!$B$9),IF($B$39&gt;0,IF(OR(設定!$B$3="",$B$39=0),"",SUMIFS(先月データ!$Q:$Q,先月データ!$Z:$Z,$A65,先月データ!$K:$K,L$51,先月データ!$A:$A,"&gt;="&amp;設定!$B$3,先月データ!$A:$A,"&lt;="&amp;EOMONTH(設定!$B$3,0))/$B$39),IF($D$39&gt;0,IF(OR(設定!$B$4="",$D$39=0),"",SUMIFS(先々月データ!$Q:$Q,先々月データ!$Z:$Z,$A65,先々月データ!$K:$K,L$51,先々月データ!$A:$A,"&gt;="&amp;設定!$B$4,先々月データ!$A:$A,"&lt;="&amp;EOMONTH(設定!$B$4,0))/$D$39),"")))</f>
        <v/>
      </c>
      <c r="M65" s="50" t="str">
        <f aca="false">IF(AND($B$39&gt;0,$D$39&gt;0),(設定!$B$8*IF(OR(設定!$B$3="",$B$39=0),"",SUMIFS(先月データ!$Q:$Q,先月データ!$Z:$Z,$A65,先月データ!$K:$K,M$51,先月データ!$A:$A,"&gt;="&amp;設定!$B$3,先月データ!$A:$A,"&lt;="&amp;EOMONTH(設定!$B$3,0))/$B$39)+設定!$B$9*IF(OR(設定!$B$4="",$D$39=0),"",SUMIFS(先々月データ!$Q:$Q,先々月データ!$Z:$Z,$A65,先々月データ!$K:$K,M$51,先々月データ!$A:$A,"&gt;="&amp;設定!$B$4,先々月データ!$A:$A,"&lt;="&amp;EOMONTH(設定!$B$4,0))/$D$39))/(設定!$B$8+設定!$B$9),IF($B$39&gt;0,IF(OR(設定!$B$3="",$B$39=0),"",SUMIFS(先月データ!$Q:$Q,先月データ!$Z:$Z,$A65,先月データ!$K:$K,M$51,先月データ!$A:$A,"&gt;="&amp;設定!$B$3,先月データ!$A:$A,"&lt;="&amp;EOMONTH(設定!$B$3,0))/$B$39),IF($D$39&gt;0,IF(OR(設定!$B$4="",$D$39=0),"",SUMIFS(先々月データ!$Q:$Q,先々月データ!$Z:$Z,$A65,先々月データ!$K:$K,M$51,先々月データ!$A:$A,"&gt;="&amp;設定!$B$4,先々月データ!$A:$A,"&lt;="&amp;EOMONTH(設定!$B$4,0))/$D$39),"")))</f>
        <v/>
      </c>
      <c r="N65" s="50" t="str">
        <f aca="false">IF(AND($B$39&gt;0,$D$39&gt;0),(設定!$B$8*IF(OR(設定!$B$3="",$B$39=0),"",SUMIFS(先月データ!$Q:$Q,先月データ!$Z:$Z,$A65,先月データ!$K:$K,N$51,先月データ!$A:$A,"&gt;="&amp;設定!$B$3,先月データ!$A:$A,"&lt;="&amp;EOMONTH(設定!$B$3,0))/$B$39)+設定!$B$9*IF(OR(設定!$B$4="",$D$39=0),"",SUMIFS(先々月データ!$Q:$Q,先々月データ!$Z:$Z,$A65,先々月データ!$K:$K,N$51,先々月データ!$A:$A,"&gt;="&amp;設定!$B$4,先々月データ!$A:$A,"&lt;="&amp;EOMONTH(設定!$B$4,0))/$D$39))/(設定!$B$8+設定!$B$9),IF($B$39&gt;0,IF(OR(設定!$B$3="",$B$39=0),"",SUMIFS(先月データ!$Q:$Q,先月データ!$Z:$Z,$A65,先月データ!$K:$K,N$51,先月データ!$A:$A,"&gt;="&amp;設定!$B$3,先月データ!$A:$A,"&lt;="&amp;EOMONTH(設定!$B$3,0))/$B$39),IF($D$39&gt;0,IF(OR(設定!$B$4="",$D$39=0),"",SUMIFS(先々月データ!$Q:$Q,先々月データ!$Z:$Z,$A65,先々月データ!$K:$K,N$51,先々月データ!$A:$A,"&gt;="&amp;設定!$B$4,先々月データ!$A:$A,"&lt;="&amp;EOMONTH(設定!$B$4,0))/$D$39),"")))</f>
        <v/>
      </c>
      <c r="O65" s="50" t="n">
        <f aca="false">SUM(B65:N65)</f>
        <v>0</v>
      </c>
    </row>
    <row r="66" customFormat="false" ht="15" hidden="false" customHeight="false" outlineLevel="0" collapsed="false">
      <c r="A66" s="49" t="s">
        <v>108</v>
      </c>
      <c r="B66" s="50" t="str">
        <f aca="false">IF(AND($B$40&gt;0,$D$40&gt;0),(設定!$B$8*IF(OR(設定!$B$3="",$B$40=0),"",SUMIFS(先月データ!$Q:$Q,先月データ!$Z:$Z,$A66,先月データ!$K:$K,B$51,先月データ!$A:$A,"&gt;="&amp;設定!$B$3,先月データ!$A:$A,"&lt;="&amp;EOMONTH(設定!$B$3,0))/$B$40)+設定!$B$9*IF(OR(設定!$B$4="",$D$40=0),"",SUMIFS(先々月データ!$Q:$Q,先々月データ!$Z:$Z,$A66,先々月データ!$K:$K,B$51,先々月データ!$A:$A,"&gt;="&amp;設定!$B$4,先々月データ!$A:$A,"&lt;="&amp;EOMONTH(設定!$B$4,0))/$D$40))/(設定!$B$8+設定!$B$9),IF($B$40&gt;0,IF(OR(設定!$B$3="",$B$40=0),"",SUMIFS(先月データ!$Q:$Q,先月データ!$Z:$Z,$A66,先月データ!$K:$K,B$51,先月データ!$A:$A,"&gt;="&amp;設定!$B$3,先月データ!$A:$A,"&lt;="&amp;EOMONTH(設定!$B$3,0))/$B$40),IF($D$40&gt;0,IF(OR(設定!$B$4="",$D$40=0),"",SUMIFS(先々月データ!$Q:$Q,先々月データ!$Z:$Z,$A66,先々月データ!$K:$K,B$51,先々月データ!$A:$A,"&gt;="&amp;設定!$B$4,先々月データ!$A:$A,"&lt;="&amp;EOMONTH(設定!$B$4,0))/$D$40),"")))</f>
        <v/>
      </c>
      <c r="C66" s="50" t="str">
        <f aca="false">IF(AND($B$40&gt;0,$D$40&gt;0),(設定!$B$8*IF(OR(設定!$B$3="",$B$40=0),"",SUMIFS(先月データ!$Q:$Q,先月データ!$Z:$Z,$A66,先月データ!$K:$K,C$51,先月データ!$A:$A,"&gt;="&amp;設定!$B$3,先月データ!$A:$A,"&lt;="&amp;EOMONTH(設定!$B$3,0))/$B$40)+設定!$B$9*IF(OR(設定!$B$4="",$D$40=0),"",SUMIFS(先々月データ!$Q:$Q,先々月データ!$Z:$Z,$A66,先々月データ!$K:$K,C$51,先々月データ!$A:$A,"&gt;="&amp;設定!$B$4,先々月データ!$A:$A,"&lt;="&amp;EOMONTH(設定!$B$4,0))/$D$40))/(設定!$B$8+設定!$B$9),IF($B$40&gt;0,IF(OR(設定!$B$3="",$B$40=0),"",SUMIFS(先月データ!$Q:$Q,先月データ!$Z:$Z,$A66,先月データ!$K:$K,C$51,先月データ!$A:$A,"&gt;="&amp;設定!$B$3,先月データ!$A:$A,"&lt;="&amp;EOMONTH(設定!$B$3,0))/$B$40),IF($D$40&gt;0,IF(OR(設定!$B$4="",$D$40=0),"",SUMIFS(先々月データ!$Q:$Q,先々月データ!$Z:$Z,$A66,先々月データ!$K:$K,C$51,先々月データ!$A:$A,"&gt;="&amp;設定!$B$4,先々月データ!$A:$A,"&lt;="&amp;EOMONTH(設定!$B$4,0))/$D$40),"")))</f>
        <v/>
      </c>
      <c r="D66" s="50" t="str">
        <f aca="false">IF(AND($B$40&gt;0,$D$40&gt;0),(設定!$B$8*IF(OR(設定!$B$3="",$B$40=0),"",SUMIFS(先月データ!$Q:$Q,先月データ!$Z:$Z,$A66,先月データ!$K:$K,D$51,先月データ!$A:$A,"&gt;="&amp;設定!$B$3,先月データ!$A:$A,"&lt;="&amp;EOMONTH(設定!$B$3,0))/$B$40)+設定!$B$9*IF(OR(設定!$B$4="",$D$40=0),"",SUMIFS(先々月データ!$Q:$Q,先々月データ!$Z:$Z,$A66,先々月データ!$K:$K,D$51,先々月データ!$A:$A,"&gt;="&amp;設定!$B$4,先々月データ!$A:$A,"&lt;="&amp;EOMONTH(設定!$B$4,0))/$D$40))/(設定!$B$8+設定!$B$9),IF($B$40&gt;0,IF(OR(設定!$B$3="",$B$40=0),"",SUMIFS(先月データ!$Q:$Q,先月データ!$Z:$Z,$A66,先月データ!$K:$K,D$51,先月データ!$A:$A,"&gt;="&amp;設定!$B$3,先月データ!$A:$A,"&lt;="&amp;EOMONTH(設定!$B$3,0))/$B$40),IF($D$40&gt;0,IF(OR(設定!$B$4="",$D$40=0),"",SUMIFS(先々月データ!$Q:$Q,先々月データ!$Z:$Z,$A66,先々月データ!$K:$K,D$51,先々月データ!$A:$A,"&gt;="&amp;設定!$B$4,先々月データ!$A:$A,"&lt;="&amp;EOMONTH(設定!$B$4,0))/$D$40),"")))</f>
        <v/>
      </c>
      <c r="E66" s="50" t="str">
        <f aca="false">IF(AND($B$40&gt;0,$D$40&gt;0),(設定!$B$8*IF(OR(設定!$B$3="",$B$40=0),"",SUMIFS(先月データ!$Q:$Q,先月データ!$Z:$Z,$A66,先月データ!$K:$K,E$51,先月データ!$A:$A,"&gt;="&amp;設定!$B$3,先月データ!$A:$A,"&lt;="&amp;EOMONTH(設定!$B$3,0))/$B$40)+設定!$B$9*IF(OR(設定!$B$4="",$D$40=0),"",SUMIFS(先々月データ!$Q:$Q,先々月データ!$Z:$Z,$A66,先々月データ!$K:$K,E$51,先々月データ!$A:$A,"&gt;="&amp;設定!$B$4,先々月データ!$A:$A,"&lt;="&amp;EOMONTH(設定!$B$4,0))/$D$40))/(設定!$B$8+設定!$B$9),IF($B$40&gt;0,IF(OR(設定!$B$3="",$B$40=0),"",SUMIFS(先月データ!$Q:$Q,先月データ!$Z:$Z,$A66,先月データ!$K:$K,E$51,先月データ!$A:$A,"&gt;="&amp;設定!$B$3,先月データ!$A:$A,"&lt;="&amp;EOMONTH(設定!$B$3,0))/$B$40),IF($D$40&gt;0,IF(OR(設定!$B$4="",$D$40=0),"",SUMIFS(先々月データ!$Q:$Q,先々月データ!$Z:$Z,$A66,先々月データ!$K:$K,E$51,先々月データ!$A:$A,"&gt;="&amp;設定!$B$4,先々月データ!$A:$A,"&lt;="&amp;EOMONTH(設定!$B$4,0))/$D$40),"")))</f>
        <v/>
      </c>
      <c r="F66" s="50" t="str">
        <f aca="false">IF(AND($B$40&gt;0,$D$40&gt;0),(設定!$B$8*IF(OR(設定!$B$3="",$B$40=0),"",SUMIFS(先月データ!$Q:$Q,先月データ!$Z:$Z,$A66,先月データ!$K:$K,F$51,先月データ!$A:$A,"&gt;="&amp;設定!$B$3,先月データ!$A:$A,"&lt;="&amp;EOMONTH(設定!$B$3,0))/$B$40)+設定!$B$9*IF(OR(設定!$B$4="",$D$40=0),"",SUMIFS(先々月データ!$Q:$Q,先々月データ!$Z:$Z,$A66,先々月データ!$K:$K,F$51,先々月データ!$A:$A,"&gt;="&amp;設定!$B$4,先々月データ!$A:$A,"&lt;="&amp;EOMONTH(設定!$B$4,0))/$D$40))/(設定!$B$8+設定!$B$9),IF($B$40&gt;0,IF(OR(設定!$B$3="",$B$40=0),"",SUMIFS(先月データ!$Q:$Q,先月データ!$Z:$Z,$A66,先月データ!$K:$K,F$51,先月データ!$A:$A,"&gt;="&amp;設定!$B$3,先月データ!$A:$A,"&lt;="&amp;EOMONTH(設定!$B$3,0))/$B$40),IF($D$40&gt;0,IF(OR(設定!$B$4="",$D$40=0),"",SUMIFS(先々月データ!$Q:$Q,先々月データ!$Z:$Z,$A66,先々月データ!$K:$K,F$51,先々月データ!$A:$A,"&gt;="&amp;設定!$B$4,先々月データ!$A:$A,"&lt;="&amp;EOMONTH(設定!$B$4,0))/$D$40),"")))</f>
        <v/>
      </c>
      <c r="G66" s="50" t="str">
        <f aca="false">IF(AND($B$40&gt;0,$D$40&gt;0),(設定!$B$8*IF(OR(設定!$B$3="",$B$40=0),"",SUMIFS(先月データ!$Q:$Q,先月データ!$Z:$Z,$A66,先月データ!$K:$K,G$51,先月データ!$A:$A,"&gt;="&amp;設定!$B$3,先月データ!$A:$A,"&lt;="&amp;EOMONTH(設定!$B$3,0))/$B$40)+設定!$B$9*IF(OR(設定!$B$4="",$D$40=0),"",SUMIFS(先々月データ!$Q:$Q,先々月データ!$Z:$Z,$A66,先々月データ!$K:$K,G$51,先々月データ!$A:$A,"&gt;="&amp;設定!$B$4,先々月データ!$A:$A,"&lt;="&amp;EOMONTH(設定!$B$4,0))/$D$40))/(設定!$B$8+設定!$B$9),IF($B$40&gt;0,IF(OR(設定!$B$3="",$B$40=0),"",SUMIFS(先月データ!$Q:$Q,先月データ!$Z:$Z,$A66,先月データ!$K:$K,G$51,先月データ!$A:$A,"&gt;="&amp;設定!$B$3,先月データ!$A:$A,"&lt;="&amp;EOMONTH(設定!$B$3,0))/$B$40),IF($D$40&gt;0,IF(OR(設定!$B$4="",$D$40=0),"",SUMIFS(先々月データ!$Q:$Q,先々月データ!$Z:$Z,$A66,先々月データ!$K:$K,G$51,先々月データ!$A:$A,"&gt;="&amp;設定!$B$4,先々月データ!$A:$A,"&lt;="&amp;EOMONTH(設定!$B$4,0))/$D$40),"")))</f>
        <v/>
      </c>
      <c r="H66" s="50" t="str">
        <f aca="false">IF(AND($B$40&gt;0,$D$40&gt;0),(設定!$B$8*IF(OR(設定!$B$3="",$B$40=0),"",SUMIFS(先月データ!$Q:$Q,先月データ!$Z:$Z,$A66,先月データ!$K:$K,H$51,先月データ!$A:$A,"&gt;="&amp;設定!$B$3,先月データ!$A:$A,"&lt;="&amp;EOMONTH(設定!$B$3,0))/$B$40)+設定!$B$9*IF(OR(設定!$B$4="",$D$40=0),"",SUMIFS(先々月データ!$Q:$Q,先々月データ!$Z:$Z,$A66,先々月データ!$K:$K,H$51,先々月データ!$A:$A,"&gt;="&amp;設定!$B$4,先々月データ!$A:$A,"&lt;="&amp;EOMONTH(設定!$B$4,0))/$D$40))/(設定!$B$8+設定!$B$9),IF($B$40&gt;0,IF(OR(設定!$B$3="",$B$40=0),"",SUMIFS(先月データ!$Q:$Q,先月データ!$Z:$Z,$A66,先月データ!$K:$K,H$51,先月データ!$A:$A,"&gt;="&amp;設定!$B$3,先月データ!$A:$A,"&lt;="&amp;EOMONTH(設定!$B$3,0))/$B$40),IF($D$40&gt;0,IF(OR(設定!$B$4="",$D$40=0),"",SUMIFS(先々月データ!$Q:$Q,先々月データ!$Z:$Z,$A66,先々月データ!$K:$K,H$51,先々月データ!$A:$A,"&gt;="&amp;設定!$B$4,先々月データ!$A:$A,"&lt;="&amp;EOMONTH(設定!$B$4,0))/$D$40),"")))</f>
        <v/>
      </c>
      <c r="I66" s="50" t="str">
        <f aca="false">IF(AND($B$40&gt;0,$D$40&gt;0),(設定!$B$8*IF(OR(設定!$B$3="",$B$40=0),"",SUMIFS(先月データ!$Q:$Q,先月データ!$Z:$Z,$A66,先月データ!$K:$K,I$51,先月データ!$A:$A,"&gt;="&amp;設定!$B$3,先月データ!$A:$A,"&lt;="&amp;EOMONTH(設定!$B$3,0))/$B$40)+設定!$B$9*IF(OR(設定!$B$4="",$D$40=0),"",SUMIFS(先々月データ!$Q:$Q,先々月データ!$Z:$Z,$A66,先々月データ!$K:$K,I$51,先々月データ!$A:$A,"&gt;="&amp;設定!$B$4,先々月データ!$A:$A,"&lt;="&amp;EOMONTH(設定!$B$4,0))/$D$40))/(設定!$B$8+設定!$B$9),IF($B$40&gt;0,IF(OR(設定!$B$3="",$B$40=0),"",SUMIFS(先月データ!$Q:$Q,先月データ!$Z:$Z,$A66,先月データ!$K:$K,I$51,先月データ!$A:$A,"&gt;="&amp;設定!$B$3,先月データ!$A:$A,"&lt;="&amp;EOMONTH(設定!$B$3,0))/$B$40),IF($D$40&gt;0,IF(OR(設定!$B$4="",$D$40=0),"",SUMIFS(先々月データ!$Q:$Q,先々月データ!$Z:$Z,$A66,先々月データ!$K:$K,I$51,先々月データ!$A:$A,"&gt;="&amp;設定!$B$4,先々月データ!$A:$A,"&lt;="&amp;EOMONTH(設定!$B$4,0))/$D$40),"")))</f>
        <v/>
      </c>
      <c r="J66" s="50" t="str">
        <f aca="false">IF(AND($B$40&gt;0,$D$40&gt;0),(設定!$B$8*IF(OR(設定!$B$3="",$B$40=0),"",SUMIFS(先月データ!$Q:$Q,先月データ!$Z:$Z,$A66,先月データ!$K:$K,J$51,先月データ!$A:$A,"&gt;="&amp;設定!$B$3,先月データ!$A:$A,"&lt;="&amp;EOMONTH(設定!$B$3,0))/$B$40)+設定!$B$9*IF(OR(設定!$B$4="",$D$40=0),"",SUMIFS(先々月データ!$Q:$Q,先々月データ!$Z:$Z,$A66,先々月データ!$K:$K,J$51,先々月データ!$A:$A,"&gt;="&amp;設定!$B$4,先々月データ!$A:$A,"&lt;="&amp;EOMONTH(設定!$B$4,0))/$D$40))/(設定!$B$8+設定!$B$9),IF($B$40&gt;0,IF(OR(設定!$B$3="",$B$40=0),"",SUMIFS(先月データ!$Q:$Q,先月データ!$Z:$Z,$A66,先月データ!$K:$K,J$51,先月データ!$A:$A,"&gt;="&amp;設定!$B$3,先月データ!$A:$A,"&lt;="&amp;EOMONTH(設定!$B$3,0))/$B$40),IF($D$40&gt;0,IF(OR(設定!$B$4="",$D$40=0),"",SUMIFS(先々月データ!$Q:$Q,先々月データ!$Z:$Z,$A66,先々月データ!$K:$K,J$51,先々月データ!$A:$A,"&gt;="&amp;設定!$B$4,先々月データ!$A:$A,"&lt;="&amp;EOMONTH(設定!$B$4,0))/$D$40),"")))</f>
        <v/>
      </c>
      <c r="K66" s="50" t="str">
        <f aca="false">IF(AND($B$40&gt;0,$D$40&gt;0),(設定!$B$8*IF(OR(設定!$B$3="",$B$40=0),"",SUMIFS(先月データ!$Q:$Q,先月データ!$Z:$Z,$A66,先月データ!$K:$K,K$51,先月データ!$A:$A,"&gt;="&amp;設定!$B$3,先月データ!$A:$A,"&lt;="&amp;EOMONTH(設定!$B$3,0))/$B$40)+設定!$B$9*IF(OR(設定!$B$4="",$D$40=0),"",SUMIFS(先々月データ!$Q:$Q,先々月データ!$Z:$Z,$A66,先々月データ!$K:$K,K$51,先々月データ!$A:$A,"&gt;="&amp;設定!$B$4,先々月データ!$A:$A,"&lt;="&amp;EOMONTH(設定!$B$4,0))/$D$40))/(設定!$B$8+設定!$B$9),IF($B$40&gt;0,IF(OR(設定!$B$3="",$B$40=0),"",SUMIFS(先月データ!$Q:$Q,先月データ!$Z:$Z,$A66,先月データ!$K:$K,K$51,先月データ!$A:$A,"&gt;="&amp;設定!$B$3,先月データ!$A:$A,"&lt;="&amp;EOMONTH(設定!$B$3,0))/$B$40),IF($D$40&gt;0,IF(OR(設定!$B$4="",$D$40=0),"",SUMIFS(先々月データ!$Q:$Q,先々月データ!$Z:$Z,$A66,先々月データ!$K:$K,K$51,先々月データ!$A:$A,"&gt;="&amp;設定!$B$4,先々月データ!$A:$A,"&lt;="&amp;EOMONTH(設定!$B$4,0))/$D$40),"")))</f>
        <v/>
      </c>
      <c r="L66" s="50" t="str">
        <f aca="false">IF(AND($B$40&gt;0,$D$40&gt;0),(設定!$B$8*IF(OR(設定!$B$3="",$B$40=0),"",SUMIFS(先月データ!$Q:$Q,先月データ!$Z:$Z,$A66,先月データ!$K:$K,L$51,先月データ!$A:$A,"&gt;="&amp;設定!$B$3,先月データ!$A:$A,"&lt;="&amp;EOMONTH(設定!$B$3,0))/$B$40)+設定!$B$9*IF(OR(設定!$B$4="",$D$40=0),"",SUMIFS(先々月データ!$Q:$Q,先々月データ!$Z:$Z,$A66,先々月データ!$K:$K,L$51,先々月データ!$A:$A,"&gt;="&amp;設定!$B$4,先々月データ!$A:$A,"&lt;="&amp;EOMONTH(設定!$B$4,0))/$D$40))/(設定!$B$8+設定!$B$9),IF($B$40&gt;0,IF(OR(設定!$B$3="",$B$40=0),"",SUMIFS(先月データ!$Q:$Q,先月データ!$Z:$Z,$A66,先月データ!$K:$K,L$51,先月データ!$A:$A,"&gt;="&amp;設定!$B$3,先月データ!$A:$A,"&lt;="&amp;EOMONTH(設定!$B$3,0))/$B$40),IF($D$40&gt;0,IF(OR(設定!$B$4="",$D$40=0),"",SUMIFS(先々月データ!$Q:$Q,先々月データ!$Z:$Z,$A66,先々月データ!$K:$K,L$51,先々月データ!$A:$A,"&gt;="&amp;設定!$B$4,先々月データ!$A:$A,"&lt;="&amp;EOMONTH(設定!$B$4,0))/$D$40),"")))</f>
        <v/>
      </c>
      <c r="M66" s="50" t="str">
        <f aca="false">IF(AND($B$40&gt;0,$D$40&gt;0),(設定!$B$8*IF(OR(設定!$B$3="",$B$40=0),"",SUMIFS(先月データ!$Q:$Q,先月データ!$Z:$Z,$A66,先月データ!$K:$K,M$51,先月データ!$A:$A,"&gt;="&amp;設定!$B$3,先月データ!$A:$A,"&lt;="&amp;EOMONTH(設定!$B$3,0))/$B$40)+設定!$B$9*IF(OR(設定!$B$4="",$D$40=0),"",SUMIFS(先々月データ!$Q:$Q,先々月データ!$Z:$Z,$A66,先々月データ!$K:$K,M$51,先々月データ!$A:$A,"&gt;="&amp;設定!$B$4,先々月データ!$A:$A,"&lt;="&amp;EOMONTH(設定!$B$4,0))/$D$40))/(設定!$B$8+設定!$B$9),IF($B$40&gt;0,IF(OR(設定!$B$3="",$B$40=0),"",SUMIFS(先月データ!$Q:$Q,先月データ!$Z:$Z,$A66,先月データ!$K:$K,M$51,先月データ!$A:$A,"&gt;="&amp;設定!$B$3,先月データ!$A:$A,"&lt;="&amp;EOMONTH(設定!$B$3,0))/$B$40),IF($D$40&gt;0,IF(OR(設定!$B$4="",$D$40=0),"",SUMIFS(先々月データ!$Q:$Q,先々月データ!$Z:$Z,$A66,先々月データ!$K:$K,M$51,先々月データ!$A:$A,"&gt;="&amp;設定!$B$4,先々月データ!$A:$A,"&lt;="&amp;EOMONTH(設定!$B$4,0))/$D$40),"")))</f>
        <v/>
      </c>
      <c r="N66" s="50" t="str">
        <f aca="false">IF(AND($B$40&gt;0,$D$40&gt;0),(設定!$B$8*IF(OR(設定!$B$3="",$B$40=0),"",SUMIFS(先月データ!$Q:$Q,先月データ!$Z:$Z,$A66,先月データ!$K:$K,N$51,先月データ!$A:$A,"&gt;="&amp;設定!$B$3,先月データ!$A:$A,"&lt;="&amp;EOMONTH(設定!$B$3,0))/$B$40)+設定!$B$9*IF(OR(設定!$B$4="",$D$40=0),"",SUMIFS(先々月データ!$Q:$Q,先々月データ!$Z:$Z,$A66,先々月データ!$K:$K,N$51,先々月データ!$A:$A,"&gt;="&amp;設定!$B$4,先々月データ!$A:$A,"&lt;="&amp;EOMONTH(設定!$B$4,0))/$D$40))/(設定!$B$8+設定!$B$9),IF($B$40&gt;0,IF(OR(設定!$B$3="",$B$40=0),"",SUMIFS(先月データ!$Q:$Q,先月データ!$Z:$Z,$A66,先月データ!$K:$K,N$51,先月データ!$A:$A,"&gt;="&amp;設定!$B$3,先月データ!$A:$A,"&lt;="&amp;EOMONTH(設定!$B$3,0))/$B$40),IF($D$40&gt;0,IF(OR(設定!$B$4="",$D$40=0),"",SUMIFS(先々月データ!$Q:$Q,先々月データ!$Z:$Z,$A66,先々月データ!$K:$K,N$51,先々月データ!$A:$A,"&gt;="&amp;設定!$B$4,先々月データ!$A:$A,"&lt;="&amp;EOMONTH(設定!$B$4,0))/$D$40),"")))</f>
        <v/>
      </c>
      <c r="O66" s="50" t="n">
        <f aca="false">SUM(B66:N66)</f>
        <v>0</v>
      </c>
    </row>
    <row r="67" customFormat="false" ht="15" hidden="false" customHeight="false" outlineLevel="0" collapsed="false">
      <c r="A67" s="49" t="s">
        <v>109</v>
      </c>
      <c r="B67" s="50" t="str">
        <f aca="false">IF(AND($B$41&gt;0,$D$41&gt;0),(設定!$B$8*IF(OR(設定!$B$3="",$B$41=0),"",SUMIFS(先月データ!$Q:$Q,先月データ!$Z:$Z,$A67,先月データ!$K:$K,B$51,先月データ!$A:$A,"&gt;="&amp;設定!$B$3,先月データ!$A:$A,"&lt;="&amp;EOMONTH(設定!$B$3,0))/$B$41)+設定!$B$9*IF(OR(設定!$B$4="",$D$41=0),"",SUMIFS(先々月データ!$Q:$Q,先々月データ!$Z:$Z,$A67,先々月データ!$K:$K,B$51,先々月データ!$A:$A,"&gt;="&amp;設定!$B$4,先々月データ!$A:$A,"&lt;="&amp;EOMONTH(設定!$B$4,0))/$D$41))/(設定!$B$8+設定!$B$9),IF($B$41&gt;0,IF(OR(設定!$B$3="",$B$41=0),"",SUMIFS(先月データ!$Q:$Q,先月データ!$Z:$Z,$A67,先月データ!$K:$K,B$51,先月データ!$A:$A,"&gt;="&amp;設定!$B$3,先月データ!$A:$A,"&lt;="&amp;EOMONTH(設定!$B$3,0))/$B$41),IF($D$41&gt;0,IF(OR(設定!$B$4="",$D$41=0),"",SUMIFS(先々月データ!$Q:$Q,先々月データ!$Z:$Z,$A67,先々月データ!$K:$K,B$51,先々月データ!$A:$A,"&gt;="&amp;設定!$B$4,先々月データ!$A:$A,"&lt;="&amp;EOMONTH(設定!$B$4,0))/$D$41),"")))</f>
        <v/>
      </c>
      <c r="C67" s="50" t="str">
        <f aca="false">IF(AND($B$41&gt;0,$D$41&gt;0),(設定!$B$8*IF(OR(設定!$B$3="",$B$41=0),"",SUMIFS(先月データ!$Q:$Q,先月データ!$Z:$Z,$A67,先月データ!$K:$K,C$51,先月データ!$A:$A,"&gt;="&amp;設定!$B$3,先月データ!$A:$A,"&lt;="&amp;EOMONTH(設定!$B$3,0))/$B$41)+設定!$B$9*IF(OR(設定!$B$4="",$D$41=0),"",SUMIFS(先々月データ!$Q:$Q,先々月データ!$Z:$Z,$A67,先々月データ!$K:$K,C$51,先々月データ!$A:$A,"&gt;="&amp;設定!$B$4,先々月データ!$A:$A,"&lt;="&amp;EOMONTH(設定!$B$4,0))/$D$41))/(設定!$B$8+設定!$B$9),IF($B$41&gt;0,IF(OR(設定!$B$3="",$B$41=0),"",SUMIFS(先月データ!$Q:$Q,先月データ!$Z:$Z,$A67,先月データ!$K:$K,C$51,先月データ!$A:$A,"&gt;="&amp;設定!$B$3,先月データ!$A:$A,"&lt;="&amp;EOMONTH(設定!$B$3,0))/$B$41),IF($D$41&gt;0,IF(OR(設定!$B$4="",$D$41=0),"",SUMIFS(先々月データ!$Q:$Q,先々月データ!$Z:$Z,$A67,先々月データ!$K:$K,C$51,先々月データ!$A:$A,"&gt;="&amp;設定!$B$4,先々月データ!$A:$A,"&lt;="&amp;EOMONTH(設定!$B$4,0))/$D$41),"")))</f>
        <v/>
      </c>
      <c r="D67" s="50" t="str">
        <f aca="false">IF(AND($B$41&gt;0,$D$41&gt;0),(設定!$B$8*IF(OR(設定!$B$3="",$B$41=0),"",SUMIFS(先月データ!$Q:$Q,先月データ!$Z:$Z,$A67,先月データ!$K:$K,D$51,先月データ!$A:$A,"&gt;="&amp;設定!$B$3,先月データ!$A:$A,"&lt;="&amp;EOMONTH(設定!$B$3,0))/$B$41)+設定!$B$9*IF(OR(設定!$B$4="",$D$41=0),"",SUMIFS(先々月データ!$Q:$Q,先々月データ!$Z:$Z,$A67,先々月データ!$K:$K,D$51,先々月データ!$A:$A,"&gt;="&amp;設定!$B$4,先々月データ!$A:$A,"&lt;="&amp;EOMONTH(設定!$B$4,0))/$D$41))/(設定!$B$8+設定!$B$9),IF($B$41&gt;0,IF(OR(設定!$B$3="",$B$41=0),"",SUMIFS(先月データ!$Q:$Q,先月データ!$Z:$Z,$A67,先月データ!$K:$K,D$51,先月データ!$A:$A,"&gt;="&amp;設定!$B$3,先月データ!$A:$A,"&lt;="&amp;EOMONTH(設定!$B$3,0))/$B$41),IF($D$41&gt;0,IF(OR(設定!$B$4="",$D$41=0),"",SUMIFS(先々月データ!$Q:$Q,先々月データ!$Z:$Z,$A67,先々月データ!$K:$K,D$51,先々月データ!$A:$A,"&gt;="&amp;設定!$B$4,先々月データ!$A:$A,"&lt;="&amp;EOMONTH(設定!$B$4,0))/$D$41),"")))</f>
        <v/>
      </c>
      <c r="E67" s="50" t="str">
        <f aca="false">IF(AND($B$41&gt;0,$D$41&gt;0),(設定!$B$8*IF(OR(設定!$B$3="",$B$41=0),"",SUMIFS(先月データ!$Q:$Q,先月データ!$Z:$Z,$A67,先月データ!$K:$K,E$51,先月データ!$A:$A,"&gt;="&amp;設定!$B$3,先月データ!$A:$A,"&lt;="&amp;EOMONTH(設定!$B$3,0))/$B$41)+設定!$B$9*IF(OR(設定!$B$4="",$D$41=0),"",SUMIFS(先々月データ!$Q:$Q,先々月データ!$Z:$Z,$A67,先々月データ!$K:$K,E$51,先々月データ!$A:$A,"&gt;="&amp;設定!$B$4,先々月データ!$A:$A,"&lt;="&amp;EOMONTH(設定!$B$4,0))/$D$41))/(設定!$B$8+設定!$B$9),IF($B$41&gt;0,IF(OR(設定!$B$3="",$B$41=0),"",SUMIFS(先月データ!$Q:$Q,先月データ!$Z:$Z,$A67,先月データ!$K:$K,E$51,先月データ!$A:$A,"&gt;="&amp;設定!$B$3,先月データ!$A:$A,"&lt;="&amp;EOMONTH(設定!$B$3,0))/$B$41),IF($D$41&gt;0,IF(OR(設定!$B$4="",$D$41=0),"",SUMIFS(先々月データ!$Q:$Q,先々月データ!$Z:$Z,$A67,先々月データ!$K:$K,E$51,先々月データ!$A:$A,"&gt;="&amp;設定!$B$4,先々月データ!$A:$A,"&lt;="&amp;EOMONTH(設定!$B$4,0))/$D$41),"")))</f>
        <v/>
      </c>
      <c r="F67" s="50" t="str">
        <f aca="false">IF(AND($B$41&gt;0,$D$41&gt;0),(設定!$B$8*IF(OR(設定!$B$3="",$B$41=0),"",SUMIFS(先月データ!$Q:$Q,先月データ!$Z:$Z,$A67,先月データ!$K:$K,F$51,先月データ!$A:$A,"&gt;="&amp;設定!$B$3,先月データ!$A:$A,"&lt;="&amp;EOMONTH(設定!$B$3,0))/$B$41)+設定!$B$9*IF(OR(設定!$B$4="",$D$41=0),"",SUMIFS(先々月データ!$Q:$Q,先々月データ!$Z:$Z,$A67,先々月データ!$K:$K,F$51,先々月データ!$A:$A,"&gt;="&amp;設定!$B$4,先々月データ!$A:$A,"&lt;="&amp;EOMONTH(設定!$B$4,0))/$D$41))/(設定!$B$8+設定!$B$9),IF($B$41&gt;0,IF(OR(設定!$B$3="",$B$41=0),"",SUMIFS(先月データ!$Q:$Q,先月データ!$Z:$Z,$A67,先月データ!$K:$K,F$51,先月データ!$A:$A,"&gt;="&amp;設定!$B$3,先月データ!$A:$A,"&lt;="&amp;EOMONTH(設定!$B$3,0))/$B$41),IF($D$41&gt;0,IF(OR(設定!$B$4="",$D$41=0),"",SUMIFS(先々月データ!$Q:$Q,先々月データ!$Z:$Z,$A67,先々月データ!$K:$K,F$51,先々月データ!$A:$A,"&gt;="&amp;設定!$B$4,先々月データ!$A:$A,"&lt;="&amp;EOMONTH(設定!$B$4,0))/$D$41),"")))</f>
        <v/>
      </c>
      <c r="G67" s="50" t="str">
        <f aca="false">IF(AND($B$41&gt;0,$D$41&gt;0),(設定!$B$8*IF(OR(設定!$B$3="",$B$41=0),"",SUMIFS(先月データ!$Q:$Q,先月データ!$Z:$Z,$A67,先月データ!$K:$K,G$51,先月データ!$A:$A,"&gt;="&amp;設定!$B$3,先月データ!$A:$A,"&lt;="&amp;EOMONTH(設定!$B$3,0))/$B$41)+設定!$B$9*IF(OR(設定!$B$4="",$D$41=0),"",SUMIFS(先々月データ!$Q:$Q,先々月データ!$Z:$Z,$A67,先々月データ!$K:$K,G$51,先々月データ!$A:$A,"&gt;="&amp;設定!$B$4,先々月データ!$A:$A,"&lt;="&amp;EOMONTH(設定!$B$4,0))/$D$41))/(設定!$B$8+設定!$B$9),IF($B$41&gt;0,IF(OR(設定!$B$3="",$B$41=0),"",SUMIFS(先月データ!$Q:$Q,先月データ!$Z:$Z,$A67,先月データ!$K:$K,G$51,先月データ!$A:$A,"&gt;="&amp;設定!$B$3,先月データ!$A:$A,"&lt;="&amp;EOMONTH(設定!$B$3,0))/$B$41),IF($D$41&gt;0,IF(OR(設定!$B$4="",$D$41=0),"",SUMIFS(先々月データ!$Q:$Q,先々月データ!$Z:$Z,$A67,先々月データ!$K:$K,G$51,先々月データ!$A:$A,"&gt;="&amp;設定!$B$4,先々月データ!$A:$A,"&lt;="&amp;EOMONTH(設定!$B$4,0))/$D$41),"")))</f>
        <v/>
      </c>
      <c r="H67" s="50" t="str">
        <f aca="false">IF(AND($B$41&gt;0,$D$41&gt;0),(設定!$B$8*IF(OR(設定!$B$3="",$B$41=0),"",SUMIFS(先月データ!$Q:$Q,先月データ!$Z:$Z,$A67,先月データ!$K:$K,H$51,先月データ!$A:$A,"&gt;="&amp;設定!$B$3,先月データ!$A:$A,"&lt;="&amp;EOMONTH(設定!$B$3,0))/$B$41)+設定!$B$9*IF(OR(設定!$B$4="",$D$41=0),"",SUMIFS(先々月データ!$Q:$Q,先々月データ!$Z:$Z,$A67,先々月データ!$K:$K,H$51,先々月データ!$A:$A,"&gt;="&amp;設定!$B$4,先々月データ!$A:$A,"&lt;="&amp;EOMONTH(設定!$B$4,0))/$D$41))/(設定!$B$8+設定!$B$9),IF($B$41&gt;0,IF(OR(設定!$B$3="",$B$41=0),"",SUMIFS(先月データ!$Q:$Q,先月データ!$Z:$Z,$A67,先月データ!$K:$K,H$51,先月データ!$A:$A,"&gt;="&amp;設定!$B$3,先月データ!$A:$A,"&lt;="&amp;EOMONTH(設定!$B$3,0))/$B$41),IF($D$41&gt;0,IF(OR(設定!$B$4="",$D$41=0),"",SUMIFS(先々月データ!$Q:$Q,先々月データ!$Z:$Z,$A67,先々月データ!$K:$K,H$51,先々月データ!$A:$A,"&gt;="&amp;設定!$B$4,先々月データ!$A:$A,"&lt;="&amp;EOMONTH(設定!$B$4,0))/$D$41),"")))</f>
        <v/>
      </c>
      <c r="I67" s="50" t="str">
        <f aca="false">IF(AND($B$41&gt;0,$D$41&gt;0),(設定!$B$8*IF(OR(設定!$B$3="",$B$41=0),"",SUMIFS(先月データ!$Q:$Q,先月データ!$Z:$Z,$A67,先月データ!$K:$K,I$51,先月データ!$A:$A,"&gt;="&amp;設定!$B$3,先月データ!$A:$A,"&lt;="&amp;EOMONTH(設定!$B$3,0))/$B$41)+設定!$B$9*IF(OR(設定!$B$4="",$D$41=0),"",SUMIFS(先々月データ!$Q:$Q,先々月データ!$Z:$Z,$A67,先々月データ!$K:$K,I$51,先々月データ!$A:$A,"&gt;="&amp;設定!$B$4,先々月データ!$A:$A,"&lt;="&amp;EOMONTH(設定!$B$4,0))/$D$41))/(設定!$B$8+設定!$B$9),IF($B$41&gt;0,IF(OR(設定!$B$3="",$B$41=0),"",SUMIFS(先月データ!$Q:$Q,先月データ!$Z:$Z,$A67,先月データ!$K:$K,I$51,先月データ!$A:$A,"&gt;="&amp;設定!$B$3,先月データ!$A:$A,"&lt;="&amp;EOMONTH(設定!$B$3,0))/$B$41),IF($D$41&gt;0,IF(OR(設定!$B$4="",$D$41=0),"",SUMIFS(先々月データ!$Q:$Q,先々月データ!$Z:$Z,$A67,先々月データ!$K:$K,I$51,先々月データ!$A:$A,"&gt;="&amp;設定!$B$4,先々月データ!$A:$A,"&lt;="&amp;EOMONTH(設定!$B$4,0))/$D$41),"")))</f>
        <v/>
      </c>
      <c r="J67" s="50" t="str">
        <f aca="false">IF(AND($B$41&gt;0,$D$41&gt;0),(設定!$B$8*IF(OR(設定!$B$3="",$B$41=0),"",SUMIFS(先月データ!$Q:$Q,先月データ!$Z:$Z,$A67,先月データ!$K:$K,J$51,先月データ!$A:$A,"&gt;="&amp;設定!$B$3,先月データ!$A:$A,"&lt;="&amp;EOMONTH(設定!$B$3,0))/$B$41)+設定!$B$9*IF(OR(設定!$B$4="",$D$41=0),"",SUMIFS(先々月データ!$Q:$Q,先々月データ!$Z:$Z,$A67,先々月データ!$K:$K,J$51,先々月データ!$A:$A,"&gt;="&amp;設定!$B$4,先々月データ!$A:$A,"&lt;="&amp;EOMONTH(設定!$B$4,0))/$D$41))/(設定!$B$8+設定!$B$9),IF($B$41&gt;0,IF(OR(設定!$B$3="",$B$41=0),"",SUMIFS(先月データ!$Q:$Q,先月データ!$Z:$Z,$A67,先月データ!$K:$K,J$51,先月データ!$A:$A,"&gt;="&amp;設定!$B$3,先月データ!$A:$A,"&lt;="&amp;EOMONTH(設定!$B$3,0))/$B$41),IF($D$41&gt;0,IF(OR(設定!$B$4="",$D$41=0),"",SUMIFS(先々月データ!$Q:$Q,先々月データ!$Z:$Z,$A67,先々月データ!$K:$K,J$51,先々月データ!$A:$A,"&gt;="&amp;設定!$B$4,先々月データ!$A:$A,"&lt;="&amp;EOMONTH(設定!$B$4,0))/$D$41),"")))</f>
        <v/>
      </c>
      <c r="K67" s="50" t="str">
        <f aca="false">IF(AND($B$41&gt;0,$D$41&gt;0),(設定!$B$8*IF(OR(設定!$B$3="",$B$41=0),"",SUMIFS(先月データ!$Q:$Q,先月データ!$Z:$Z,$A67,先月データ!$K:$K,K$51,先月データ!$A:$A,"&gt;="&amp;設定!$B$3,先月データ!$A:$A,"&lt;="&amp;EOMONTH(設定!$B$3,0))/$B$41)+設定!$B$9*IF(OR(設定!$B$4="",$D$41=0),"",SUMIFS(先々月データ!$Q:$Q,先々月データ!$Z:$Z,$A67,先々月データ!$K:$K,K$51,先々月データ!$A:$A,"&gt;="&amp;設定!$B$4,先々月データ!$A:$A,"&lt;="&amp;EOMONTH(設定!$B$4,0))/$D$41))/(設定!$B$8+設定!$B$9),IF($B$41&gt;0,IF(OR(設定!$B$3="",$B$41=0),"",SUMIFS(先月データ!$Q:$Q,先月データ!$Z:$Z,$A67,先月データ!$K:$K,K$51,先月データ!$A:$A,"&gt;="&amp;設定!$B$3,先月データ!$A:$A,"&lt;="&amp;EOMONTH(設定!$B$3,0))/$B$41),IF($D$41&gt;0,IF(OR(設定!$B$4="",$D$41=0),"",SUMIFS(先々月データ!$Q:$Q,先々月データ!$Z:$Z,$A67,先々月データ!$K:$K,K$51,先々月データ!$A:$A,"&gt;="&amp;設定!$B$4,先々月データ!$A:$A,"&lt;="&amp;EOMONTH(設定!$B$4,0))/$D$41),"")))</f>
        <v/>
      </c>
      <c r="L67" s="50" t="str">
        <f aca="false">IF(AND($B$41&gt;0,$D$41&gt;0),(設定!$B$8*IF(OR(設定!$B$3="",$B$41=0),"",SUMIFS(先月データ!$Q:$Q,先月データ!$Z:$Z,$A67,先月データ!$K:$K,L$51,先月データ!$A:$A,"&gt;="&amp;設定!$B$3,先月データ!$A:$A,"&lt;="&amp;EOMONTH(設定!$B$3,0))/$B$41)+設定!$B$9*IF(OR(設定!$B$4="",$D$41=0),"",SUMIFS(先々月データ!$Q:$Q,先々月データ!$Z:$Z,$A67,先々月データ!$K:$K,L$51,先々月データ!$A:$A,"&gt;="&amp;設定!$B$4,先々月データ!$A:$A,"&lt;="&amp;EOMONTH(設定!$B$4,0))/$D$41))/(設定!$B$8+設定!$B$9),IF($B$41&gt;0,IF(OR(設定!$B$3="",$B$41=0),"",SUMIFS(先月データ!$Q:$Q,先月データ!$Z:$Z,$A67,先月データ!$K:$K,L$51,先月データ!$A:$A,"&gt;="&amp;設定!$B$3,先月データ!$A:$A,"&lt;="&amp;EOMONTH(設定!$B$3,0))/$B$41),IF($D$41&gt;0,IF(OR(設定!$B$4="",$D$41=0),"",SUMIFS(先々月データ!$Q:$Q,先々月データ!$Z:$Z,$A67,先々月データ!$K:$K,L$51,先々月データ!$A:$A,"&gt;="&amp;設定!$B$4,先々月データ!$A:$A,"&lt;="&amp;EOMONTH(設定!$B$4,0))/$D$41),"")))</f>
        <v/>
      </c>
      <c r="M67" s="50" t="str">
        <f aca="false">IF(AND($B$41&gt;0,$D$41&gt;0),(設定!$B$8*IF(OR(設定!$B$3="",$B$41=0),"",SUMIFS(先月データ!$Q:$Q,先月データ!$Z:$Z,$A67,先月データ!$K:$K,M$51,先月データ!$A:$A,"&gt;="&amp;設定!$B$3,先月データ!$A:$A,"&lt;="&amp;EOMONTH(設定!$B$3,0))/$B$41)+設定!$B$9*IF(OR(設定!$B$4="",$D$41=0),"",SUMIFS(先々月データ!$Q:$Q,先々月データ!$Z:$Z,$A67,先々月データ!$K:$K,M$51,先々月データ!$A:$A,"&gt;="&amp;設定!$B$4,先々月データ!$A:$A,"&lt;="&amp;EOMONTH(設定!$B$4,0))/$D$41))/(設定!$B$8+設定!$B$9),IF($B$41&gt;0,IF(OR(設定!$B$3="",$B$41=0),"",SUMIFS(先月データ!$Q:$Q,先月データ!$Z:$Z,$A67,先月データ!$K:$K,M$51,先月データ!$A:$A,"&gt;="&amp;設定!$B$3,先月データ!$A:$A,"&lt;="&amp;EOMONTH(設定!$B$3,0))/$B$41),IF($D$41&gt;0,IF(OR(設定!$B$4="",$D$41=0),"",SUMIFS(先々月データ!$Q:$Q,先々月データ!$Z:$Z,$A67,先々月データ!$K:$K,M$51,先々月データ!$A:$A,"&gt;="&amp;設定!$B$4,先々月データ!$A:$A,"&lt;="&amp;EOMONTH(設定!$B$4,0))/$D$41),"")))</f>
        <v/>
      </c>
      <c r="N67" s="50" t="str">
        <f aca="false">IF(AND($B$41&gt;0,$D$41&gt;0),(設定!$B$8*IF(OR(設定!$B$3="",$B$41=0),"",SUMIFS(先月データ!$Q:$Q,先月データ!$Z:$Z,$A67,先月データ!$K:$K,N$51,先月データ!$A:$A,"&gt;="&amp;設定!$B$3,先月データ!$A:$A,"&lt;="&amp;EOMONTH(設定!$B$3,0))/$B$41)+設定!$B$9*IF(OR(設定!$B$4="",$D$41=0),"",SUMIFS(先々月データ!$Q:$Q,先々月データ!$Z:$Z,$A67,先々月データ!$K:$K,N$51,先々月データ!$A:$A,"&gt;="&amp;設定!$B$4,先々月データ!$A:$A,"&lt;="&amp;EOMONTH(設定!$B$4,0))/$D$41))/(設定!$B$8+設定!$B$9),IF($B$41&gt;0,IF(OR(設定!$B$3="",$B$41=0),"",SUMIFS(先月データ!$Q:$Q,先月データ!$Z:$Z,$A67,先月データ!$K:$K,N$51,先月データ!$A:$A,"&gt;="&amp;設定!$B$3,先月データ!$A:$A,"&lt;="&amp;EOMONTH(設定!$B$3,0))/$B$41),IF($D$41&gt;0,IF(OR(設定!$B$4="",$D$41=0),"",SUMIFS(先々月データ!$Q:$Q,先々月データ!$Z:$Z,$A67,先々月データ!$K:$K,N$51,先々月データ!$A:$A,"&gt;="&amp;設定!$B$4,先々月データ!$A:$A,"&lt;="&amp;EOMONTH(設定!$B$4,0))/$D$41),"")))</f>
        <v/>
      </c>
      <c r="O67" s="50" t="n">
        <f aca="false">SUM(B67:N67)</f>
        <v>0</v>
      </c>
    </row>
    <row r="68" customFormat="false" ht="15" hidden="false" customHeight="false" outlineLevel="0" collapsed="false">
      <c r="A68" s="49" t="s">
        <v>110</v>
      </c>
      <c r="B68" s="50" t="str">
        <f aca="false">IF(AND($B$42&gt;0,$D$42&gt;0),(設定!$B$8*IF(OR(設定!$B$3="",$B$42=0),"",SUMIFS(先月データ!$Q:$Q,先月データ!$Z:$Z,$A68,先月データ!$K:$K,B$51,先月データ!$A:$A,"&gt;="&amp;設定!$B$3,先月データ!$A:$A,"&lt;="&amp;EOMONTH(設定!$B$3,0))/$B$42)+設定!$B$9*IF(OR(設定!$B$4="",$D$42=0),"",SUMIFS(先々月データ!$Q:$Q,先々月データ!$Z:$Z,$A68,先々月データ!$K:$K,B$51,先々月データ!$A:$A,"&gt;="&amp;設定!$B$4,先々月データ!$A:$A,"&lt;="&amp;EOMONTH(設定!$B$4,0))/$D$42))/(設定!$B$8+設定!$B$9),IF($B$42&gt;0,IF(OR(設定!$B$3="",$B$42=0),"",SUMIFS(先月データ!$Q:$Q,先月データ!$Z:$Z,$A68,先月データ!$K:$K,B$51,先月データ!$A:$A,"&gt;="&amp;設定!$B$3,先月データ!$A:$A,"&lt;="&amp;EOMONTH(設定!$B$3,0))/$B$42),IF($D$42&gt;0,IF(OR(設定!$B$4="",$D$42=0),"",SUMIFS(先々月データ!$Q:$Q,先々月データ!$Z:$Z,$A68,先々月データ!$K:$K,B$51,先々月データ!$A:$A,"&gt;="&amp;設定!$B$4,先々月データ!$A:$A,"&lt;="&amp;EOMONTH(設定!$B$4,0))/$D$42),"")))</f>
        <v/>
      </c>
      <c r="C68" s="50" t="str">
        <f aca="false">IF(AND($B$42&gt;0,$D$42&gt;0),(設定!$B$8*IF(OR(設定!$B$3="",$B$42=0),"",SUMIFS(先月データ!$Q:$Q,先月データ!$Z:$Z,$A68,先月データ!$K:$K,C$51,先月データ!$A:$A,"&gt;="&amp;設定!$B$3,先月データ!$A:$A,"&lt;="&amp;EOMONTH(設定!$B$3,0))/$B$42)+設定!$B$9*IF(OR(設定!$B$4="",$D$42=0),"",SUMIFS(先々月データ!$Q:$Q,先々月データ!$Z:$Z,$A68,先々月データ!$K:$K,C$51,先々月データ!$A:$A,"&gt;="&amp;設定!$B$4,先々月データ!$A:$A,"&lt;="&amp;EOMONTH(設定!$B$4,0))/$D$42))/(設定!$B$8+設定!$B$9),IF($B$42&gt;0,IF(OR(設定!$B$3="",$B$42=0),"",SUMIFS(先月データ!$Q:$Q,先月データ!$Z:$Z,$A68,先月データ!$K:$K,C$51,先月データ!$A:$A,"&gt;="&amp;設定!$B$3,先月データ!$A:$A,"&lt;="&amp;EOMONTH(設定!$B$3,0))/$B$42),IF($D$42&gt;0,IF(OR(設定!$B$4="",$D$42=0),"",SUMIFS(先々月データ!$Q:$Q,先々月データ!$Z:$Z,$A68,先々月データ!$K:$K,C$51,先々月データ!$A:$A,"&gt;="&amp;設定!$B$4,先々月データ!$A:$A,"&lt;="&amp;EOMONTH(設定!$B$4,0))/$D$42),"")))</f>
        <v/>
      </c>
      <c r="D68" s="50" t="str">
        <f aca="false">IF(AND($B$42&gt;0,$D$42&gt;0),(設定!$B$8*IF(OR(設定!$B$3="",$B$42=0),"",SUMIFS(先月データ!$Q:$Q,先月データ!$Z:$Z,$A68,先月データ!$K:$K,D$51,先月データ!$A:$A,"&gt;="&amp;設定!$B$3,先月データ!$A:$A,"&lt;="&amp;EOMONTH(設定!$B$3,0))/$B$42)+設定!$B$9*IF(OR(設定!$B$4="",$D$42=0),"",SUMIFS(先々月データ!$Q:$Q,先々月データ!$Z:$Z,$A68,先々月データ!$K:$K,D$51,先々月データ!$A:$A,"&gt;="&amp;設定!$B$4,先々月データ!$A:$A,"&lt;="&amp;EOMONTH(設定!$B$4,0))/$D$42))/(設定!$B$8+設定!$B$9),IF($B$42&gt;0,IF(OR(設定!$B$3="",$B$42=0),"",SUMIFS(先月データ!$Q:$Q,先月データ!$Z:$Z,$A68,先月データ!$K:$K,D$51,先月データ!$A:$A,"&gt;="&amp;設定!$B$3,先月データ!$A:$A,"&lt;="&amp;EOMONTH(設定!$B$3,0))/$B$42),IF($D$42&gt;0,IF(OR(設定!$B$4="",$D$42=0),"",SUMIFS(先々月データ!$Q:$Q,先々月データ!$Z:$Z,$A68,先々月データ!$K:$K,D$51,先々月データ!$A:$A,"&gt;="&amp;設定!$B$4,先々月データ!$A:$A,"&lt;="&amp;EOMONTH(設定!$B$4,0))/$D$42),"")))</f>
        <v/>
      </c>
      <c r="E68" s="50" t="str">
        <f aca="false">IF(AND($B$42&gt;0,$D$42&gt;0),(設定!$B$8*IF(OR(設定!$B$3="",$B$42=0),"",SUMIFS(先月データ!$Q:$Q,先月データ!$Z:$Z,$A68,先月データ!$K:$K,E$51,先月データ!$A:$A,"&gt;="&amp;設定!$B$3,先月データ!$A:$A,"&lt;="&amp;EOMONTH(設定!$B$3,0))/$B$42)+設定!$B$9*IF(OR(設定!$B$4="",$D$42=0),"",SUMIFS(先々月データ!$Q:$Q,先々月データ!$Z:$Z,$A68,先々月データ!$K:$K,E$51,先々月データ!$A:$A,"&gt;="&amp;設定!$B$4,先々月データ!$A:$A,"&lt;="&amp;EOMONTH(設定!$B$4,0))/$D$42))/(設定!$B$8+設定!$B$9),IF($B$42&gt;0,IF(OR(設定!$B$3="",$B$42=0),"",SUMIFS(先月データ!$Q:$Q,先月データ!$Z:$Z,$A68,先月データ!$K:$K,E$51,先月データ!$A:$A,"&gt;="&amp;設定!$B$3,先月データ!$A:$A,"&lt;="&amp;EOMONTH(設定!$B$3,0))/$B$42),IF($D$42&gt;0,IF(OR(設定!$B$4="",$D$42=0),"",SUMIFS(先々月データ!$Q:$Q,先々月データ!$Z:$Z,$A68,先々月データ!$K:$K,E$51,先々月データ!$A:$A,"&gt;="&amp;設定!$B$4,先々月データ!$A:$A,"&lt;="&amp;EOMONTH(設定!$B$4,0))/$D$42),"")))</f>
        <v/>
      </c>
      <c r="F68" s="50" t="str">
        <f aca="false">IF(AND($B$42&gt;0,$D$42&gt;0),(設定!$B$8*IF(OR(設定!$B$3="",$B$42=0),"",SUMIFS(先月データ!$Q:$Q,先月データ!$Z:$Z,$A68,先月データ!$K:$K,F$51,先月データ!$A:$A,"&gt;="&amp;設定!$B$3,先月データ!$A:$A,"&lt;="&amp;EOMONTH(設定!$B$3,0))/$B$42)+設定!$B$9*IF(OR(設定!$B$4="",$D$42=0),"",SUMIFS(先々月データ!$Q:$Q,先々月データ!$Z:$Z,$A68,先々月データ!$K:$K,F$51,先々月データ!$A:$A,"&gt;="&amp;設定!$B$4,先々月データ!$A:$A,"&lt;="&amp;EOMONTH(設定!$B$4,0))/$D$42))/(設定!$B$8+設定!$B$9),IF($B$42&gt;0,IF(OR(設定!$B$3="",$B$42=0),"",SUMIFS(先月データ!$Q:$Q,先月データ!$Z:$Z,$A68,先月データ!$K:$K,F$51,先月データ!$A:$A,"&gt;="&amp;設定!$B$3,先月データ!$A:$A,"&lt;="&amp;EOMONTH(設定!$B$3,0))/$B$42),IF($D$42&gt;0,IF(OR(設定!$B$4="",$D$42=0),"",SUMIFS(先々月データ!$Q:$Q,先々月データ!$Z:$Z,$A68,先々月データ!$K:$K,F$51,先々月データ!$A:$A,"&gt;="&amp;設定!$B$4,先々月データ!$A:$A,"&lt;="&amp;EOMONTH(設定!$B$4,0))/$D$42),"")))</f>
        <v/>
      </c>
      <c r="G68" s="50" t="str">
        <f aca="false">IF(AND($B$42&gt;0,$D$42&gt;0),(設定!$B$8*IF(OR(設定!$B$3="",$B$42=0),"",SUMIFS(先月データ!$Q:$Q,先月データ!$Z:$Z,$A68,先月データ!$K:$K,G$51,先月データ!$A:$A,"&gt;="&amp;設定!$B$3,先月データ!$A:$A,"&lt;="&amp;EOMONTH(設定!$B$3,0))/$B$42)+設定!$B$9*IF(OR(設定!$B$4="",$D$42=0),"",SUMIFS(先々月データ!$Q:$Q,先々月データ!$Z:$Z,$A68,先々月データ!$K:$K,G$51,先々月データ!$A:$A,"&gt;="&amp;設定!$B$4,先々月データ!$A:$A,"&lt;="&amp;EOMONTH(設定!$B$4,0))/$D$42))/(設定!$B$8+設定!$B$9),IF($B$42&gt;0,IF(OR(設定!$B$3="",$B$42=0),"",SUMIFS(先月データ!$Q:$Q,先月データ!$Z:$Z,$A68,先月データ!$K:$K,G$51,先月データ!$A:$A,"&gt;="&amp;設定!$B$3,先月データ!$A:$A,"&lt;="&amp;EOMONTH(設定!$B$3,0))/$B$42),IF($D$42&gt;0,IF(OR(設定!$B$4="",$D$42=0),"",SUMIFS(先々月データ!$Q:$Q,先々月データ!$Z:$Z,$A68,先々月データ!$K:$K,G$51,先々月データ!$A:$A,"&gt;="&amp;設定!$B$4,先々月データ!$A:$A,"&lt;="&amp;EOMONTH(設定!$B$4,0))/$D$42),"")))</f>
        <v/>
      </c>
      <c r="H68" s="50" t="str">
        <f aca="false">IF(AND($B$42&gt;0,$D$42&gt;0),(設定!$B$8*IF(OR(設定!$B$3="",$B$42=0),"",SUMIFS(先月データ!$Q:$Q,先月データ!$Z:$Z,$A68,先月データ!$K:$K,H$51,先月データ!$A:$A,"&gt;="&amp;設定!$B$3,先月データ!$A:$A,"&lt;="&amp;EOMONTH(設定!$B$3,0))/$B$42)+設定!$B$9*IF(OR(設定!$B$4="",$D$42=0),"",SUMIFS(先々月データ!$Q:$Q,先々月データ!$Z:$Z,$A68,先々月データ!$K:$K,H$51,先々月データ!$A:$A,"&gt;="&amp;設定!$B$4,先々月データ!$A:$A,"&lt;="&amp;EOMONTH(設定!$B$4,0))/$D$42))/(設定!$B$8+設定!$B$9),IF($B$42&gt;0,IF(OR(設定!$B$3="",$B$42=0),"",SUMIFS(先月データ!$Q:$Q,先月データ!$Z:$Z,$A68,先月データ!$K:$K,H$51,先月データ!$A:$A,"&gt;="&amp;設定!$B$3,先月データ!$A:$A,"&lt;="&amp;EOMONTH(設定!$B$3,0))/$B$42),IF($D$42&gt;0,IF(OR(設定!$B$4="",$D$42=0),"",SUMIFS(先々月データ!$Q:$Q,先々月データ!$Z:$Z,$A68,先々月データ!$K:$K,H$51,先々月データ!$A:$A,"&gt;="&amp;設定!$B$4,先々月データ!$A:$A,"&lt;="&amp;EOMONTH(設定!$B$4,0))/$D$42),"")))</f>
        <v/>
      </c>
      <c r="I68" s="50" t="str">
        <f aca="false">IF(AND($B$42&gt;0,$D$42&gt;0),(設定!$B$8*IF(OR(設定!$B$3="",$B$42=0),"",SUMIFS(先月データ!$Q:$Q,先月データ!$Z:$Z,$A68,先月データ!$K:$K,I$51,先月データ!$A:$A,"&gt;="&amp;設定!$B$3,先月データ!$A:$A,"&lt;="&amp;EOMONTH(設定!$B$3,0))/$B$42)+設定!$B$9*IF(OR(設定!$B$4="",$D$42=0),"",SUMIFS(先々月データ!$Q:$Q,先々月データ!$Z:$Z,$A68,先々月データ!$K:$K,I$51,先々月データ!$A:$A,"&gt;="&amp;設定!$B$4,先々月データ!$A:$A,"&lt;="&amp;EOMONTH(設定!$B$4,0))/$D$42))/(設定!$B$8+設定!$B$9),IF($B$42&gt;0,IF(OR(設定!$B$3="",$B$42=0),"",SUMIFS(先月データ!$Q:$Q,先月データ!$Z:$Z,$A68,先月データ!$K:$K,I$51,先月データ!$A:$A,"&gt;="&amp;設定!$B$3,先月データ!$A:$A,"&lt;="&amp;EOMONTH(設定!$B$3,0))/$B$42),IF($D$42&gt;0,IF(OR(設定!$B$4="",$D$42=0),"",SUMIFS(先々月データ!$Q:$Q,先々月データ!$Z:$Z,$A68,先々月データ!$K:$K,I$51,先々月データ!$A:$A,"&gt;="&amp;設定!$B$4,先々月データ!$A:$A,"&lt;="&amp;EOMONTH(設定!$B$4,0))/$D$42),"")))</f>
        <v/>
      </c>
      <c r="J68" s="50" t="str">
        <f aca="false">IF(AND($B$42&gt;0,$D$42&gt;0),(設定!$B$8*IF(OR(設定!$B$3="",$B$42=0),"",SUMIFS(先月データ!$Q:$Q,先月データ!$Z:$Z,$A68,先月データ!$K:$K,J$51,先月データ!$A:$A,"&gt;="&amp;設定!$B$3,先月データ!$A:$A,"&lt;="&amp;EOMONTH(設定!$B$3,0))/$B$42)+設定!$B$9*IF(OR(設定!$B$4="",$D$42=0),"",SUMIFS(先々月データ!$Q:$Q,先々月データ!$Z:$Z,$A68,先々月データ!$K:$K,J$51,先々月データ!$A:$A,"&gt;="&amp;設定!$B$4,先々月データ!$A:$A,"&lt;="&amp;EOMONTH(設定!$B$4,0))/$D$42))/(設定!$B$8+設定!$B$9),IF($B$42&gt;0,IF(OR(設定!$B$3="",$B$42=0),"",SUMIFS(先月データ!$Q:$Q,先月データ!$Z:$Z,$A68,先月データ!$K:$K,J$51,先月データ!$A:$A,"&gt;="&amp;設定!$B$3,先月データ!$A:$A,"&lt;="&amp;EOMONTH(設定!$B$3,0))/$B$42),IF($D$42&gt;0,IF(OR(設定!$B$4="",$D$42=0),"",SUMIFS(先々月データ!$Q:$Q,先々月データ!$Z:$Z,$A68,先々月データ!$K:$K,J$51,先々月データ!$A:$A,"&gt;="&amp;設定!$B$4,先々月データ!$A:$A,"&lt;="&amp;EOMONTH(設定!$B$4,0))/$D$42),"")))</f>
        <v/>
      </c>
      <c r="K68" s="50" t="str">
        <f aca="false">IF(AND($B$42&gt;0,$D$42&gt;0),(設定!$B$8*IF(OR(設定!$B$3="",$B$42=0),"",SUMIFS(先月データ!$Q:$Q,先月データ!$Z:$Z,$A68,先月データ!$K:$K,K$51,先月データ!$A:$A,"&gt;="&amp;設定!$B$3,先月データ!$A:$A,"&lt;="&amp;EOMONTH(設定!$B$3,0))/$B$42)+設定!$B$9*IF(OR(設定!$B$4="",$D$42=0),"",SUMIFS(先々月データ!$Q:$Q,先々月データ!$Z:$Z,$A68,先々月データ!$K:$K,K$51,先々月データ!$A:$A,"&gt;="&amp;設定!$B$4,先々月データ!$A:$A,"&lt;="&amp;EOMONTH(設定!$B$4,0))/$D$42))/(設定!$B$8+設定!$B$9),IF($B$42&gt;0,IF(OR(設定!$B$3="",$B$42=0),"",SUMIFS(先月データ!$Q:$Q,先月データ!$Z:$Z,$A68,先月データ!$K:$K,K$51,先月データ!$A:$A,"&gt;="&amp;設定!$B$3,先月データ!$A:$A,"&lt;="&amp;EOMONTH(設定!$B$3,0))/$B$42),IF($D$42&gt;0,IF(OR(設定!$B$4="",$D$42=0),"",SUMIFS(先々月データ!$Q:$Q,先々月データ!$Z:$Z,$A68,先々月データ!$K:$K,K$51,先々月データ!$A:$A,"&gt;="&amp;設定!$B$4,先々月データ!$A:$A,"&lt;="&amp;EOMONTH(設定!$B$4,0))/$D$42),"")))</f>
        <v/>
      </c>
      <c r="L68" s="50" t="str">
        <f aca="false">IF(AND($B$42&gt;0,$D$42&gt;0),(設定!$B$8*IF(OR(設定!$B$3="",$B$42=0),"",SUMIFS(先月データ!$Q:$Q,先月データ!$Z:$Z,$A68,先月データ!$K:$K,L$51,先月データ!$A:$A,"&gt;="&amp;設定!$B$3,先月データ!$A:$A,"&lt;="&amp;EOMONTH(設定!$B$3,0))/$B$42)+設定!$B$9*IF(OR(設定!$B$4="",$D$42=0),"",SUMIFS(先々月データ!$Q:$Q,先々月データ!$Z:$Z,$A68,先々月データ!$K:$K,L$51,先々月データ!$A:$A,"&gt;="&amp;設定!$B$4,先々月データ!$A:$A,"&lt;="&amp;EOMONTH(設定!$B$4,0))/$D$42))/(設定!$B$8+設定!$B$9),IF($B$42&gt;0,IF(OR(設定!$B$3="",$B$42=0),"",SUMIFS(先月データ!$Q:$Q,先月データ!$Z:$Z,$A68,先月データ!$K:$K,L$51,先月データ!$A:$A,"&gt;="&amp;設定!$B$3,先月データ!$A:$A,"&lt;="&amp;EOMONTH(設定!$B$3,0))/$B$42),IF($D$42&gt;0,IF(OR(設定!$B$4="",$D$42=0),"",SUMIFS(先々月データ!$Q:$Q,先々月データ!$Z:$Z,$A68,先々月データ!$K:$K,L$51,先々月データ!$A:$A,"&gt;="&amp;設定!$B$4,先々月データ!$A:$A,"&lt;="&amp;EOMONTH(設定!$B$4,0))/$D$42),"")))</f>
        <v/>
      </c>
      <c r="M68" s="50" t="str">
        <f aca="false">IF(AND($B$42&gt;0,$D$42&gt;0),(設定!$B$8*IF(OR(設定!$B$3="",$B$42=0),"",SUMIFS(先月データ!$Q:$Q,先月データ!$Z:$Z,$A68,先月データ!$K:$K,M$51,先月データ!$A:$A,"&gt;="&amp;設定!$B$3,先月データ!$A:$A,"&lt;="&amp;EOMONTH(設定!$B$3,0))/$B$42)+設定!$B$9*IF(OR(設定!$B$4="",$D$42=0),"",SUMIFS(先々月データ!$Q:$Q,先々月データ!$Z:$Z,$A68,先々月データ!$K:$K,M$51,先々月データ!$A:$A,"&gt;="&amp;設定!$B$4,先々月データ!$A:$A,"&lt;="&amp;EOMONTH(設定!$B$4,0))/$D$42))/(設定!$B$8+設定!$B$9),IF($B$42&gt;0,IF(OR(設定!$B$3="",$B$42=0),"",SUMIFS(先月データ!$Q:$Q,先月データ!$Z:$Z,$A68,先月データ!$K:$K,M$51,先月データ!$A:$A,"&gt;="&amp;設定!$B$3,先月データ!$A:$A,"&lt;="&amp;EOMONTH(設定!$B$3,0))/$B$42),IF($D$42&gt;0,IF(OR(設定!$B$4="",$D$42=0),"",SUMIFS(先々月データ!$Q:$Q,先々月データ!$Z:$Z,$A68,先々月データ!$K:$K,M$51,先々月データ!$A:$A,"&gt;="&amp;設定!$B$4,先々月データ!$A:$A,"&lt;="&amp;EOMONTH(設定!$B$4,0))/$D$42),"")))</f>
        <v/>
      </c>
      <c r="N68" s="50" t="str">
        <f aca="false">IF(AND($B$42&gt;0,$D$42&gt;0),(設定!$B$8*IF(OR(設定!$B$3="",$B$42=0),"",SUMIFS(先月データ!$Q:$Q,先月データ!$Z:$Z,$A68,先月データ!$K:$K,N$51,先月データ!$A:$A,"&gt;="&amp;設定!$B$3,先月データ!$A:$A,"&lt;="&amp;EOMONTH(設定!$B$3,0))/$B$42)+設定!$B$9*IF(OR(設定!$B$4="",$D$42=0),"",SUMIFS(先々月データ!$Q:$Q,先々月データ!$Z:$Z,$A68,先々月データ!$K:$K,N$51,先々月データ!$A:$A,"&gt;="&amp;設定!$B$4,先々月データ!$A:$A,"&lt;="&amp;EOMONTH(設定!$B$4,0))/$D$42))/(設定!$B$8+設定!$B$9),IF($B$42&gt;0,IF(OR(設定!$B$3="",$B$42=0),"",SUMIFS(先月データ!$Q:$Q,先月データ!$Z:$Z,$A68,先月データ!$K:$K,N$51,先月データ!$A:$A,"&gt;="&amp;設定!$B$3,先月データ!$A:$A,"&lt;="&amp;EOMONTH(設定!$B$3,0))/$B$42),IF($D$42&gt;0,IF(OR(設定!$B$4="",$D$42=0),"",SUMIFS(先々月データ!$Q:$Q,先々月データ!$Z:$Z,$A68,先々月データ!$K:$K,N$51,先々月データ!$A:$A,"&gt;="&amp;設定!$B$4,先々月データ!$A:$A,"&lt;="&amp;EOMONTH(設定!$B$4,0))/$D$42),"")))</f>
        <v/>
      </c>
      <c r="O68" s="50" t="n">
        <f aca="false">SUM(B68:N68)</f>
        <v>0</v>
      </c>
    </row>
    <row r="69" customFormat="false" ht="15" hidden="false" customHeight="false" outlineLevel="0" collapsed="false">
      <c r="A69" s="49" t="s">
        <v>89</v>
      </c>
      <c r="B69" s="50" t="str">
        <f aca="false">IF(AND($B$43&gt;0,$D$43&gt;0),(設定!$B$8*IF(OR(設定!$B$3="",$B$43=0),"",SUMIFS(先月データ!$Q:$Q,先月データ!$Z:$Z,$A69,先月データ!$K:$K,B$51,先月データ!$A:$A,"&gt;="&amp;設定!$B$3,先月データ!$A:$A,"&lt;="&amp;EOMONTH(設定!$B$3,0))/$B$43)+設定!$B$9*IF(OR(設定!$B$4="",$D$43=0),"",SUMIFS(先々月データ!$Q:$Q,先々月データ!$Z:$Z,$A69,先々月データ!$K:$K,B$51,先々月データ!$A:$A,"&gt;="&amp;設定!$B$4,先々月データ!$A:$A,"&lt;="&amp;EOMONTH(設定!$B$4,0))/$D$43))/(設定!$B$8+設定!$B$9),IF($B$43&gt;0,IF(OR(設定!$B$3="",$B$43=0),"",SUMIFS(先月データ!$Q:$Q,先月データ!$Z:$Z,$A69,先月データ!$K:$K,B$51,先月データ!$A:$A,"&gt;="&amp;設定!$B$3,先月データ!$A:$A,"&lt;="&amp;EOMONTH(設定!$B$3,0))/$B$43),IF($D$43&gt;0,IF(OR(設定!$B$4="",$D$43=0),"",SUMIFS(先々月データ!$Q:$Q,先々月データ!$Z:$Z,$A69,先々月データ!$K:$K,B$51,先々月データ!$A:$A,"&gt;="&amp;設定!$B$4,先々月データ!$A:$A,"&lt;="&amp;EOMONTH(設定!$B$4,0))/$D$43),"")))</f>
        <v/>
      </c>
      <c r="C69" s="50" t="str">
        <f aca="false">IF(AND($B$43&gt;0,$D$43&gt;0),(設定!$B$8*IF(OR(設定!$B$3="",$B$43=0),"",SUMIFS(先月データ!$Q:$Q,先月データ!$Z:$Z,$A69,先月データ!$K:$K,C$51,先月データ!$A:$A,"&gt;="&amp;設定!$B$3,先月データ!$A:$A,"&lt;="&amp;EOMONTH(設定!$B$3,0))/$B$43)+設定!$B$9*IF(OR(設定!$B$4="",$D$43=0),"",SUMIFS(先々月データ!$Q:$Q,先々月データ!$Z:$Z,$A69,先々月データ!$K:$K,C$51,先々月データ!$A:$A,"&gt;="&amp;設定!$B$4,先々月データ!$A:$A,"&lt;="&amp;EOMONTH(設定!$B$4,0))/$D$43))/(設定!$B$8+設定!$B$9),IF($B$43&gt;0,IF(OR(設定!$B$3="",$B$43=0),"",SUMIFS(先月データ!$Q:$Q,先月データ!$Z:$Z,$A69,先月データ!$K:$K,C$51,先月データ!$A:$A,"&gt;="&amp;設定!$B$3,先月データ!$A:$A,"&lt;="&amp;EOMONTH(設定!$B$3,0))/$B$43),IF($D$43&gt;0,IF(OR(設定!$B$4="",$D$43=0),"",SUMIFS(先々月データ!$Q:$Q,先々月データ!$Z:$Z,$A69,先々月データ!$K:$K,C$51,先々月データ!$A:$A,"&gt;="&amp;設定!$B$4,先々月データ!$A:$A,"&lt;="&amp;EOMONTH(設定!$B$4,0))/$D$43),"")))</f>
        <v/>
      </c>
      <c r="D69" s="50" t="str">
        <f aca="false">IF(AND($B$43&gt;0,$D$43&gt;0),(設定!$B$8*IF(OR(設定!$B$3="",$B$43=0),"",SUMIFS(先月データ!$Q:$Q,先月データ!$Z:$Z,$A69,先月データ!$K:$K,D$51,先月データ!$A:$A,"&gt;="&amp;設定!$B$3,先月データ!$A:$A,"&lt;="&amp;EOMONTH(設定!$B$3,0))/$B$43)+設定!$B$9*IF(OR(設定!$B$4="",$D$43=0),"",SUMIFS(先々月データ!$Q:$Q,先々月データ!$Z:$Z,$A69,先々月データ!$K:$K,D$51,先々月データ!$A:$A,"&gt;="&amp;設定!$B$4,先々月データ!$A:$A,"&lt;="&amp;EOMONTH(設定!$B$4,0))/$D$43))/(設定!$B$8+設定!$B$9),IF($B$43&gt;0,IF(OR(設定!$B$3="",$B$43=0),"",SUMIFS(先月データ!$Q:$Q,先月データ!$Z:$Z,$A69,先月データ!$K:$K,D$51,先月データ!$A:$A,"&gt;="&amp;設定!$B$3,先月データ!$A:$A,"&lt;="&amp;EOMONTH(設定!$B$3,0))/$B$43),IF($D$43&gt;0,IF(OR(設定!$B$4="",$D$43=0),"",SUMIFS(先々月データ!$Q:$Q,先々月データ!$Z:$Z,$A69,先々月データ!$K:$K,D$51,先々月データ!$A:$A,"&gt;="&amp;設定!$B$4,先々月データ!$A:$A,"&lt;="&amp;EOMONTH(設定!$B$4,0))/$D$43),"")))</f>
        <v/>
      </c>
      <c r="E69" s="50" t="str">
        <f aca="false">IF(AND($B$43&gt;0,$D$43&gt;0),(設定!$B$8*IF(OR(設定!$B$3="",$B$43=0),"",SUMIFS(先月データ!$Q:$Q,先月データ!$Z:$Z,$A69,先月データ!$K:$K,E$51,先月データ!$A:$A,"&gt;="&amp;設定!$B$3,先月データ!$A:$A,"&lt;="&amp;EOMONTH(設定!$B$3,0))/$B$43)+設定!$B$9*IF(OR(設定!$B$4="",$D$43=0),"",SUMIFS(先々月データ!$Q:$Q,先々月データ!$Z:$Z,$A69,先々月データ!$K:$K,E$51,先々月データ!$A:$A,"&gt;="&amp;設定!$B$4,先々月データ!$A:$A,"&lt;="&amp;EOMONTH(設定!$B$4,0))/$D$43))/(設定!$B$8+設定!$B$9),IF($B$43&gt;0,IF(OR(設定!$B$3="",$B$43=0),"",SUMIFS(先月データ!$Q:$Q,先月データ!$Z:$Z,$A69,先月データ!$K:$K,E$51,先月データ!$A:$A,"&gt;="&amp;設定!$B$3,先月データ!$A:$A,"&lt;="&amp;EOMONTH(設定!$B$3,0))/$B$43),IF($D$43&gt;0,IF(OR(設定!$B$4="",$D$43=0),"",SUMIFS(先々月データ!$Q:$Q,先々月データ!$Z:$Z,$A69,先々月データ!$K:$K,E$51,先々月データ!$A:$A,"&gt;="&amp;設定!$B$4,先々月データ!$A:$A,"&lt;="&amp;EOMONTH(設定!$B$4,0))/$D$43),"")))</f>
        <v/>
      </c>
      <c r="F69" s="50" t="str">
        <f aca="false">IF(AND($B$43&gt;0,$D$43&gt;0),(設定!$B$8*IF(OR(設定!$B$3="",$B$43=0),"",SUMIFS(先月データ!$Q:$Q,先月データ!$Z:$Z,$A69,先月データ!$K:$K,F$51,先月データ!$A:$A,"&gt;="&amp;設定!$B$3,先月データ!$A:$A,"&lt;="&amp;EOMONTH(設定!$B$3,0))/$B$43)+設定!$B$9*IF(OR(設定!$B$4="",$D$43=0),"",SUMIFS(先々月データ!$Q:$Q,先々月データ!$Z:$Z,$A69,先々月データ!$K:$K,F$51,先々月データ!$A:$A,"&gt;="&amp;設定!$B$4,先々月データ!$A:$A,"&lt;="&amp;EOMONTH(設定!$B$4,0))/$D$43))/(設定!$B$8+設定!$B$9),IF($B$43&gt;0,IF(OR(設定!$B$3="",$B$43=0),"",SUMIFS(先月データ!$Q:$Q,先月データ!$Z:$Z,$A69,先月データ!$K:$K,F$51,先月データ!$A:$A,"&gt;="&amp;設定!$B$3,先月データ!$A:$A,"&lt;="&amp;EOMONTH(設定!$B$3,0))/$B$43),IF($D$43&gt;0,IF(OR(設定!$B$4="",$D$43=0),"",SUMIFS(先々月データ!$Q:$Q,先々月データ!$Z:$Z,$A69,先々月データ!$K:$K,F$51,先々月データ!$A:$A,"&gt;="&amp;設定!$B$4,先々月データ!$A:$A,"&lt;="&amp;EOMONTH(設定!$B$4,0))/$D$43),"")))</f>
        <v/>
      </c>
      <c r="G69" s="50" t="str">
        <f aca="false">IF(AND($B$43&gt;0,$D$43&gt;0),(設定!$B$8*IF(OR(設定!$B$3="",$B$43=0),"",SUMIFS(先月データ!$Q:$Q,先月データ!$Z:$Z,$A69,先月データ!$K:$K,G$51,先月データ!$A:$A,"&gt;="&amp;設定!$B$3,先月データ!$A:$A,"&lt;="&amp;EOMONTH(設定!$B$3,0))/$B$43)+設定!$B$9*IF(OR(設定!$B$4="",$D$43=0),"",SUMIFS(先々月データ!$Q:$Q,先々月データ!$Z:$Z,$A69,先々月データ!$K:$K,G$51,先々月データ!$A:$A,"&gt;="&amp;設定!$B$4,先々月データ!$A:$A,"&lt;="&amp;EOMONTH(設定!$B$4,0))/$D$43))/(設定!$B$8+設定!$B$9),IF($B$43&gt;0,IF(OR(設定!$B$3="",$B$43=0),"",SUMIFS(先月データ!$Q:$Q,先月データ!$Z:$Z,$A69,先月データ!$K:$K,G$51,先月データ!$A:$A,"&gt;="&amp;設定!$B$3,先月データ!$A:$A,"&lt;="&amp;EOMONTH(設定!$B$3,0))/$B$43),IF($D$43&gt;0,IF(OR(設定!$B$4="",$D$43=0),"",SUMIFS(先々月データ!$Q:$Q,先々月データ!$Z:$Z,$A69,先々月データ!$K:$K,G$51,先々月データ!$A:$A,"&gt;="&amp;設定!$B$4,先々月データ!$A:$A,"&lt;="&amp;EOMONTH(設定!$B$4,0))/$D$43),"")))</f>
        <v/>
      </c>
      <c r="H69" s="50" t="str">
        <f aca="false">IF(AND($B$43&gt;0,$D$43&gt;0),(設定!$B$8*IF(OR(設定!$B$3="",$B$43=0),"",SUMIFS(先月データ!$Q:$Q,先月データ!$Z:$Z,$A69,先月データ!$K:$K,H$51,先月データ!$A:$A,"&gt;="&amp;設定!$B$3,先月データ!$A:$A,"&lt;="&amp;EOMONTH(設定!$B$3,0))/$B$43)+設定!$B$9*IF(OR(設定!$B$4="",$D$43=0),"",SUMIFS(先々月データ!$Q:$Q,先々月データ!$Z:$Z,$A69,先々月データ!$K:$K,H$51,先々月データ!$A:$A,"&gt;="&amp;設定!$B$4,先々月データ!$A:$A,"&lt;="&amp;EOMONTH(設定!$B$4,0))/$D$43))/(設定!$B$8+設定!$B$9),IF($B$43&gt;0,IF(OR(設定!$B$3="",$B$43=0),"",SUMIFS(先月データ!$Q:$Q,先月データ!$Z:$Z,$A69,先月データ!$K:$K,H$51,先月データ!$A:$A,"&gt;="&amp;設定!$B$3,先月データ!$A:$A,"&lt;="&amp;EOMONTH(設定!$B$3,0))/$B$43),IF($D$43&gt;0,IF(OR(設定!$B$4="",$D$43=0),"",SUMIFS(先々月データ!$Q:$Q,先々月データ!$Z:$Z,$A69,先々月データ!$K:$K,H$51,先々月データ!$A:$A,"&gt;="&amp;設定!$B$4,先々月データ!$A:$A,"&lt;="&amp;EOMONTH(設定!$B$4,0))/$D$43),"")))</f>
        <v/>
      </c>
      <c r="I69" s="50" t="str">
        <f aca="false">IF(AND($B$43&gt;0,$D$43&gt;0),(設定!$B$8*IF(OR(設定!$B$3="",$B$43=0),"",SUMIFS(先月データ!$Q:$Q,先月データ!$Z:$Z,$A69,先月データ!$K:$K,I$51,先月データ!$A:$A,"&gt;="&amp;設定!$B$3,先月データ!$A:$A,"&lt;="&amp;EOMONTH(設定!$B$3,0))/$B$43)+設定!$B$9*IF(OR(設定!$B$4="",$D$43=0),"",SUMIFS(先々月データ!$Q:$Q,先々月データ!$Z:$Z,$A69,先々月データ!$K:$K,I$51,先々月データ!$A:$A,"&gt;="&amp;設定!$B$4,先々月データ!$A:$A,"&lt;="&amp;EOMONTH(設定!$B$4,0))/$D$43))/(設定!$B$8+設定!$B$9),IF($B$43&gt;0,IF(OR(設定!$B$3="",$B$43=0),"",SUMIFS(先月データ!$Q:$Q,先月データ!$Z:$Z,$A69,先月データ!$K:$K,I$51,先月データ!$A:$A,"&gt;="&amp;設定!$B$3,先月データ!$A:$A,"&lt;="&amp;EOMONTH(設定!$B$3,0))/$B$43),IF($D$43&gt;0,IF(OR(設定!$B$4="",$D$43=0),"",SUMIFS(先々月データ!$Q:$Q,先々月データ!$Z:$Z,$A69,先々月データ!$K:$K,I$51,先々月データ!$A:$A,"&gt;="&amp;設定!$B$4,先々月データ!$A:$A,"&lt;="&amp;EOMONTH(設定!$B$4,0))/$D$43),"")))</f>
        <v/>
      </c>
      <c r="J69" s="50" t="str">
        <f aca="false">IF(AND($B$43&gt;0,$D$43&gt;0),(設定!$B$8*IF(OR(設定!$B$3="",$B$43=0),"",SUMIFS(先月データ!$Q:$Q,先月データ!$Z:$Z,$A69,先月データ!$K:$K,J$51,先月データ!$A:$A,"&gt;="&amp;設定!$B$3,先月データ!$A:$A,"&lt;="&amp;EOMONTH(設定!$B$3,0))/$B$43)+設定!$B$9*IF(OR(設定!$B$4="",$D$43=0),"",SUMIFS(先々月データ!$Q:$Q,先々月データ!$Z:$Z,$A69,先々月データ!$K:$K,J$51,先々月データ!$A:$A,"&gt;="&amp;設定!$B$4,先々月データ!$A:$A,"&lt;="&amp;EOMONTH(設定!$B$4,0))/$D$43))/(設定!$B$8+設定!$B$9),IF($B$43&gt;0,IF(OR(設定!$B$3="",$B$43=0),"",SUMIFS(先月データ!$Q:$Q,先月データ!$Z:$Z,$A69,先月データ!$K:$K,J$51,先月データ!$A:$A,"&gt;="&amp;設定!$B$3,先月データ!$A:$A,"&lt;="&amp;EOMONTH(設定!$B$3,0))/$B$43),IF($D$43&gt;0,IF(OR(設定!$B$4="",$D$43=0),"",SUMIFS(先々月データ!$Q:$Q,先々月データ!$Z:$Z,$A69,先々月データ!$K:$K,J$51,先々月データ!$A:$A,"&gt;="&amp;設定!$B$4,先々月データ!$A:$A,"&lt;="&amp;EOMONTH(設定!$B$4,0))/$D$43),"")))</f>
        <v/>
      </c>
      <c r="K69" s="50" t="str">
        <f aca="false">IF(AND($B$43&gt;0,$D$43&gt;0),(設定!$B$8*IF(OR(設定!$B$3="",$B$43=0),"",SUMIFS(先月データ!$Q:$Q,先月データ!$Z:$Z,$A69,先月データ!$K:$K,K$51,先月データ!$A:$A,"&gt;="&amp;設定!$B$3,先月データ!$A:$A,"&lt;="&amp;EOMONTH(設定!$B$3,0))/$B$43)+設定!$B$9*IF(OR(設定!$B$4="",$D$43=0),"",SUMIFS(先々月データ!$Q:$Q,先々月データ!$Z:$Z,$A69,先々月データ!$K:$K,K$51,先々月データ!$A:$A,"&gt;="&amp;設定!$B$4,先々月データ!$A:$A,"&lt;="&amp;EOMONTH(設定!$B$4,0))/$D$43))/(設定!$B$8+設定!$B$9),IF($B$43&gt;0,IF(OR(設定!$B$3="",$B$43=0),"",SUMIFS(先月データ!$Q:$Q,先月データ!$Z:$Z,$A69,先月データ!$K:$K,K$51,先月データ!$A:$A,"&gt;="&amp;設定!$B$3,先月データ!$A:$A,"&lt;="&amp;EOMONTH(設定!$B$3,0))/$B$43),IF($D$43&gt;0,IF(OR(設定!$B$4="",$D$43=0),"",SUMIFS(先々月データ!$Q:$Q,先々月データ!$Z:$Z,$A69,先々月データ!$K:$K,K$51,先々月データ!$A:$A,"&gt;="&amp;設定!$B$4,先々月データ!$A:$A,"&lt;="&amp;EOMONTH(設定!$B$4,0))/$D$43),"")))</f>
        <v/>
      </c>
      <c r="L69" s="50" t="str">
        <f aca="false">IF(AND($B$43&gt;0,$D$43&gt;0),(設定!$B$8*IF(OR(設定!$B$3="",$B$43=0),"",SUMIFS(先月データ!$Q:$Q,先月データ!$Z:$Z,$A69,先月データ!$K:$K,L$51,先月データ!$A:$A,"&gt;="&amp;設定!$B$3,先月データ!$A:$A,"&lt;="&amp;EOMONTH(設定!$B$3,0))/$B$43)+設定!$B$9*IF(OR(設定!$B$4="",$D$43=0),"",SUMIFS(先々月データ!$Q:$Q,先々月データ!$Z:$Z,$A69,先々月データ!$K:$K,L$51,先々月データ!$A:$A,"&gt;="&amp;設定!$B$4,先々月データ!$A:$A,"&lt;="&amp;EOMONTH(設定!$B$4,0))/$D$43))/(設定!$B$8+設定!$B$9),IF($B$43&gt;0,IF(OR(設定!$B$3="",$B$43=0),"",SUMIFS(先月データ!$Q:$Q,先月データ!$Z:$Z,$A69,先月データ!$K:$K,L$51,先月データ!$A:$A,"&gt;="&amp;設定!$B$3,先月データ!$A:$A,"&lt;="&amp;EOMONTH(設定!$B$3,0))/$B$43),IF($D$43&gt;0,IF(OR(設定!$B$4="",$D$43=0),"",SUMIFS(先々月データ!$Q:$Q,先々月データ!$Z:$Z,$A69,先々月データ!$K:$K,L$51,先々月データ!$A:$A,"&gt;="&amp;設定!$B$4,先々月データ!$A:$A,"&lt;="&amp;EOMONTH(設定!$B$4,0))/$D$43),"")))</f>
        <v/>
      </c>
      <c r="M69" s="50" t="str">
        <f aca="false">IF(AND($B$43&gt;0,$D$43&gt;0),(設定!$B$8*IF(OR(設定!$B$3="",$B$43=0),"",SUMIFS(先月データ!$Q:$Q,先月データ!$Z:$Z,$A69,先月データ!$K:$K,M$51,先月データ!$A:$A,"&gt;="&amp;設定!$B$3,先月データ!$A:$A,"&lt;="&amp;EOMONTH(設定!$B$3,0))/$B$43)+設定!$B$9*IF(OR(設定!$B$4="",$D$43=0),"",SUMIFS(先々月データ!$Q:$Q,先々月データ!$Z:$Z,$A69,先々月データ!$K:$K,M$51,先々月データ!$A:$A,"&gt;="&amp;設定!$B$4,先々月データ!$A:$A,"&lt;="&amp;EOMONTH(設定!$B$4,0))/$D$43))/(設定!$B$8+設定!$B$9),IF($B$43&gt;0,IF(OR(設定!$B$3="",$B$43=0),"",SUMIFS(先月データ!$Q:$Q,先月データ!$Z:$Z,$A69,先月データ!$K:$K,M$51,先月データ!$A:$A,"&gt;="&amp;設定!$B$3,先月データ!$A:$A,"&lt;="&amp;EOMONTH(設定!$B$3,0))/$B$43),IF($D$43&gt;0,IF(OR(設定!$B$4="",$D$43=0),"",SUMIFS(先々月データ!$Q:$Q,先々月データ!$Z:$Z,$A69,先々月データ!$K:$K,M$51,先々月データ!$A:$A,"&gt;="&amp;設定!$B$4,先々月データ!$A:$A,"&lt;="&amp;EOMONTH(設定!$B$4,0))/$D$43),"")))</f>
        <v/>
      </c>
      <c r="N69" s="50" t="str">
        <f aca="false">IF(AND($B$43&gt;0,$D$43&gt;0),(設定!$B$8*IF(OR(設定!$B$3="",$B$43=0),"",SUMIFS(先月データ!$Q:$Q,先月データ!$Z:$Z,$A69,先月データ!$K:$K,N$51,先月データ!$A:$A,"&gt;="&amp;設定!$B$3,先月データ!$A:$A,"&lt;="&amp;EOMONTH(設定!$B$3,0))/$B$43)+設定!$B$9*IF(OR(設定!$B$4="",$D$43=0),"",SUMIFS(先々月データ!$Q:$Q,先々月データ!$Z:$Z,$A69,先々月データ!$K:$K,N$51,先々月データ!$A:$A,"&gt;="&amp;設定!$B$4,先々月データ!$A:$A,"&lt;="&amp;EOMONTH(設定!$B$4,0))/$D$43))/(設定!$B$8+設定!$B$9),IF($B$43&gt;0,IF(OR(設定!$B$3="",$B$43=0),"",SUMIFS(先月データ!$Q:$Q,先月データ!$Z:$Z,$A69,先月データ!$K:$K,N$51,先月データ!$A:$A,"&gt;="&amp;設定!$B$3,先月データ!$A:$A,"&lt;="&amp;EOMONTH(設定!$B$3,0))/$B$43),IF($D$43&gt;0,IF(OR(設定!$B$4="",$D$43=0),"",SUMIFS(先々月データ!$Q:$Q,先々月データ!$Z:$Z,$A69,先々月データ!$K:$K,N$51,先々月データ!$A:$A,"&gt;="&amp;設定!$B$4,先々月データ!$A:$A,"&lt;="&amp;EOMONTH(設定!$B$4,0))/$D$43),"")))</f>
        <v/>
      </c>
      <c r="O69" s="50" t="n">
        <f aca="false">SUM(B69:N69)</f>
        <v>0</v>
      </c>
    </row>
    <row r="70" customFormat="false" ht="15" hidden="false" customHeight="false" outlineLevel="0" collapsed="false">
      <c r="A70" s="49" t="s">
        <v>111</v>
      </c>
      <c r="B70" s="50" t="str">
        <f aca="false">IF(AND($B$44&gt;0,$D$44&gt;0),(設定!$B$8*IF(OR(設定!$B$3="",$B$44=0),"",SUMIFS(先月データ!$Q:$Q,先月データ!$Z:$Z,$A70,先月データ!$K:$K,B$51,先月データ!$A:$A,"&gt;="&amp;設定!$B$3,先月データ!$A:$A,"&lt;="&amp;EOMONTH(設定!$B$3,0))/$B$44)+設定!$B$9*IF(OR(設定!$B$4="",$D$44=0),"",SUMIFS(先々月データ!$Q:$Q,先々月データ!$Z:$Z,$A70,先々月データ!$K:$K,B$51,先々月データ!$A:$A,"&gt;="&amp;設定!$B$4,先々月データ!$A:$A,"&lt;="&amp;EOMONTH(設定!$B$4,0))/$D$44))/(設定!$B$8+設定!$B$9),IF($B$44&gt;0,IF(OR(設定!$B$3="",$B$44=0),"",SUMIFS(先月データ!$Q:$Q,先月データ!$Z:$Z,$A70,先月データ!$K:$K,B$51,先月データ!$A:$A,"&gt;="&amp;設定!$B$3,先月データ!$A:$A,"&lt;="&amp;EOMONTH(設定!$B$3,0))/$B$44),IF($D$44&gt;0,IF(OR(設定!$B$4="",$D$44=0),"",SUMIFS(先々月データ!$Q:$Q,先々月データ!$Z:$Z,$A70,先々月データ!$K:$K,B$51,先々月データ!$A:$A,"&gt;="&amp;設定!$B$4,先々月データ!$A:$A,"&lt;="&amp;EOMONTH(設定!$B$4,0))/$D$44),"")))</f>
        <v/>
      </c>
      <c r="C70" s="50" t="str">
        <f aca="false">IF(AND($B$44&gt;0,$D$44&gt;0),(設定!$B$8*IF(OR(設定!$B$3="",$B$44=0),"",SUMIFS(先月データ!$Q:$Q,先月データ!$Z:$Z,$A70,先月データ!$K:$K,C$51,先月データ!$A:$A,"&gt;="&amp;設定!$B$3,先月データ!$A:$A,"&lt;="&amp;EOMONTH(設定!$B$3,0))/$B$44)+設定!$B$9*IF(OR(設定!$B$4="",$D$44=0),"",SUMIFS(先々月データ!$Q:$Q,先々月データ!$Z:$Z,$A70,先々月データ!$K:$K,C$51,先々月データ!$A:$A,"&gt;="&amp;設定!$B$4,先々月データ!$A:$A,"&lt;="&amp;EOMONTH(設定!$B$4,0))/$D$44))/(設定!$B$8+設定!$B$9),IF($B$44&gt;0,IF(OR(設定!$B$3="",$B$44=0),"",SUMIFS(先月データ!$Q:$Q,先月データ!$Z:$Z,$A70,先月データ!$K:$K,C$51,先月データ!$A:$A,"&gt;="&amp;設定!$B$3,先月データ!$A:$A,"&lt;="&amp;EOMONTH(設定!$B$3,0))/$B$44),IF($D$44&gt;0,IF(OR(設定!$B$4="",$D$44=0),"",SUMIFS(先々月データ!$Q:$Q,先々月データ!$Z:$Z,$A70,先々月データ!$K:$K,C$51,先々月データ!$A:$A,"&gt;="&amp;設定!$B$4,先々月データ!$A:$A,"&lt;="&amp;EOMONTH(設定!$B$4,0))/$D$44),"")))</f>
        <v/>
      </c>
      <c r="D70" s="50" t="str">
        <f aca="false">IF(AND($B$44&gt;0,$D$44&gt;0),(設定!$B$8*IF(OR(設定!$B$3="",$B$44=0),"",SUMIFS(先月データ!$Q:$Q,先月データ!$Z:$Z,$A70,先月データ!$K:$K,D$51,先月データ!$A:$A,"&gt;="&amp;設定!$B$3,先月データ!$A:$A,"&lt;="&amp;EOMONTH(設定!$B$3,0))/$B$44)+設定!$B$9*IF(OR(設定!$B$4="",$D$44=0),"",SUMIFS(先々月データ!$Q:$Q,先々月データ!$Z:$Z,$A70,先々月データ!$K:$K,D$51,先々月データ!$A:$A,"&gt;="&amp;設定!$B$4,先々月データ!$A:$A,"&lt;="&amp;EOMONTH(設定!$B$4,0))/$D$44))/(設定!$B$8+設定!$B$9),IF($B$44&gt;0,IF(OR(設定!$B$3="",$B$44=0),"",SUMIFS(先月データ!$Q:$Q,先月データ!$Z:$Z,$A70,先月データ!$K:$K,D$51,先月データ!$A:$A,"&gt;="&amp;設定!$B$3,先月データ!$A:$A,"&lt;="&amp;EOMONTH(設定!$B$3,0))/$B$44),IF($D$44&gt;0,IF(OR(設定!$B$4="",$D$44=0),"",SUMIFS(先々月データ!$Q:$Q,先々月データ!$Z:$Z,$A70,先々月データ!$K:$K,D$51,先々月データ!$A:$A,"&gt;="&amp;設定!$B$4,先々月データ!$A:$A,"&lt;="&amp;EOMONTH(設定!$B$4,0))/$D$44),"")))</f>
        <v/>
      </c>
      <c r="E70" s="50" t="str">
        <f aca="false">IF(AND($B$44&gt;0,$D$44&gt;0),(設定!$B$8*IF(OR(設定!$B$3="",$B$44=0),"",SUMIFS(先月データ!$Q:$Q,先月データ!$Z:$Z,$A70,先月データ!$K:$K,E$51,先月データ!$A:$A,"&gt;="&amp;設定!$B$3,先月データ!$A:$A,"&lt;="&amp;EOMONTH(設定!$B$3,0))/$B$44)+設定!$B$9*IF(OR(設定!$B$4="",$D$44=0),"",SUMIFS(先々月データ!$Q:$Q,先々月データ!$Z:$Z,$A70,先々月データ!$K:$K,E$51,先々月データ!$A:$A,"&gt;="&amp;設定!$B$4,先々月データ!$A:$A,"&lt;="&amp;EOMONTH(設定!$B$4,0))/$D$44))/(設定!$B$8+設定!$B$9),IF($B$44&gt;0,IF(OR(設定!$B$3="",$B$44=0),"",SUMIFS(先月データ!$Q:$Q,先月データ!$Z:$Z,$A70,先月データ!$K:$K,E$51,先月データ!$A:$A,"&gt;="&amp;設定!$B$3,先月データ!$A:$A,"&lt;="&amp;EOMONTH(設定!$B$3,0))/$B$44),IF($D$44&gt;0,IF(OR(設定!$B$4="",$D$44=0),"",SUMIFS(先々月データ!$Q:$Q,先々月データ!$Z:$Z,$A70,先々月データ!$K:$K,E$51,先々月データ!$A:$A,"&gt;="&amp;設定!$B$4,先々月データ!$A:$A,"&lt;="&amp;EOMONTH(設定!$B$4,0))/$D$44),"")))</f>
        <v/>
      </c>
      <c r="F70" s="50" t="str">
        <f aca="false">IF(AND($B$44&gt;0,$D$44&gt;0),(設定!$B$8*IF(OR(設定!$B$3="",$B$44=0),"",SUMIFS(先月データ!$Q:$Q,先月データ!$Z:$Z,$A70,先月データ!$K:$K,F$51,先月データ!$A:$A,"&gt;="&amp;設定!$B$3,先月データ!$A:$A,"&lt;="&amp;EOMONTH(設定!$B$3,0))/$B$44)+設定!$B$9*IF(OR(設定!$B$4="",$D$44=0),"",SUMIFS(先々月データ!$Q:$Q,先々月データ!$Z:$Z,$A70,先々月データ!$K:$K,F$51,先々月データ!$A:$A,"&gt;="&amp;設定!$B$4,先々月データ!$A:$A,"&lt;="&amp;EOMONTH(設定!$B$4,0))/$D$44))/(設定!$B$8+設定!$B$9),IF($B$44&gt;0,IF(OR(設定!$B$3="",$B$44=0),"",SUMIFS(先月データ!$Q:$Q,先月データ!$Z:$Z,$A70,先月データ!$K:$K,F$51,先月データ!$A:$A,"&gt;="&amp;設定!$B$3,先月データ!$A:$A,"&lt;="&amp;EOMONTH(設定!$B$3,0))/$B$44),IF($D$44&gt;0,IF(OR(設定!$B$4="",$D$44=0),"",SUMIFS(先々月データ!$Q:$Q,先々月データ!$Z:$Z,$A70,先々月データ!$K:$K,F$51,先々月データ!$A:$A,"&gt;="&amp;設定!$B$4,先々月データ!$A:$A,"&lt;="&amp;EOMONTH(設定!$B$4,0))/$D$44),"")))</f>
        <v/>
      </c>
      <c r="G70" s="50" t="str">
        <f aca="false">IF(AND($B$44&gt;0,$D$44&gt;0),(設定!$B$8*IF(OR(設定!$B$3="",$B$44=0),"",SUMIFS(先月データ!$Q:$Q,先月データ!$Z:$Z,$A70,先月データ!$K:$K,G$51,先月データ!$A:$A,"&gt;="&amp;設定!$B$3,先月データ!$A:$A,"&lt;="&amp;EOMONTH(設定!$B$3,0))/$B$44)+設定!$B$9*IF(OR(設定!$B$4="",$D$44=0),"",SUMIFS(先々月データ!$Q:$Q,先々月データ!$Z:$Z,$A70,先々月データ!$K:$K,G$51,先々月データ!$A:$A,"&gt;="&amp;設定!$B$4,先々月データ!$A:$A,"&lt;="&amp;EOMONTH(設定!$B$4,0))/$D$44))/(設定!$B$8+設定!$B$9),IF($B$44&gt;0,IF(OR(設定!$B$3="",$B$44=0),"",SUMIFS(先月データ!$Q:$Q,先月データ!$Z:$Z,$A70,先月データ!$K:$K,G$51,先月データ!$A:$A,"&gt;="&amp;設定!$B$3,先月データ!$A:$A,"&lt;="&amp;EOMONTH(設定!$B$3,0))/$B$44),IF($D$44&gt;0,IF(OR(設定!$B$4="",$D$44=0),"",SUMIFS(先々月データ!$Q:$Q,先々月データ!$Z:$Z,$A70,先々月データ!$K:$K,G$51,先々月データ!$A:$A,"&gt;="&amp;設定!$B$4,先々月データ!$A:$A,"&lt;="&amp;EOMONTH(設定!$B$4,0))/$D$44),"")))</f>
        <v/>
      </c>
      <c r="H70" s="50" t="str">
        <f aca="false">IF(AND($B$44&gt;0,$D$44&gt;0),(設定!$B$8*IF(OR(設定!$B$3="",$B$44=0),"",SUMIFS(先月データ!$Q:$Q,先月データ!$Z:$Z,$A70,先月データ!$K:$K,H$51,先月データ!$A:$A,"&gt;="&amp;設定!$B$3,先月データ!$A:$A,"&lt;="&amp;EOMONTH(設定!$B$3,0))/$B$44)+設定!$B$9*IF(OR(設定!$B$4="",$D$44=0),"",SUMIFS(先々月データ!$Q:$Q,先々月データ!$Z:$Z,$A70,先々月データ!$K:$K,H$51,先々月データ!$A:$A,"&gt;="&amp;設定!$B$4,先々月データ!$A:$A,"&lt;="&amp;EOMONTH(設定!$B$4,0))/$D$44))/(設定!$B$8+設定!$B$9),IF($B$44&gt;0,IF(OR(設定!$B$3="",$B$44=0),"",SUMIFS(先月データ!$Q:$Q,先月データ!$Z:$Z,$A70,先月データ!$K:$K,H$51,先月データ!$A:$A,"&gt;="&amp;設定!$B$3,先月データ!$A:$A,"&lt;="&amp;EOMONTH(設定!$B$3,0))/$B$44),IF($D$44&gt;0,IF(OR(設定!$B$4="",$D$44=0),"",SUMIFS(先々月データ!$Q:$Q,先々月データ!$Z:$Z,$A70,先々月データ!$K:$K,H$51,先々月データ!$A:$A,"&gt;="&amp;設定!$B$4,先々月データ!$A:$A,"&lt;="&amp;EOMONTH(設定!$B$4,0))/$D$44),"")))</f>
        <v/>
      </c>
      <c r="I70" s="50" t="str">
        <f aca="false">IF(AND($B$44&gt;0,$D$44&gt;0),(設定!$B$8*IF(OR(設定!$B$3="",$B$44=0),"",SUMIFS(先月データ!$Q:$Q,先月データ!$Z:$Z,$A70,先月データ!$K:$K,I$51,先月データ!$A:$A,"&gt;="&amp;設定!$B$3,先月データ!$A:$A,"&lt;="&amp;EOMONTH(設定!$B$3,0))/$B$44)+設定!$B$9*IF(OR(設定!$B$4="",$D$44=0),"",SUMIFS(先々月データ!$Q:$Q,先々月データ!$Z:$Z,$A70,先々月データ!$K:$K,I$51,先々月データ!$A:$A,"&gt;="&amp;設定!$B$4,先々月データ!$A:$A,"&lt;="&amp;EOMONTH(設定!$B$4,0))/$D$44))/(設定!$B$8+設定!$B$9),IF($B$44&gt;0,IF(OR(設定!$B$3="",$B$44=0),"",SUMIFS(先月データ!$Q:$Q,先月データ!$Z:$Z,$A70,先月データ!$K:$K,I$51,先月データ!$A:$A,"&gt;="&amp;設定!$B$3,先月データ!$A:$A,"&lt;="&amp;EOMONTH(設定!$B$3,0))/$B$44),IF($D$44&gt;0,IF(OR(設定!$B$4="",$D$44=0),"",SUMIFS(先々月データ!$Q:$Q,先々月データ!$Z:$Z,$A70,先々月データ!$K:$K,I$51,先々月データ!$A:$A,"&gt;="&amp;設定!$B$4,先々月データ!$A:$A,"&lt;="&amp;EOMONTH(設定!$B$4,0))/$D$44),"")))</f>
        <v/>
      </c>
      <c r="J70" s="50" t="str">
        <f aca="false">IF(AND($B$44&gt;0,$D$44&gt;0),(設定!$B$8*IF(OR(設定!$B$3="",$B$44=0),"",SUMIFS(先月データ!$Q:$Q,先月データ!$Z:$Z,$A70,先月データ!$K:$K,J$51,先月データ!$A:$A,"&gt;="&amp;設定!$B$3,先月データ!$A:$A,"&lt;="&amp;EOMONTH(設定!$B$3,0))/$B$44)+設定!$B$9*IF(OR(設定!$B$4="",$D$44=0),"",SUMIFS(先々月データ!$Q:$Q,先々月データ!$Z:$Z,$A70,先々月データ!$K:$K,J$51,先々月データ!$A:$A,"&gt;="&amp;設定!$B$4,先々月データ!$A:$A,"&lt;="&amp;EOMONTH(設定!$B$4,0))/$D$44))/(設定!$B$8+設定!$B$9),IF($B$44&gt;0,IF(OR(設定!$B$3="",$B$44=0),"",SUMIFS(先月データ!$Q:$Q,先月データ!$Z:$Z,$A70,先月データ!$K:$K,J$51,先月データ!$A:$A,"&gt;="&amp;設定!$B$3,先月データ!$A:$A,"&lt;="&amp;EOMONTH(設定!$B$3,0))/$B$44),IF($D$44&gt;0,IF(OR(設定!$B$4="",$D$44=0),"",SUMIFS(先々月データ!$Q:$Q,先々月データ!$Z:$Z,$A70,先々月データ!$K:$K,J$51,先々月データ!$A:$A,"&gt;="&amp;設定!$B$4,先々月データ!$A:$A,"&lt;="&amp;EOMONTH(設定!$B$4,0))/$D$44),"")))</f>
        <v/>
      </c>
      <c r="K70" s="50" t="str">
        <f aca="false">IF(AND($B$44&gt;0,$D$44&gt;0),(設定!$B$8*IF(OR(設定!$B$3="",$B$44=0),"",SUMIFS(先月データ!$Q:$Q,先月データ!$Z:$Z,$A70,先月データ!$K:$K,K$51,先月データ!$A:$A,"&gt;="&amp;設定!$B$3,先月データ!$A:$A,"&lt;="&amp;EOMONTH(設定!$B$3,0))/$B$44)+設定!$B$9*IF(OR(設定!$B$4="",$D$44=0),"",SUMIFS(先々月データ!$Q:$Q,先々月データ!$Z:$Z,$A70,先々月データ!$K:$K,K$51,先々月データ!$A:$A,"&gt;="&amp;設定!$B$4,先々月データ!$A:$A,"&lt;="&amp;EOMONTH(設定!$B$4,0))/$D$44))/(設定!$B$8+設定!$B$9),IF($B$44&gt;0,IF(OR(設定!$B$3="",$B$44=0),"",SUMIFS(先月データ!$Q:$Q,先月データ!$Z:$Z,$A70,先月データ!$K:$K,K$51,先月データ!$A:$A,"&gt;="&amp;設定!$B$3,先月データ!$A:$A,"&lt;="&amp;EOMONTH(設定!$B$3,0))/$B$44),IF($D$44&gt;0,IF(OR(設定!$B$4="",$D$44=0),"",SUMIFS(先々月データ!$Q:$Q,先々月データ!$Z:$Z,$A70,先々月データ!$K:$K,K$51,先々月データ!$A:$A,"&gt;="&amp;設定!$B$4,先々月データ!$A:$A,"&lt;="&amp;EOMONTH(設定!$B$4,0))/$D$44),"")))</f>
        <v/>
      </c>
      <c r="L70" s="50" t="str">
        <f aca="false">IF(AND($B$44&gt;0,$D$44&gt;0),(設定!$B$8*IF(OR(設定!$B$3="",$B$44=0),"",SUMIFS(先月データ!$Q:$Q,先月データ!$Z:$Z,$A70,先月データ!$K:$K,L$51,先月データ!$A:$A,"&gt;="&amp;設定!$B$3,先月データ!$A:$A,"&lt;="&amp;EOMONTH(設定!$B$3,0))/$B$44)+設定!$B$9*IF(OR(設定!$B$4="",$D$44=0),"",SUMIFS(先々月データ!$Q:$Q,先々月データ!$Z:$Z,$A70,先々月データ!$K:$K,L$51,先々月データ!$A:$A,"&gt;="&amp;設定!$B$4,先々月データ!$A:$A,"&lt;="&amp;EOMONTH(設定!$B$4,0))/$D$44))/(設定!$B$8+設定!$B$9),IF($B$44&gt;0,IF(OR(設定!$B$3="",$B$44=0),"",SUMIFS(先月データ!$Q:$Q,先月データ!$Z:$Z,$A70,先月データ!$K:$K,L$51,先月データ!$A:$A,"&gt;="&amp;設定!$B$3,先月データ!$A:$A,"&lt;="&amp;EOMONTH(設定!$B$3,0))/$B$44),IF($D$44&gt;0,IF(OR(設定!$B$4="",$D$44=0),"",SUMIFS(先々月データ!$Q:$Q,先々月データ!$Z:$Z,$A70,先々月データ!$K:$K,L$51,先々月データ!$A:$A,"&gt;="&amp;設定!$B$4,先々月データ!$A:$A,"&lt;="&amp;EOMONTH(設定!$B$4,0))/$D$44),"")))</f>
        <v/>
      </c>
      <c r="M70" s="50" t="str">
        <f aca="false">IF(AND($B$44&gt;0,$D$44&gt;0),(設定!$B$8*IF(OR(設定!$B$3="",$B$44=0),"",SUMIFS(先月データ!$Q:$Q,先月データ!$Z:$Z,$A70,先月データ!$K:$K,M$51,先月データ!$A:$A,"&gt;="&amp;設定!$B$3,先月データ!$A:$A,"&lt;="&amp;EOMONTH(設定!$B$3,0))/$B$44)+設定!$B$9*IF(OR(設定!$B$4="",$D$44=0),"",SUMIFS(先々月データ!$Q:$Q,先々月データ!$Z:$Z,$A70,先々月データ!$K:$K,M$51,先々月データ!$A:$A,"&gt;="&amp;設定!$B$4,先々月データ!$A:$A,"&lt;="&amp;EOMONTH(設定!$B$4,0))/$D$44))/(設定!$B$8+設定!$B$9),IF($B$44&gt;0,IF(OR(設定!$B$3="",$B$44=0),"",SUMIFS(先月データ!$Q:$Q,先月データ!$Z:$Z,$A70,先月データ!$K:$K,M$51,先月データ!$A:$A,"&gt;="&amp;設定!$B$3,先月データ!$A:$A,"&lt;="&amp;EOMONTH(設定!$B$3,0))/$B$44),IF($D$44&gt;0,IF(OR(設定!$B$4="",$D$44=0),"",SUMIFS(先々月データ!$Q:$Q,先々月データ!$Z:$Z,$A70,先々月データ!$K:$K,M$51,先々月データ!$A:$A,"&gt;="&amp;設定!$B$4,先々月データ!$A:$A,"&lt;="&amp;EOMONTH(設定!$B$4,0))/$D$44),"")))</f>
        <v/>
      </c>
      <c r="N70" s="50" t="str">
        <f aca="false">IF(AND($B$44&gt;0,$D$44&gt;0),(設定!$B$8*IF(OR(設定!$B$3="",$B$44=0),"",SUMIFS(先月データ!$Q:$Q,先月データ!$Z:$Z,$A70,先月データ!$K:$K,N$51,先月データ!$A:$A,"&gt;="&amp;設定!$B$3,先月データ!$A:$A,"&lt;="&amp;EOMONTH(設定!$B$3,0))/$B$44)+設定!$B$9*IF(OR(設定!$B$4="",$D$44=0),"",SUMIFS(先々月データ!$Q:$Q,先々月データ!$Z:$Z,$A70,先々月データ!$K:$K,N$51,先々月データ!$A:$A,"&gt;="&amp;設定!$B$4,先々月データ!$A:$A,"&lt;="&amp;EOMONTH(設定!$B$4,0))/$D$44))/(設定!$B$8+設定!$B$9),IF($B$44&gt;0,IF(OR(設定!$B$3="",$B$44=0),"",SUMIFS(先月データ!$Q:$Q,先月データ!$Z:$Z,$A70,先月データ!$K:$K,N$51,先月データ!$A:$A,"&gt;="&amp;設定!$B$3,先月データ!$A:$A,"&lt;="&amp;EOMONTH(設定!$B$3,0))/$B$44),IF($D$44&gt;0,IF(OR(設定!$B$4="",$D$44=0),"",SUMIFS(先々月データ!$Q:$Q,先々月データ!$Z:$Z,$A70,先々月データ!$K:$K,N$51,先々月データ!$A:$A,"&gt;="&amp;設定!$B$4,先々月データ!$A:$A,"&lt;="&amp;EOMONTH(設定!$B$4,0))/$D$44),"")))</f>
        <v/>
      </c>
      <c r="O70" s="50" t="n">
        <f aca="false">SUM(B70:N70)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2026-10-08T06:00:13Z</dcterms:created>
  <dc:creator>openpyxl</dc:creator>
  <dc:description/>
  <dc:language>en-US</dc:language>
  <cp:lastModifiedBy/>
  <dcterms:modified xsi:type="dcterms:W3CDTF">2026-10-08T06:00:15Z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
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使い方" sheetId="1" state="visible" r:id="rId3"/>
    <sheet name="予測" sheetId="2" state="visible" r:id="rId4"/>
    <sheet name="時間帯別予測" sheetId="3" state="visible" r:id="rId5"/>
    <sheet name="売上予測貼付用" sheetId="4" state="visible" r:id="rId6"/>
    <sheet name="設定" sheetId="5" state="visible" r:id="rId7"/>
    <sheet name="先月データ" sheetId="6" state="visible" r:id="rId8"/>
    <sheet name="先々月データ" sheetId="7" state="visible" r:id="rId9"/>
    <sheet name="前年当月データ" sheetId="8" state="visible" r:id="rId10"/>
    <sheet name="祝日" sheetId="9" state="visible" r:id="rId11"/>
    <sheet name="集計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8" authorId="0">
      <text>
        <r>
          <rPr>
            <sz val="10"/>
            <rFont val="WenQuanYi Zen Hei"/>
            <family val="2"/>
          </rPr>
          <t xml:space="preserve">前年当月データの</t>
        </r>
        <r>
          <rPr>
            <sz val="10"/>
            <rFont val="Arial"/>
            <family val="2"/>
          </rPr>
          <t xml:space="preserve">364</t>
        </r>
        <r>
          <rPr>
            <sz val="10"/>
            <rFont val="WenQuanYi Zen Hei"/>
            <family val="2"/>
          </rPr>
          <t xml:space="preserve">日前（同じ曜日）。祝日が絡む日・休業日は前年の値を使わず空欄になります。</t>
        </r>
      </text>
    </comment>
    <comment ref="L8" authorId="0">
      <text>
        <r>
          <rPr>
            <sz val="10"/>
            <rFont val="Arial"/>
            <family val="2"/>
          </rPr>
          <t xml:space="preserve">1.00=</t>
        </r>
        <r>
          <rPr>
            <sz val="10"/>
            <rFont val="WenQuanYi Zen Hei"/>
            <family val="2"/>
          </rPr>
          <t xml:space="preserve">補正なし。</t>
        </r>
        <r>
          <rPr>
            <sz val="10"/>
            <rFont val="Arial"/>
            <family val="2"/>
          </rPr>
          <t xml:space="preserve">1.20=2</t>
        </r>
        <r>
          <rPr>
            <sz val="10"/>
            <rFont val="WenQuanYi Zen Hei"/>
            <family val="2"/>
          </rPr>
          <t xml:space="preserve">割増、</t>
        </r>
        <r>
          <rPr>
            <sz val="10"/>
            <rFont val="Arial"/>
            <family val="2"/>
          </rPr>
          <t xml:space="preserve">0.80=2</t>
        </r>
        <r>
          <rPr>
            <sz val="10"/>
            <rFont val="WenQuanYi Zen Hei"/>
            <family val="2"/>
          </rPr>
          <t xml:space="preserve">割減。</t>
        </r>
      </text>
    </comment>
  </commentList>
</comments>
</file>

<file path=xl/sharedStrings.xml><?xml version="1.0" encoding="utf-8"?>
<sst xmlns="http://schemas.openxmlformats.org/spreadsheetml/2006/main" count="366" uniqueCount="224">
  <si>
    <t xml:space="preserve">日別客数予測ツール</t>
  </si>
  <si>
    <t xml:space="preserve">■ 毎月の使い方</t>
  </si>
  <si>
    <r>
      <rPr>
        <sz val="10"/>
        <rFont val="WenQuanYi Zen Hei"/>
        <family val="2"/>
      </rPr>
      <t xml:space="preserve">① 「先月データ」シートの</t>
    </r>
    <r>
      <rPr>
        <sz val="10"/>
        <rFont val="Meiryo UI"/>
        <family val="0"/>
        <charset val="1"/>
      </rPr>
      <t xml:space="preserve">A1</t>
    </r>
    <r>
      <rPr>
        <sz val="10"/>
        <rFont val="WenQuanYi Zen Hei"/>
        <family val="2"/>
      </rPr>
      <t xml:space="preserve">を選択 → 先月の時間帯別売上実績表（見出し行ごと）を貼り付け</t>
    </r>
  </si>
  <si>
    <r>
      <rPr>
        <sz val="10"/>
        <rFont val="WenQuanYi Zen Hei"/>
        <family val="2"/>
      </rPr>
      <t xml:space="preserve">② 「先々月データ」シートの</t>
    </r>
    <r>
      <rPr>
        <sz val="10"/>
        <rFont val="Meiryo UI"/>
        <family val="0"/>
        <charset val="1"/>
      </rPr>
      <t xml:space="preserve">A1</t>
    </r>
    <r>
      <rPr>
        <sz val="10"/>
        <rFont val="WenQuanYi Zen Hei"/>
        <family val="2"/>
      </rPr>
      <t xml:space="preserve">に先々月分を貼り付け</t>
    </r>
  </si>
  <si>
    <r>
      <rPr>
        <sz val="10"/>
        <rFont val="WenQuanYi Zen Hei"/>
        <family val="2"/>
      </rPr>
      <t xml:space="preserve">③ （推奨）「前年当月データ」シートの</t>
    </r>
    <r>
      <rPr>
        <sz val="10"/>
        <rFont val="Meiryo UI"/>
        <family val="0"/>
        <charset val="1"/>
      </rPr>
      <t xml:space="preserve">A1</t>
    </r>
    <r>
      <rPr>
        <sz val="10"/>
        <rFont val="WenQuanYi Zen Hei"/>
        <family val="2"/>
      </rPr>
      <t xml:space="preserve">に、</t>
    </r>
    <r>
      <rPr>
        <sz val="10"/>
        <rFont val="Meiryo UI"/>
        <family val="0"/>
        <charset val="1"/>
      </rPr>
      <t xml:space="preserve">1</t>
    </r>
    <r>
      <rPr>
        <sz val="10"/>
        <rFont val="WenQuanYi Zen Hei"/>
        <family val="2"/>
      </rPr>
      <t xml:space="preserve">年前の当月＋翌月</t>
    </r>
    <r>
      <rPr>
        <sz val="10"/>
        <rFont val="Meiryo UI"/>
        <family val="0"/>
        <charset val="1"/>
      </rPr>
      <t xml:space="preserve">1</t>
    </r>
    <r>
      <rPr>
        <sz val="10"/>
        <rFont val="WenQuanYi Zen Hei"/>
        <family val="2"/>
      </rPr>
      <t xml:space="preserve">日（例：当月が</t>
    </r>
    <r>
      <rPr>
        <sz val="10"/>
        <rFont val="Meiryo UI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Meiryo UI"/>
        <family val="0"/>
        <charset val="1"/>
      </rPr>
      <t xml:space="preserve">10</t>
    </r>
    <r>
      <rPr>
        <sz val="10"/>
        <rFont val="WenQuanYi Zen Hei"/>
        <family val="2"/>
      </rPr>
      <t xml:space="preserve">月なら</t>
    </r>
    <r>
      <rPr>
        <sz val="10"/>
        <rFont val="Meiryo UI"/>
        <family val="0"/>
        <charset val="1"/>
      </rPr>
      <t xml:space="preserve">2025/10/1</t>
    </r>
    <r>
      <rPr>
        <sz val="10"/>
        <rFont val="WenQuanYi Zen Hei"/>
        <family val="2"/>
      </rPr>
      <t xml:space="preserve">〜</t>
    </r>
    <r>
      <rPr>
        <sz val="10"/>
        <rFont val="Meiryo UI"/>
        <family val="0"/>
        <charset val="1"/>
      </rPr>
      <t xml:space="preserve">11/1</t>
    </r>
    <r>
      <rPr>
        <sz val="10"/>
        <rFont val="WenQuanYi Zen Hei"/>
        <family val="2"/>
      </rPr>
      <t xml:space="preserve">）を貼り付け</t>
    </r>
  </si>
  <si>
    <r>
      <rPr>
        <sz val="10"/>
        <rFont val="WenQuanYi Zen Hei"/>
        <family val="2"/>
      </rPr>
      <t xml:space="preserve">   ※ 貼り付け前に、前回のデータを </t>
    </r>
    <r>
      <rPr>
        <sz val="10"/>
        <rFont val="Meiryo UI"/>
        <family val="0"/>
        <charset val="1"/>
      </rPr>
      <t xml:space="preserve">A</t>
    </r>
    <r>
      <rPr>
        <sz val="10"/>
        <rFont val="WenQuanYi Zen Hei"/>
        <family val="2"/>
      </rPr>
      <t xml:space="preserve">〜</t>
    </r>
    <r>
      <rPr>
        <sz val="10"/>
        <rFont val="Meiryo UI"/>
        <family val="0"/>
        <charset val="1"/>
      </rPr>
      <t xml:space="preserve">X </t>
    </r>
    <r>
      <rPr>
        <sz val="10"/>
        <rFont val="WenQuanYi Zen Hei"/>
        <family val="2"/>
      </rPr>
      <t xml:space="preserve">列ごと削除してください（</t>
    </r>
    <r>
      <rPr>
        <sz val="10"/>
        <rFont val="Meiryo UI"/>
        <family val="0"/>
        <charset val="1"/>
      </rPr>
      <t xml:space="preserve">Z</t>
    </r>
    <r>
      <rPr>
        <sz val="10"/>
        <rFont val="WenQuanYi Zen Hei"/>
        <family val="2"/>
      </rPr>
      <t xml:space="preserve">列以降の自動計算列は消さない）</t>
    </r>
  </si>
  <si>
    <t xml:space="preserve">④ 「予測」シートで当月の営業カレンダーを確認。夏休みの平日ランチ営業・臨時休業などは黄色の「営業区分」で指定</t>
  </si>
  <si>
    <t xml:space="preserve">⑤ 必要なら「日別補正」にイベント・天候などの倍率を入力。「時間帯別予測」はシフト作成に使えます</t>
  </si>
  <si>
    <r>
      <rPr>
        <sz val="10"/>
        <rFont val="WenQuanYi Zen Hei"/>
        <family val="2"/>
      </rPr>
      <t xml:space="preserve">⑥ 「売上予測貼付用」の </t>
    </r>
    <r>
      <rPr>
        <sz val="10"/>
        <rFont val="Meiryo UI"/>
        <family val="0"/>
        <charset val="1"/>
      </rPr>
      <t xml:space="preserve">F4:M34 </t>
    </r>
    <r>
      <rPr>
        <sz val="10"/>
        <rFont val="WenQuanYi Zen Hei"/>
        <family val="2"/>
      </rPr>
      <t xml:space="preserve">をコピー →【事前】売上予測 タブの </t>
    </r>
    <r>
      <rPr>
        <sz val="10"/>
        <rFont val="Meiryo UI"/>
        <family val="0"/>
        <charset val="1"/>
      </rPr>
      <t xml:space="preserve">F4 </t>
    </r>
    <r>
      <rPr>
        <sz val="10"/>
        <rFont val="WenQuanYi Zen Hei"/>
        <family val="2"/>
      </rPr>
      <t xml:space="preserve">に「値の貼り付け」（客単価・客数が時間帯別に入ります）</t>
    </r>
  </si>
  <si>
    <t xml:space="preserve">■ 予測の考え方</t>
  </si>
  <si>
    <t xml:space="preserve">予測客数 ＝ 予測ランチ ＋ 予測ディナー（ランチとディナーを別々に予測して足す）</t>
  </si>
  <si>
    <r>
      <rPr>
        <sz val="10"/>
        <rFont val="WenQuanYi Zen Hei"/>
        <family val="2"/>
      </rPr>
      <t xml:space="preserve">・営業区分：「設定」の平日／土日祝のランチ営業（あり・なし）で店舗ごとの標準を決め、日ごとの例外は「予測」シートで指定。ディナーのみの日はランチ分を</t>
    </r>
    <r>
      <rPr>
        <sz val="10"/>
        <rFont val="Meiryo UI"/>
        <family val="0"/>
        <charset val="1"/>
      </rPr>
      <t xml:space="preserve">0</t>
    </r>
    <r>
      <rPr>
        <sz val="10"/>
        <rFont val="WenQuanYi Zen Hei"/>
        <family val="2"/>
      </rPr>
      <t xml:space="preserve">にする</t>
    </r>
  </si>
  <si>
    <r>
      <rPr>
        <sz val="10"/>
        <rFont val="WenQuanYi Zen Hei"/>
        <family val="2"/>
      </rPr>
      <t xml:space="preserve">・ディナー基準：先月・先々月の日タイプ別（月〜日＋祝）のディナー平均を重み </t>
    </r>
    <r>
      <rPr>
        <sz val="10"/>
        <rFont val="Meiryo UI"/>
        <family val="0"/>
        <charset val="1"/>
      </rPr>
      <t xml:space="preserve">0.6:0.4 </t>
    </r>
    <r>
      <rPr>
        <sz val="10"/>
        <rFont val="WenQuanYi Zen Hei"/>
        <family val="2"/>
      </rPr>
      <t xml:space="preserve">で加重平均（客数</t>
    </r>
    <r>
      <rPr>
        <sz val="10"/>
        <rFont val="Meiryo UI"/>
        <family val="0"/>
        <charset val="1"/>
      </rPr>
      <t xml:space="preserve">0</t>
    </r>
    <r>
      <rPr>
        <sz val="10"/>
        <rFont val="WenQuanYi Zen Hei"/>
        <family val="2"/>
      </rPr>
      <t xml:space="preserve">の休業日は除外）</t>
    </r>
  </si>
  <si>
    <t xml:space="preserve">・ランチ基準：同じく、実際にランチ営業した日だけの平均（夏休み・お盆の平日ランチが平常月の平日に混ざらない）</t>
  </si>
  <si>
    <r>
      <rPr>
        <sz val="10"/>
        <rFont val="WenQuanYi Zen Hei"/>
        <family val="2"/>
      </rPr>
      <t xml:space="preserve">・季節係数：前年当月データがあれば『前年当月 </t>
    </r>
    <r>
      <rPr>
        <sz val="10"/>
        <rFont val="Meiryo UI"/>
        <family val="0"/>
        <charset val="1"/>
      </rPr>
      <t xml:space="preserve">÷ </t>
    </r>
    <r>
      <rPr>
        <sz val="10"/>
        <rFont val="WenQuanYi Zen Hei"/>
        <family val="2"/>
      </rPr>
      <t xml:space="preserve">前年の先月・先々月』の曜日別ディナー平均の比で自動計算（祝日除く）</t>
    </r>
  </si>
  <si>
    <r>
      <rPr>
        <sz val="10"/>
        <rFont val="WenQuanYi Zen Hei"/>
        <family val="2"/>
      </rPr>
      <t xml:space="preserve">・前年同曜日：前年当月データの</t>
    </r>
    <r>
      <rPr>
        <sz val="10"/>
        <rFont val="Meiryo UI"/>
        <family val="0"/>
        <charset val="1"/>
      </rPr>
      <t xml:space="preserve">364</t>
    </r>
    <r>
      <rPr>
        <sz val="10"/>
        <rFont val="WenQuanYi Zen Hei"/>
        <family val="2"/>
      </rPr>
      <t xml:space="preserve">日前（同じ曜日）の実績 </t>
    </r>
    <r>
      <rPr>
        <sz val="10"/>
        <rFont val="Meiryo UI"/>
        <family val="0"/>
        <charset val="1"/>
      </rPr>
      <t xml:space="preserve">× </t>
    </r>
    <r>
      <rPr>
        <sz val="10"/>
        <rFont val="WenQuanYi Zen Hei"/>
        <family val="2"/>
      </rPr>
      <t xml:space="preserve">直近の前年比 を、直近ベースと </t>
    </r>
    <r>
      <rPr>
        <sz val="10"/>
        <rFont val="Meiryo UI"/>
        <family val="0"/>
        <charset val="1"/>
      </rPr>
      <t xml:space="preserve">0.5:0.5 </t>
    </r>
    <r>
      <rPr>
        <sz val="10"/>
        <rFont val="WenQuanYi Zen Hei"/>
        <family val="2"/>
      </rPr>
      <t xml:space="preserve">でブレンド</t>
    </r>
  </si>
  <si>
    <t xml:space="preserve">   祝日・祝前後のずれを避けるため、当日または前年の該当日が祝日の日は前年の値を使わない</t>
  </si>
  <si>
    <t xml:space="preserve">・トレンド係数：販促・値上げ・競合出店など全体の上げ下げを手入力　・日別補正：その日だけの要因</t>
  </si>
  <si>
    <t xml:space="preserve">・時間帯別：予測ランチ／ディナーを、同じ日タイプの時刻別構成比で配分</t>
  </si>
  <si>
    <r>
      <rPr>
        <sz val="10"/>
        <rFont val="WenQuanYi Zen Hei"/>
        <family val="2"/>
      </rPr>
      <t xml:space="preserve">・時間帯別の客数：時間帯別予測を「設定」の時刻→時間帯対応表（ランチ</t>
    </r>
    <r>
      <rPr>
        <sz val="10"/>
        <rFont val="Meiryo UI"/>
        <family val="0"/>
        <charset val="1"/>
      </rPr>
      <t xml:space="preserve">11</t>
    </r>
    <r>
      <rPr>
        <sz val="10"/>
        <rFont val="WenQuanYi Zen Hei"/>
        <family val="2"/>
      </rPr>
      <t xml:space="preserve">〜</t>
    </r>
    <r>
      <rPr>
        <sz val="10"/>
        <rFont val="Meiryo UI"/>
        <family val="0"/>
        <charset val="1"/>
      </rPr>
      <t xml:space="preserve">14</t>
    </r>
    <r>
      <rPr>
        <sz val="10"/>
        <rFont val="WenQuanYi Zen Hei"/>
        <family val="2"/>
      </rPr>
      <t xml:space="preserve">時／アイドル</t>
    </r>
    <r>
      <rPr>
        <sz val="10"/>
        <rFont val="Meiryo UI"/>
        <family val="0"/>
        <charset val="1"/>
      </rPr>
      <t xml:space="preserve">15</t>
    </r>
    <r>
      <rPr>
        <sz val="10"/>
        <rFont val="WenQuanYi Zen Hei"/>
        <family val="2"/>
      </rPr>
      <t xml:space="preserve">〜</t>
    </r>
    <r>
      <rPr>
        <sz val="10"/>
        <rFont val="Meiryo UI"/>
        <family val="0"/>
        <charset val="1"/>
      </rPr>
      <t xml:space="preserve">17</t>
    </r>
    <r>
      <rPr>
        <sz val="10"/>
        <rFont val="WenQuanYi Zen Hei"/>
        <family val="2"/>
      </rPr>
      <t xml:space="preserve">時／ディナー</t>
    </r>
    <r>
      <rPr>
        <sz val="10"/>
        <rFont val="Meiryo UI"/>
        <family val="0"/>
        <charset val="1"/>
      </rPr>
      <t xml:space="preserve">18</t>
    </r>
    <r>
      <rPr>
        <sz val="10"/>
        <rFont val="WenQuanYi Zen Hei"/>
        <family val="2"/>
      </rPr>
      <t xml:space="preserve">〜</t>
    </r>
    <r>
      <rPr>
        <sz val="10"/>
        <rFont val="Meiryo UI"/>
        <family val="0"/>
        <charset val="1"/>
      </rPr>
      <t xml:space="preserve">21</t>
    </r>
    <r>
      <rPr>
        <sz val="10"/>
        <rFont val="WenQuanYi Zen Hei"/>
        <family val="2"/>
      </rPr>
      <t xml:space="preserve">時／ナイト</t>
    </r>
    <r>
      <rPr>
        <sz val="10"/>
        <rFont val="Meiryo UI"/>
        <family val="0"/>
        <charset val="1"/>
      </rPr>
      <t xml:space="preserve">22</t>
    </r>
    <r>
      <rPr>
        <sz val="10"/>
        <rFont val="WenQuanYi Zen Hei"/>
        <family val="2"/>
      </rPr>
      <t xml:space="preserve">時〜）で合計</t>
    </r>
  </si>
  <si>
    <t xml:space="preserve">■ 客単価の予測（客数と同じ考え方）</t>
  </si>
  <si>
    <r>
      <rPr>
        <b val="true"/>
        <sz val="10"/>
        <rFont val="WenQuanYi Zen Hei"/>
        <family val="2"/>
      </rPr>
      <t xml:space="preserve">予測客単価（時間帯別）＝ 日タイプ</t>
    </r>
    <r>
      <rPr>
        <b val="true"/>
        <sz val="10"/>
        <rFont val="Meiryo UI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時間帯の基準客単価 </t>
    </r>
    <r>
      <rPr>
        <b val="true"/>
        <sz val="10"/>
        <rFont val="Meiryo UI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客単価の季節係数 </t>
    </r>
    <r>
      <rPr>
        <b val="true"/>
        <sz val="10"/>
        <rFont val="Meiryo UI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客単価トレンド係数</t>
    </r>
  </si>
  <si>
    <r>
      <rPr>
        <sz val="10"/>
        <rFont val="WenQuanYi Zen Hei"/>
        <family val="2"/>
      </rPr>
      <t xml:space="preserve">・基準客単価：先月・先々月の『売上</t>
    </r>
    <r>
      <rPr>
        <sz val="10"/>
        <rFont val="Meiryo UI"/>
        <family val="0"/>
        <charset val="1"/>
      </rPr>
      <t xml:space="preserve">÷</t>
    </r>
    <r>
      <rPr>
        <sz val="10"/>
        <rFont val="WenQuanYi Zen Hei"/>
        <family val="2"/>
      </rPr>
      <t xml:space="preserve">客数』を日タイプ（月〜日＋祝）</t>
    </r>
    <r>
      <rPr>
        <sz val="10"/>
        <rFont val="Meiryo UI"/>
        <family val="0"/>
        <charset val="1"/>
      </rPr>
      <t xml:space="preserve">×</t>
    </r>
    <r>
      <rPr>
        <sz val="10"/>
        <rFont val="WenQuanYi Zen Hei"/>
        <family val="2"/>
      </rPr>
      <t xml:space="preserve">時間帯ごとに計算し、</t>
    </r>
    <r>
      <rPr>
        <sz val="10"/>
        <rFont val="Meiryo UI"/>
        <family val="0"/>
        <charset val="1"/>
      </rPr>
      <t xml:space="preserve">0.6:0.4 </t>
    </r>
    <r>
      <rPr>
        <sz val="10"/>
        <rFont val="WenQuanYi Zen Hei"/>
        <family val="2"/>
      </rPr>
      <t xml:space="preserve">で加重平均</t>
    </r>
  </si>
  <si>
    <t xml:space="preserve">   客数が少ない時間帯（最低客数未満）は単価がぶれるので、全曜日合算の時間帯単価 → 日タイプ全体の単価で代用</t>
  </si>
  <si>
    <r>
      <rPr>
        <sz val="10"/>
        <rFont val="WenQuanYi Zen Hei"/>
        <family val="2"/>
      </rPr>
      <t xml:space="preserve">・客単価の季節係数：前年当月の客単価 </t>
    </r>
    <r>
      <rPr>
        <sz val="10"/>
        <rFont val="Meiryo UI"/>
        <family val="0"/>
        <charset val="1"/>
      </rPr>
      <t xml:space="preserve">÷ </t>
    </r>
    <r>
      <rPr>
        <sz val="10"/>
        <rFont val="WenQuanYi Zen Hei"/>
        <family val="2"/>
      </rPr>
      <t xml:space="preserve">前年の先月・先々月の客単価（データの「売上前年」「客数前年」から計算）</t>
    </r>
  </si>
  <si>
    <t xml:space="preserve">・客単価トレンド係数：値上げ・メニュー改定などを手入力</t>
  </si>
  <si>
    <r>
      <rPr>
        <sz val="10"/>
        <rFont val="WenQuanYi Zen Hei"/>
        <family val="2"/>
      </rPr>
      <t xml:space="preserve">・予測売上：時間帯別の 予測客数 </t>
    </r>
    <r>
      <rPr>
        <sz val="10"/>
        <rFont val="Meiryo UI"/>
        <family val="0"/>
        <charset val="1"/>
      </rPr>
      <t xml:space="preserve">× </t>
    </r>
    <r>
      <rPr>
        <sz val="10"/>
        <rFont val="WenQuanYi Zen Hei"/>
        <family val="2"/>
      </rPr>
      <t xml:space="preserve">予測客単価 の合計（日別の客単価はそこから逆算）</t>
    </r>
  </si>
  <si>
    <t xml:space="preserve">■ シート一覧</t>
  </si>
  <si>
    <t xml:space="preserve">予測／時間帯別予測：結果　売上予測貼付用：【事前】売上予測への貼り付け元　設定：営業時間・重み・係数（黄色が入力欄）　各データ：貼り付け先　祝日：祝日・特異日リスト　集計：内部計算</t>
  </si>
  <si>
    <t xml:space="preserve">■ 色の意味</t>
  </si>
  <si>
    <t xml:space="preserve">黄色背景・青字＝入力してよいセル　／　それ以外＝自動計算（触らない）</t>
  </si>
  <si>
    <t xml:space="preserve">月間予測客数</t>
  </si>
  <si>
    <t xml:space="preserve">黄色の列だけ入力します：</t>
  </si>
  <si>
    <t xml:space="preserve">月間予測売上</t>
  </si>
  <si>
    <t xml:space="preserve">・営業区分（変更時のみ）… 通常は空欄＝「設定」のランチ営業あり／なしに従う。夏休みの平日ランチ営業・臨時休業などはここで指定</t>
  </si>
  <si>
    <t xml:space="preserve">先月実績客数</t>
  </si>
  <si>
    <r>
      <rPr>
        <sz val="9"/>
        <color rgb="FF595959"/>
        <rFont val="WenQuanYi Zen Hei"/>
        <family val="2"/>
      </rPr>
      <t xml:space="preserve">・日別補正 … イベント・天候・販促などの倍率（例：雨予報</t>
    </r>
    <r>
      <rPr>
        <sz val="9"/>
        <color rgb="FF595959"/>
        <rFont val="Meiryo UI"/>
        <family val="0"/>
        <charset val="1"/>
      </rPr>
      <t xml:space="preserve">0.9</t>
    </r>
    <r>
      <rPr>
        <sz val="9"/>
        <color rgb="FF595959"/>
        <rFont val="WenQuanYi Zen Hei"/>
        <family val="2"/>
      </rPr>
      <t xml:space="preserve">、地域祭り</t>
    </r>
    <r>
      <rPr>
        <sz val="9"/>
        <color rgb="FF595959"/>
        <rFont val="Meiryo UI"/>
        <family val="0"/>
        <charset val="1"/>
      </rPr>
      <t xml:space="preserve">1.2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</si>
  <si>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先月比</t>
    </r>
    <r>
      <rPr>
        <b val="true"/>
        <sz val="10"/>
        <rFont val="Meiryo U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客数</t>
    </r>
    <r>
      <rPr>
        <b val="true"/>
        <sz val="10"/>
        <rFont val="Meiryo UI"/>
        <family val="0"/>
        <charset val="1"/>
      </rPr>
      <t xml:space="preserve">)</t>
    </r>
  </si>
  <si>
    <t xml:space="preserve">予測客単価</t>
  </si>
  <si>
    <t xml:space="preserve">日付</t>
  </si>
  <si>
    <t xml:space="preserve">曜日</t>
  </si>
  <si>
    <t xml:space="preserve">日タイプ</t>
  </si>
  <si>
    <r>
      <rPr>
        <b val="true"/>
        <sz val="10"/>
        <color rgb="FFFFFFFF"/>
        <rFont val="WenQuanYi Zen Hei"/>
        <family val="2"/>
      </rPr>
      <t xml:space="preserve">営業区分
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変更時のみ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</si>
  <si>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適用
営業区分</t>
  </si>
  <si>
    <t xml:space="preserve">ランチ
基準</t>
  </si>
  <si>
    <t xml:space="preserve">ディナー
基準</t>
  </si>
  <si>
    <t xml:space="preserve">前年
同曜日</t>
  </si>
  <si>
    <t xml:space="preserve">前年
客数</t>
  </si>
  <si>
    <t xml:space="preserve">季節
係数</t>
  </si>
  <si>
    <t xml:space="preserve">トレンド
係数</t>
  </si>
  <si>
    <t xml:space="preserve">日別
補正</t>
  </si>
  <si>
    <t xml:space="preserve">予測
ランチ</t>
  </si>
  <si>
    <t xml:space="preserve">予測
ディナー</t>
  </si>
  <si>
    <t xml:space="preserve">予測客数</t>
  </si>
  <si>
    <t xml:space="preserve">予測売上</t>
  </si>
  <si>
    <t xml:space="preserve">予測
客単価</t>
  </si>
  <si>
    <t xml:space="preserve">メモ</t>
  </si>
  <si>
    <r>
      <rPr>
        <sz val="9"/>
        <color rgb="FF808080"/>
        <rFont val="Meiryo UI"/>
        <family val="0"/>
        <charset val="1"/>
      </rPr>
      <t xml:space="preserve">(</t>
    </r>
    <r>
      <rPr>
        <sz val="9"/>
        <color rgb="FF808080"/>
        <rFont val="WenQuanYi Zen Hei"/>
        <family val="2"/>
      </rPr>
      <t xml:space="preserve">計算用</t>
    </r>
    <r>
      <rPr>
        <sz val="9"/>
        <color rgb="FF808080"/>
        <rFont val="Meiryo UI"/>
        <family val="0"/>
        <charset val="1"/>
      </rPr>
      <t xml:space="preserve">)</t>
    </r>
    <r>
      <rPr>
        <sz val="9"/>
        <color rgb="FF808080"/>
        <rFont val="WenQuanYi Zen Hei"/>
        <family val="2"/>
      </rPr>
      <t xml:space="preserve">前年ランチ</t>
    </r>
  </si>
  <si>
    <r>
      <rPr>
        <sz val="9"/>
        <color rgb="FF808080"/>
        <rFont val="Meiryo UI"/>
        <family val="0"/>
        <charset val="1"/>
      </rPr>
      <t xml:space="preserve">(</t>
    </r>
    <r>
      <rPr>
        <sz val="9"/>
        <color rgb="FF808080"/>
        <rFont val="WenQuanYi Zen Hei"/>
        <family val="2"/>
      </rPr>
      <t xml:space="preserve">計算用</t>
    </r>
    <r>
      <rPr>
        <sz val="9"/>
        <color rgb="FF808080"/>
        <rFont val="Meiryo UI"/>
        <family val="0"/>
        <charset val="1"/>
      </rPr>
      <t xml:space="preserve">)</t>
    </r>
    <r>
      <rPr>
        <sz val="9"/>
        <color rgb="FF808080"/>
        <rFont val="WenQuanYi Zen Hei"/>
        <family val="2"/>
      </rPr>
      <t xml:space="preserve">前年ディナー</t>
    </r>
  </si>
  <si>
    <r>
      <rPr>
        <sz val="9"/>
        <color rgb="FF808080"/>
        <rFont val="Meiryo UI"/>
        <family val="0"/>
        <charset val="1"/>
      </rPr>
      <t xml:space="preserve">(</t>
    </r>
    <r>
      <rPr>
        <sz val="9"/>
        <color rgb="FF808080"/>
        <rFont val="WenQuanYi Zen Hei"/>
        <family val="2"/>
      </rPr>
      <t xml:space="preserve">計算用</t>
    </r>
    <r>
      <rPr>
        <sz val="9"/>
        <color rgb="FF808080"/>
        <rFont val="Meiryo UI"/>
        <family val="0"/>
        <charset val="1"/>
      </rPr>
      <t xml:space="preserve">)</t>
    </r>
    <r>
      <rPr>
        <sz val="9"/>
        <color rgb="FF808080"/>
        <rFont val="WenQuanYi Zen Hei"/>
        <family val="2"/>
      </rPr>
      <t xml:space="preserve">前年タイプ</t>
    </r>
  </si>
  <si>
    <r>
      <rPr>
        <sz val="9"/>
        <color rgb="FF808080"/>
        <rFont val="Meiryo UI"/>
        <family val="0"/>
        <charset val="1"/>
      </rPr>
      <t xml:space="preserve">(</t>
    </r>
    <r>
      <rPr>
        <sz val="9"/>
        <color rgb="FF808080"/>
        <rFont val="WenQuanYi Zen Hei"/>
        <family val="2"/>
      </rPr>
      <t xml:space="preserve">計算用</t>
    </r>
    <r>
      <rPr>
        <sz val="9"/>
        <color rgb="FF808080"/>
        <rFont val="Meiryo UI"/>
        <family val="0"/>
        <charset val="1"/>
      </rPr>
      <t xml:space="preserve">)</t>
    </r>
    <r>
      <rPr>
        <sz val="9"/>
        <color rgb="FF808080"/>
        <rFont val="WenQuanYi Zen Hei"/>
        <family val="2"/>
      </rPr>
      <t xml:space="preserve">前年を使う</t>
    </r>
  </si>
  <si>
    <t xml:space="preserve">合計</t>
  </si>
  <si>
    <r>
      <rPr>
        <sz val="9"/>
        <color rgb="FF595959"/>
        <rFont val="WenQuanYi Zen Hei"/>
        <family val="2"/>
      </rPr>
      <t xml:space="preserve">予測ランチ・予測ディナーを、同じ日タイプの時刻別構成比で配分。ディナーのみの日は夜営業開始前が</t>
    </r>
    <r>
      <rPr>
        <sz val="9"/>
        <color rgb="FF595959"/>
        <rFont val="Meiryo UI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になります。小数は四捨五入表示のため合計が</t>
    </r>
    <r>
      <rPr>
        <sz val="9"/>
        <color rgb="FF595959"/>
        <rFont val="Meiryo UI"/>
        <family val="0"/>
        <charset val="1"/>
      </rPr>
      <t xml:space="preserve">±</t>
    </r>
    <r>
      <rPr>
        <sz val="9"/>
        <color rgb="FF595959"/>
        <rFont val="WenQuanYi Zen Hei"/>
        <family val="2"/>
      </rPr>
      <t xml:space="preserve">数名ずれることがあります。</t>
    </r>
  </si>
  <si>
    <t xml:space="preserve">時間帯→</t>
  </si>
  <si>
    <t xml:space="preserve">タイプ</t>
  </si>
  <si>
    <t xml:space="preserve">営業区分</t>
  </si>
  <si>
    <t xml:space="preserve">日予測</t>
  </si>
  <si>
    <t xml:space="preserve">日</t>
  </si>
  <si>
    <t xml:space="preserve">前年</t>
  </si>
  <si>
    <t xml:space="preserve">曜</t>
  </si>
  <si>
    <t xml:space="preserve">客単価</t>
  </si>
  <si>
    <t xml:space="preserve">時間帯別客数</t>
  </si>
  <si>
    <t xml:space="preserve">時間帯別売上</t>
  </si>
  <si>
    <t xml:space="preserve">客数</t>
  </si>
  <si>
    <t xml:space="preserve">売上</t>
  </si>
  <si>
    <t xml:space="preserve">【使い方】</t>
  </si>
  <si>
    <t xml:space="preserve">ランチ</t>
  </si>
  <si>
    <t xml:space="preserve">アイドル</t>
  </si>
  <si>
    <t xml:space="preserve">ディナー</t>
  </si>
  <si>
    <t xml:space="preserve">ナイト</t>
  </si>
  <si>
    <r>
      <rPr>
        <sz val="9"/>
        <color rgb="FF595959"/>
        <rFont val="WenQuanYi Zen Hei"/>
        <family val="2"/>
      </rPr>
      <t xml:space="preserve">① このシートの </t>
    </r>
    <r>
      <rPr>
        <sz val="9"/>
        <color rgb="FF595959"/>
        <rFont val="Meiryo UI"/>
        <family val="0"/>
        <charset val="1"/>
      </rPr>
      <t xml:space="preserve">F4:M34</t>
    </r>
    <r>
      <rPr>
        <sz val="9"/>
        <color rgb="FF595959"/>
        <rFont val="WenQuanYi Zen Hei"/>
        <family val="2"/>
      </rPr>
      <t xml:space="preserve">（客単価</t>
    </r>
    <r>
      <rPr>
        <sz val="9"/>
        <color rgb="FF595959"/>
        <rFont val="Meiryo UI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列＋客数</t>
    </r>
    <r>
      <rPr>
        <sz val="9"/>
        <color rgb="FF595959"/>
        <rFont val="Meiryo UI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列）をコピー</t>
    </r>
  </si>
  <si>
    <r>
      <rPr>
        <sz val="9"/>
        <color rgb="FF595959"/>
        <rFont val="WenQuanYi Zen Hei"/>
        <family val="2"/>
      </rPr>
      <t xml:space="preserve">② 【事前】売上予測 タブの </t>
    </r>
    <r>
      <rPr>
        <sz val="9"/>
        <color rgb="FF595959"/>
        <rFont val="Meiryo UI"/>
        <family val="0"/>
        <charset val="1"/>
      </rPr>
      <t xml:space="preserve">F4 </t>
    </r>
    <r>
      <rPr>
        <sz val="9"/>
        <color rgb="FF595959"/>
        <rFont val="WenQuanYi Zen Hei"/>
        <family val="2"/>
      </rPr>
      <t xml:space="preserve">を選択 → 右クリック →「値の貼り付け」</t>
    </r>
  </si>
  <si>
    <r>
      <rPr>
        <sz val="9"/>
        <color rgb="FF595959"/>
        <rFont val="WenQuanYi Zen Hei"/>
        <family val="2"/>
      </rPr>
      <t xml:space="preserve">③ 前年欄も使う場合は </t>
    </r>
    <r>
      <rPr>
        <sz val="9"/>
        <color rgb="FF595959"/>
        <rFont val="Meiryo UI"/>
        <family val="0"/>
        <charset val="1"/>
      </rPr>
      <t xml:space="preserve">A4:C34 </t>
    </r>
    <r>
      <rPr>
        <sz val="9"/>
        <color rgb="FF595959"/>
        <rFont val="WenQuanYi Zen Hei"/>
        <family val="2"/>
      </rPr>
      <t xml:space="preserve">を同様に </t>
    </r>
    <r>
      <rPr>
        <sz val="9"/>
        <color rgb="FF595959"/>
        <rFont val="Meiryo UI"/>
        <family val="0"/>
        <charset val="1"/>
      </rPr>
      <t xml:space="preserve">A4 </t>
    </r>
    <r>
      <rPr>
        <sz val="9"/>
        <color rgb="FF595959"/>
        <rFont val="WenQuanYi Zen Hei"/>
        <family val="2"/>
      </rPr>
      <t xml:space="preserve">へ（前年当月データ貼付時のみ）</t>
    </r>
  </si>
  <si>
    <r>
      <rPr>
        <sz val="9"/>
        <color rgb="FF595959"/>
        <rFont val="WenQuanYi Zen Hei"/>
        <family val="2"/>
      </rPr>
      <t xml:space="preserve">※ 行・列の位置は【事前】売上予測と同じです（</t>
    </r>
    <r>
      <rPr>
        <sz val="9"/>
        <color rgb="FF595959"/>
        <rFont val="Meiryo UI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行目＝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日）</t>
    </r>
  </si>
  <si>
    <r>
      <rPr>
        <sz val="9"/>
        <color rgb="FF595959"/>
        <rFont val="WenQuanYi Zen Hei"/>
        <family val="2"/>
      </rPr>
      <t xml:space="preserve">※ 客単価は</t>
    </r>
    <r>
      <rPr>
        <sz val="9"/>
        <color rgb="FF595959"/>
        <rFont val="Meiryo UI"/>
        <family val="0"/>
        <charset val="1"/>
      </rPr>
      <t xml:space="preserve">10</t>
    </r>
    <r>
      <rPr>
        <sz val="9"/>
        <color rgb="FF595959"/>
        <rFont val="WenQuanYi Zen Hei"/>
        <family val="2"/>
      </rPr>
      <t xml:space="preserve">円単位に丸め。客数は時間帯ごとに四捨五入し、端数差はディナーで調整（合計＝予測客数）</t>
    </r>
  </si>
  <si>
    <t xml:space="preserve">※ 時刻→時間帯の対応は「設定」シートの表で変更できます</t>
  </si>
  <si>
    <r>
      <rPr>
        <sz val="9"/>
        <color rgb="FF595959"/>
        <rFont val="WenQuanYi Zen Hei"/>
        <family val="2"/>
      </rPr>
      <t xml:space="preserve">※ 客数が</t>
    </r>
    <r>
      <rPr>
        <sz val="9"/>
        <color rgb="FF595959"/>
        <rFont val="Meiryo UI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の時間帯（平日ランチなど営業しない時間帯）は客単価も</t>
    </r>
    <r>
      <rPr>
        <sz val="9"/>
        <color rgb="FF595959"/>
        <rFont val="Meiryo UI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にしています</t>
    </r>
  </si>
  <si>
    <t xml:space="preserve">設定</t>
  </si>
  <si>
    <t xml:space="preserve">▼ 時刻→時間帯の対応表（【事前】売上予測の列分けに使用・変更可）</t>
  </si>
  <si>
    <t xml:space="preserve">▼ 対象月</t>
  </si>
  <si>
    <t xml:space="preserve">時刻</t>
  </si>
  <si>
    <t xml:space="preserve">時間帯</t>
  </si>
  <si>
    <t xml:space="preserve">先月（データから自動判定）</t>
  </si>
  <si>
    <r>
      <rPr>
        <sz val="9"/>
        <color rgb="FF595959"/>
        <rFont val="WenQuanYi Zen Hei"/>
        <family val="2"/>
      </rPr>
      <t xml:space="preserve">先月データの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行目の日付から自動判定</t>
    </r>
  </si>
  <si>
    <t xml:space="preserve">先々月（データから自動判定）</t>
  </si>
  <si>
    <r>
      <rPr>
        <sz val="9"/>
        <color rgb="FF595959"/>
        <rFont val="WenQuanYi Zen Hei"/>
        <family val="2"/>
      </rPr>
      <t xml:space="preserve">先々月データの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行目の日付から自動判定</t>
    </r>
  </si>
  <si>
    <t xml:space="preserve">前年当月（データから自動判定）</t>
  </si>
  <si>
    <r>
      <rPr>
        <sz val="9"/>
        <color rgb="FF595959"/>
        <rFont val="WenQuanYi Zen Hei"/>
        <family val="2"/>
      </rPr>
      <t xml:space="preserve">前年当月データの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行目の日付から自動判定（例：当月が</t>
    </r>
    <r>
      <rPr>
        <sz val="9"/>
        <color rgb="FF595959"/>
        <rFont val="Meiryo UI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年</t>
    </r>
    <r>
      <rPr>
        <sz val="9"/>
        <color rgb="FF595959"/>
        <rFont val="Meiryo UI"/>
        <family val="0"/>
        <charset val="1"/>
      </rPr>
      <t xml:space="preserve">10</t>
    </r>
    <r>
      <rPr>
        <sz val="9"/>
        <color rgb="FF595959"/>
        <rFont val="WenQuanYi Zen Hei"/>
        <family val="2"/>
      </rPr>
      <t xml:space="preserve">月なら</t>
    </r>
    <r>
      <rPr>
        <sz val="9"/>
        <color rgb="FF595959"/>
        <rFont val="Meiryo UI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年</t>
    </r>
    <r>
      <rPr>
        <sz val="9"/>
        <color rgb="FF595959"/>
        <rFont val="Meiryo UI"/>
        <family val="0"/>
        <charset val="1"/>
      </rPr>
      <t xml:space="preserve">10</t>
    </r>
    <r>
      <rPr>
        <sz val="9"/>
        <color rgb="FF595959"/>
        <rFont val="WenQuanYi Zen Hei"/>
        <family val="2"/>
      </rPr>
      <t xml:space="preserve">月を指定して出力）</t>
    </r>
  </si>
  <si>
    <t xml:space="preserve">予測する月（当月）</t>
  </si>
  <si>
    <r>
      <rPr>
        <sz val="9"/>
        <color rgb="FF595959"/>
        <rFont val="WenQuanYi Zen Hei"/>
        <family val="2"/>
      </rPr>
      <t xml:space="preserve">通常は先月の翌月（自動）。別の月にしたい場合は </t>
    </r>
    <r>
      <rPr>
        <sz val="9"/>
        <color rgb="FF595959"/>
        <rFont val="Meiryo UI"/>
        <family val="0"/>
        <charset val="1"/>
      </rPr>
      <t xml:space="preserve">2026/11/1 </t>
    </r>
    <r>
      <rPr>
        <sz val="9"/>
        <color rgb="FF595959"/>
        <rFont val="WenQuanYi Zen Hei"/>
        <family val="2"/>
      </rPr>
      <t xml:space="preserve">のように月初日を直接入力</t>
    </r>
  </si>
  <si>
    <t xml:space="preserve">当月の日数</t>
  </si>
  <si>
    <t xml:space="preserve">▼ 営業時間</t>
  </si>
  <si>
    <t xml:space="preserve">夜営業の開始時刻</t>
  </si>
  <si>
    <t xml:space="preserve">この時刻以降をディナー、より前をランチ（昼〜夕方の通し営業を含む）として分けて計算</t>
  </si>
  <si>
    <t xml:space="preserve">平日のランチ営業</t>
  </si>
  <si>
    <t xml:space="preserve">なし</t>
  </si>
  <si>
    <t xml:space="preserve">この店舗の標準。「あり」にすると平日もランチ客数・客単価を予測（日ごとの変更は「予測」シートの営業区分で）</t>
  </si>
  <si>
    <t xml:space="preserve">土日祝のランチ営業</t>
  </si>
  <si>
    <t xml:space="preserve">あり</t>
  </si>
  <si>
    <t xml:space="preserve">モーニング</t>
  </si>
  <si>
    <t xml:space="preserve">ランチ営業ありと判定する客数</t>
  </si>
  <si>
    <t xml:space="preserve">過去データで、夜営業開始前の客数がこれ以上の日を「ランチ営業した日」とみなす</t>
  </si>
  <si>
    <t xml:space="preserve">▼ 重み</t>
  </si>
  <si>
    <t xml:space="preserve">先月の重み</t>
  </si>
  <si>
    <r>
      <rPr>
        <sz val="9"/>
        <color rgb="FF595959"/>
        <rFont val="WenQuanYi Zen Hei"/>
        <family val="2"/>
      </rPr>
      <t xml:space="preserve">直近ほど重視。先々月と合計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でなくても</t>
    </r>
    <r>
      <rPr>
        <sz val="9"/>
        <color rgb="FF595959"/>
        <rFont val="Meiryo UI"/>
        <family val="0"/>
        <charset val="1"/>
      </rPr>
      <t xml:space="preserve">OK</t>
    </r>
    <r>
      <rPr>
        <sz val="9"/>
        <color rgb="FF595959"/>
        <rFont val="WenQuanYi Zen Hei"/>
        <family val="2"/>
      </rPr>
      <t xml:space="preserve">（比率で按分）</t>
    </r>
  </si>
  <si>
    <t xml:space="preserve">先々月の重み</t>
  </si>
  <si>
    <r>
      <rPr>
        <b val="true"/>
        <sz val="10"/>
        <rFont val="WenQuanYi Zen Hei"/>
        <family val="2"/>
      </rPr>
      <t xml:space="preserve">前年同曜日の重み（</t>
    </r>
    <r>
      <rPr>
        <b val="true"/>
        <sz val="10"/>
        <rFont val="Meiryo UI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〜</t>
    </r>
    <r>
      <rPr>
        <b val="true"/>
        <sz val="10"/>
        <rFont val="Meiryo UI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</si>
  <si>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前年当月データがある日は「直近ベース</t>
    </r>
    <r>
      <rPr>
        <sz val="9"/>
        <color rgb="FF595959"/>
        <rFont val="Meiryo UI"/>
        <family val="0"/>
        <charset val="1"/>
      </rPr>
      <t xml:space="preserve">×(1−</t>
    </r>
    <r>
      <rPr>
        <sz val="9"/>
        <color rgb="FF595959"/>
        <rFont val="WenQuanYi Zen Hei"/>
        <family val="2"/>
      </rPr>
      <t xml:space="preserve">重み</t>
    </r>
    <r>
      <rPr>
        <sz val="9"/>
        <color rgb="FF595959"/>
        <rFont val="Meiryo UI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＋前年同曜日</t>
    </r>
    <r>
      <rPr>
        <sz val="9"/>
        <color rgb="FF595959"/>
        <rFont val="Meiryo UI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直近前年比</t>
    </r>
    <r>
      <rPr>
        <sz val="9"/>
        <color rgb="FF595959"/>
        <rFont val="Meiryo UI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重み」。</t>
    </r>
    <r>
      <rPr>
        <sz val="9"/>
        <color rgb="FF595959"/>
        <rFont val="Meiryo UI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にすると前年の日別値は使わない</t>
    </r>
  </si>
  <si>
    <t xml:space="preserve">▼ 補正</t>
  </si>
  <si>
    <t xml:space="preserve">トレンド係数</t>
  </si>
  <si>
    <r>
      <rPr>
        <sz val="9"/>
        <color rgb="FF595959"/>
        <rFont val="WenQuanYi Zen Hei"/>
        <family val="2"/>
      </rPr>
      <t xml:space="preserve">全体の上げ下げ。例：販促・値上げで</t>
    </r>
    <r>
      <rPr>
        <sz val="9"/>
        <color rgb="FF595959"/>
        <rFont val="Meiryo UI"/>
        <family val="0"/>
        <charset val="1"/>
      </rPr>
      <t xml:space="preserve">5%</t>
    </r>
    <r>
      <rPr>
        <sz val="9"/>
        <color rgb="FF595959"/>
        <rFont val="WenQuanYi Zen Hei"/>
        <family val="2"/>
      </rPr>
      <t xml:space="preserve">増を見込む→</t>
    </r>
    <r>
      <rPr>
        <sz val="9"/>
        <color rgb="FF595959"/>
        <rFont val="Meiryo UI"/>
        <family val="0"/>
        <charset val="1"/>
      </rPr>
      <t xml:space="preserve">1.05</t>
    </r>
  </si>
  <si>
    <t xml:space="preserve">季節係数（前年当月データが無い場合の手入力）</t>
  </si>
  <si>
    <t xml:space="preserve">前年当月データを貼ればそちらから自動計算されるので入力不要</t>
  </si>
  <si>
    <t xml:space="preserve">季節係数（適用値）</t>
  </si>
  <si>
    <r>
      <rPr>
        <sz val="9"/>
        <color rgb="FF595959"/>
        <rFont val="WenQuanYi Zen Hei"/>
        <family val="2"/>
      </rPr>
      <t xml:space="preserve">＝前年当月の曜日別ディナー平均 </t>
    </r>
    <r>
      <rPr>
        <sz val="9"/>
        <color rgb="FF595959"/>
        <rFont val="Meiryo UI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前年の先月・先々月の曜日別ディナー平均（祝日を除く）</t>
    </r>
  </si>
  <si>
    <t xml:space="preserve">直近の前年比（適用値）</t>
  </si>
  <si>
    <r>
      <rPr>
        <sz val="9"/>
        <color rgb="FF595959"/>
        <rFont val="WenQuanYi Zen Hei"/>
        <family val="2"/>
      </rPr>
      <t xml:space="preserve">先月の客数 </t>
    </r>
    <r>
      <rPr>
        <sz val="9"/>
        <color rgb="FF595959"/>
        <rFont val="Meiryo UI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先月の前年客数（先月が無ければ先々月）。前年同曜日の値に掛けて今年の水準に合わせる</t>
    </r>
  </si>
  <si>
    <t xml:space="preserve">▼ 客単価の補正</t>
  </si>
  <si>
    <t xml:space="preserve">客単価トレンド係数</t>
  </si>
  <si>
    <r>
      <rPr>
        <sz val="9"/>
        <color rgb="FF595959"/>
        <rFont val="WenQuanYi Zen Hei"/>
        <family val="2"/>
      </rPr>
      <t xml:space="preserve">値上げ・メニュー改定・クーポン施策など。例：</t>
    </r>
    <r>
      <rPr>
        <sz val="9"/>
        <color rgb="FF595959"/>
        <rFont val="Meiryo UI"/>
        <family val="0"/>
        <charset val="1"/>
      </rPr>
      <t xml:space="preserve">3%</t>
    </r>
    <r>
      <rPr>
        <sz val="9"/>
        <color rgb="FF595959"/>
        <rFont val="WenQuanYi Zen Hei"/>
        <family val="2"/>
      </rPr>
      <t xml:space="preserve">値上げ→</t>
    </r>
    <r>
      <rPr>
        <sz val="9"/>
        <color rgb="FF595959"/>
        <rFont val="Meiryo UI"/>
        <family val="0"/>
        <charset val="1"/>
      </rPr>
      <t xml:space="preserve">1.03</t>
    </r>
  </si>
  <si>
    <t xml:space="preserve">客単価の季節係数（前年当月データが無い場合の手入力）</t>
  </si>
  <si>
    <t xml:space="preserve">前年当月データを貼ればそちらから自動計算</t>
  </si>
  <si>
    <t xml:space="preserve">客単価の季節係数（適用値）</t>
  </si>
  <si>
    <r>
      <rPr>
        <sz val="9"/>
        <color rgb="FF595959"/>
        <rFont val="WenQuanYi Zen Hei"/>
        <family val="2"/>
      </rPr>
      <t xml:space="preserve">＝前年当月の客単価 </t>
    </r>
    <r>
      <rPr>
        <sz val="9"/>
        <color rgb="FF595959"/>
        <rFont val="Meiryo UI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前年の先月・先々月の客単価（重み付け）</t>
    </r>
  </si>
  <si>
    <t xml:space="preserve">時間帯別客単価を計算する最低客数</t>
  </si>
  <si>
    <t xml:space="preserve">この人数未満の時間帯は、単価がぶれるので全体（全曜日合算）の単価で代用</t>
  </si>
  <si>
    <t xml:space="preserve">▼ 判断材料</t>
  </si>
  <si>
    <t xml:space="preserve">【参考】先月 客数前年比</t>
  </si>
  <si>
    <t xml:space="preserve">【参考】先々月 客数前年比</t>
  </si>
  <si>
    <t xml:space="preserve">【参考】先月 客単価</t>
  </si>
  <si>
    <t xml:space="preserve">【参考】先々月 客単価</t>
  </si>
  <si>
    <t xml:space="preserve">【参考】前年当月 客単価</t>
  </si>
  <si>
    <t xml:space="preserve">【参考】先月の前年 客単価</t>
  </si>
  <si>
    <r>
      <rPr>
        <sz val="9"/>
        <color rgb="FF595959"/>
        <rFont val="WenQuanYi Zen Hei"/>
        <family val="2"/>
      </rPr>
      <t xml:space="preserve">データの「売上前年」</t>
    </r>
    <r>
      <rPr>
        <sz val="9"/>
        <color rgb="FF595959"/>
        <rFont val="Meiryo UI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「客数前年」</t>
    </r>
  </si>
  <si>
    <t xml:space="preserve">【参考】先々月の前年 客単価</t>
  </si>
  <si>
    <t xml:space="preserve">データチェック</t>
  </si>
  <si>
    <t xml:space="preserve">黄色セル＝入力欄（青字）。その他は自動計算です。</t>
  </si>
  <si>
    <r>
      <rPr>
        <b val="true"/>
        <sz val="11"/>
        <color rgb="FFC00000"/>
        <rFont val="Meiryo UI"/>
        <family val="0"/>
        <charset val="1"/>
      </rPr>
      <t xml:space="preserve">← A1</t>
    </r>
    <r>
      <rPr>
        <b val="true"/>
        <sz val="11"/>
        <color rgb="FFC00000"/>
        <rFont val="WenQuanYi Zen Hei"/>
        <family val="2"/>
      </rPr>
      <t xml:space="preserve">セルを選択して、先月の「時間帯別売上実績表」を見出し行ごと貼り付けてください</t>
    </r>
  </si>
  <si>
    <r>
      <rPr>
        <b val="true"/>
        <sz val="10"/>
        <rFont val="WenQuanYi Zen Hei"/>
        <family val="2"/>
      </rPr>
      <t xml:space="preserve">日タイプ</t>
    </r>
    <r>
      <rPr>
        <b val="true"/>
        <sz val="10"/>
        <rFont val="Meiryo U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自動</t>
    </r>
    <r>
      <rPr>
        <b val="true"/>
        <sz val="10"/>
        <rFont val="Meiryo UI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</si>
  <si>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ランチ営業日</t>
    </r>
    <r>
      <rPr>
        <b val="true"/>
        <sz val="10"/>
        <rFont val="Meiryo U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自動</t>
    </r>
    <r>
      <rPr>
        <b val="true"/>
        <sz val="10"/>
        <rFont val="Meiryo UI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</si>
  <si>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時間帯区分</t>
    </r>
    <r>
      <rPr>
        <b val="true"/>
        <sz val="10"/>
        <rFont val="Meiryo U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自動</t>
    </r>
    <r>
      <rPr>
        <b val="true"/>
        <sz val="10"/>
        <rFont val="Meiryo UI"/>
        <family val="0"/>
        <charset val="1"/>
      </rPr>
      <t xml:space="preserve">)</t>
    </r>
  </si>
  <si>
    <r>
      <rPr>
        <b val="true"/>
        <sz val="11"/>
        <color rgb="FFC00000"/>
        <rFont val="Meiryo UI"/>
        <family val="0"/>
        <charset val="1"/>
      </rPr>
      <t xml:space="preserve">← A1</t>
    </r>
    <r>
      <rPr>
        <b val="true"/>
        <sz val="11"/>
        <color rgb="FFC00000"/>
        <rFont val="WenQuanYi Zen Hei"/>
        <family val="2"/>
      </rPr>
      <t xml:space="preserve">セルを選択して、先々月の「時間帯別売上実績表」を見出し行ごと貼り付けてください</t>
    </r>
  </si>
  <si>
    <r>
      <rPr>
        <b val="true"/>
        <sz val="11"/>
        <color rgb="FFC00000"/>
        <rFont val="Meiryo UI"/>
        <family val="0"/>
        <charset val="1"/>
      </rPr>
      <t xml:space="preserve">← A1</t>
    </r>
    <r>
      <rPr>
        <b val="true"/>
        <sz val="11"/>
        <color rgb="FFC00000"/>
        <rFont val="WenQuanYi Zen Hei"/>
        <family val="2"/>
      </rPr>
      <t xml:space="preserve">セルを選択して、前年当月（任意）の「時間帯別売上実績表」を見出し行ごと貼り付けてください</t>
    </r>
  </si>
  <si>
    <r>
      <rPr>
        <b val="true"/>
        <sz val="10"/>
        <rFont val="WenQuanYi Zen Hei"/>
        <family val="2"/>
      </rPr>
      <t xml:space="preserve">例：当月が</t>
    </r>
    <r>
      <rPr>
        <b val="true"/>
        <sz val="10"/>
        <rFont val="Meiryo UI"/>
        <family val="0"/>
        <charset val="1"/>
      </rPr>
      <t xml:space="preserve">2026</t>
    </r>
    <r>
      <rPr>
        <b val="true"/>
        <sz val="10"/>
        <rFont val="WenQuanYi Zen Hei"/>
        <family val="2"/>
      </rPr>
      <t xml:space="preserve">年</t>
    </r>
    <r>
      <rPr>
        <b val="true"/>
        <sz val="10"/>
        <rFont val="Meiryo UI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月なら、期間を</t>
    </r>
    <r>
      <rPr>
        <b val="true"/>
        <sz val="10"/>
        <rFont val="Meiryo UI"/>
        <family val="0"/>
        <charset val="1"/>
      </rPr>
      <t xml:space="preserve">2025/10/1</t>
    </r>
    <r>
      <rPr>
        <b val="true"/>
        <sz val="10"/>
        <rFont val="WenQuanYi Zen Hei"/>
        <family val="2"/>
      </rPr>
      <t xml:space="preserve">〜</t>
    </r>
    <r>
      <rPr>
        <b val="true"/>
        <sz val="10"/>
        <rFont val="Meiryo UI"/>
        <family val="0"/>
        <charset val="1"/>
      </rPr>
      <t xml:space="preserve">2025/11/1</t>
    </r>
    <r>
      <rPr>
        <b val="true"/>
        <sz val="10"/>
        <rFont val="WenQuanYi Zen Hei"/>
        <family val="2"/>
      </rPr>
      <t xml:space="preserve">で出力したものを貼り付け（「当年」列を前年データとして使います。月末の前年同曜日は翌月</t>
    </r>
    <r>
      <rPr>
        <b val="true"/>
        <sz val="10"/>
        <rFont val="Meiryo UI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日になるため</t>
    </r>
    <r>
      <rPr>
        <b val="true"/>
        <sz val="10"/>
        <rFont val="Meiryo UI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日多めに）</t>
    </r>
  </si>
  <si>
    <t xml:space="preserve">名称</t>
  </si>
  <si>
    <t xml:space="preserve">祝日扱いにしたい日（お盆・年末年始・地域イベント等）は、この表の下に日付を追加してください。前年分の祝日も前年データの判定に使います。</t>
  </si>
  <si>
    <t xml:space="preserve">元日</t>
  </si>
  <si>
    <t xml:space="preserve">成人の日</t>
  </si>
  <si>
    <t xml:space="preserve">建国記念の日</t>
  </si>
  <si>
    <t xml:space="preserve">天皇誕生日</t>
  </si>
  <si>
    <t xml:space="preserve">振替休日</t>
  </si>
  <si>
    <t xml:space="preserve">春分の日</t>
  </si>
  <si>
    <t xml:space="preserve">昭和の日</t>
  </si>
  <si>
    <t xml:space="preserve">憲法記念日</t>
  </si>
  <si>
    <t xml:space="preserve">みどりの日</t>
  </si>
  <si>
    <t xml:space="preserve">こどもの日</t>
  </si>
  <si>
    <t xml:space="preserve">海の日</t>
  </si>
  <si>
    <t xml:space="preserve">山の日</t>
  </si>
  <si>
    <t xml:space="preserve">敬老の日</t>
  </si>
  <si>
    <t xml:space="preserve">秋分の日</t>
  </si>
  <si>
    <t xml:space="preserve">スポーツの日</t>
  </si>
  <si>
    <t xml:space="preserve">文化の日</t>
  </si>
  <si>
    <t xml:space="preserve">勤労感謝の日</t>
  </si>
  <si>
    <t xml:space="preserve">国民の休日</t>
  </si>
  <si>
    <t xml:space="preserve">集計（自動計算・編集不要）</t>
  </si>
  <si>
    <t xml:space="preserve">先月 日付</t>
  </si>
  <si>
    <t xml:space="preserve">前年客数</t>
  </si>
  <si>
    <t xml:space="preserve">ランチ客数</t>
  </si>
  <si>
    <t xml:space="preserve">ディナー客数</t>
  </si>
  <si>
    <t xml:space="preserve">ランチ営業</t>
  </si>
  <si>
    <t xml:space="preserve">前年ディナー</t>
  </si>
  <si>
    <r>
      <rPr>
        <b val="true"/>
        <sz val="10"/>
        <color rgb="FFFFFFFF"/>
        <rFont val="WenQuanYi Zen Hei"/>
        <family val="2"/>
      </rPr>
      <t xml:space="preserve">前年日</t>
    </r>
    <r>
      <rPr>
        <b val="true"/>
        <sz val="10"/>
        <color rgb="FFFFFFFF"/>
        <rFont val="Meiryo UI"/>
        <family val="0"/>
        <charset val="1"/>
      </rPr>
      <t xml:space="preserve">=</t>
    </r>
    <r>
      <rPr>
        <b val="true"/>
        <sz val="10"/>
        <color rgb="FFFFFFFF"/>
        <rFont val="WenQuanYi Zen Hei"/>
        <family val="2"/>
      </rPr>
      <t xml:space="preserve">祝</t>
    </r>
  </si>
  <si>
    <t xml:space="preserve">前年売上</t>
  </si>
  <si>
    <t xml:space="preserve">先々月 日付</t>
  </si>
  <si>
    <t xml:space="preserve">前年当月 日付</t>
  </si>
  <si>
    <t xml:space="preserve">日タイプ別 基準値（ディナー＝営業日平均、ランチ＝ランチ営業した日の平均）</t>
  </si>
  <si>
    <t xml:space="preserve">先月 営業日数</t>
  </si>
  <si>
    <t xml:space="preserve">先月 ランチ営業日数</t>
  </si>
  <si>
    <t xml:space="preserve">先月 ディナー平均</t>
  </si>
  <si>
    <t xml:space="preserve">先月 ランチ平均</t>
  </si>
  <si>
    <t xml:space="preserve">先々月 営業日数</t>
  </si>
  <si>
    <t xml:space="preserve">先々月 ランチ営業日数</t>
  </si>
  <si>
    <t xml:space="preserve">先々月 ディナー平均</t>
  </si>
  <si>
    <t xml:space="preserve">先々月 ランチ平均</t>
  </si>
  <si>
    <t xml:space="preserve">重み付け ディナー</t>
  </si>
  <si>
    <t xml:space="preserve">重み付け ランチ</t>
  </si>
  <si>
    <t xml:space="preserve">採用 ディナー基準</t>
  </si>
  <si>
    <t xml:space="preserve">採用 ランチ基準</t>
  </si>
  <si>
    <t xml:space="preserve">先月 客単価</t>
  </si>
  <si>
    <t xml:space="preserve">先々月 客単価</t>
  </si>
  <si>
    <t xml:space="preserve">採用 客単価</t>
  </si>
  <si>
    <t xml:space="preserve">前年先月 ディナー平均</t>
  </si>
  <si>
    <t xml:space="preserve">前年先々月 ディナー平均</t>
  </si>
  <si>
    <r>
      <rPr>
        <b val="true"/>
        <sz val="10"/>
        <color rgb="FFFFFFFF"/>
        <rFont val="WenQuanYi Zen Hei"/>
        <family val="2"/>
      </rPr>
      <t xml:space="preserve">前年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直近</t>
    </r>
    <r>
      <rPr>
        <b val="true"/>
        <sz val="10"/>
        <color rgb="FFFFFFFF"/>
        <rFont val="Meiryo UI"/>
        <family val="0"/>
        <charset val="1"/>
      </rPr>
      <t xml:space="preserve">) </t>
    </r>
    <r>
      <rPr>
        <b val="true"/>
        <sz val="10"/>
        <color rgb="FFFFFFFF"/>
        <rFont val="WenQuanYi Zen Hei"/>
        <family val="2"/>
      </rPr>
      <t xml:space="preserve">重み付け</t>
    </r>
  </si>
  <si>
    <t xml:space="preserve">前年当月 ディナー平均</t>
  </si>
  <si>
    <t xml:space="preserve">季節係数に使用</t>
  </si>
  <si>
    <t xml:space="preserve">月</t>
  </si>
  <si>
    <t xml:space="preserve">火</t>
  </si>
  <si>
    <t xml:space="preserve">水</t>
  </si>
  <si>
    <t xml:space="preserve">木</t>
  </si>
  <si>
    <t xml:space="preserve">金</t>
  </si>
  <si>
    <t xml:space="preserve">土</t>
  </si>
  <si>
    <t xml:space="preserve">祝</t>
  </si>
  <si>
    <t xml:space="preserve">全体平均</t>
  </si>
  <si>
    <t xml:space="preserve">平日ランチ平均</t>
  </si>
  <si>
    <r>
      <rPr>
        <b val="true"/>
        <sz val="10"/>
        <rFont val="WenQuanYi Zen Hei"/>
        <family val="2"/>
      </rPr>
      <t xml:space="preserve">日タイプ</t>
    </r>
    <r>
      <rPr>
        <b val="true"/>
        <sz val="10"/>
        <rFont val="Meiryo UI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時刻の</t>
    </r>
    <r>
      <rPr>
        <b val="true"/>
        <sz val="10"/>
        <rFont val="Meiryo UI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日あたり平均客数（ランチ時間帯はランチ営業日のみ、ディナー時間帯は営業日の平均）  ※時刻は見出しを書き換え可</t>
    </r>
  </si>
  <si>
    <t xml:space="preserve">ランチ計</t>
  </si>
  <si>
    <t xml:space="preserve">ディナー計</t>
  </si>
  <si>
    <t xml:space="preserve">全体</t>
  </si>
  <si>
    <r>
      <rPr>
        <b val="true"/>
        <sz val="10"/>
        <rFont val="WenQuanYi Zen Hei"/>
        <family val="2"/>
      </rPr>
      <t xml:space="preserve">日タイプ</t>
    </r>
    <r>
      <rPr>
        <b val="true"/>
        <sz val="10"/>
        <rFont val="Meiryo UI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時刻の構成比（ランチ時間帯の合計＝</t>
    </r>
    <r>
      <rPr>
        <b val="true"/>
        <sz val="10"/>
        <rFont val="Meiryo UI"/>
        <family val="0"/>
        <charset val="1"/>
      </rPr>
      <t xml:space="preserve">100%</t>
    </r>
    <r>
      <rPr>
        <b val="true"/>
        <sz val="10"/>
        <rFont val="WenQuanYi Zen Hei"/>
        <family val="2"/>
      </rPr>
      <t xml:space="preserve">、ディナー時間帯の合計＝</t>
    </r>
    <r>
      <rPr>
        <b val="true"/>
        <sz val="10"/>
        <rFont val="Meiryo UI"/>
        <family val="0"/>
        <charset val="1"/>
      </rPr>
      <t xml:space="preserve">100%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</si>
  <si>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日タイプ</t>
    </r>
    <r>
      <rPr>
        <b val="true"/>
        <sz val="10"/>
        <rFont val="Meiryo UI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時間帯の客単価（売上</t>
    </r>
    <r>
      <rPr>
        <b val="true"/>
        <sz val="10"/>
        <rFont val="Meiryo UI"/>
        <family val="0"/>
        <charset val="1"/>
      </rPr>
      <t xml:space="preserve">÷</t>
    </r>
    <r>
      <rPr>
        <b val="true"/>
        <sz val="10"/>
        <rFont val="WenQuanYi Zen Hei"/>
        <family val="2"/>
      </rPr>
      <t xml:space="preserve">客数。客数が最低客数未満の月は使わず、全体→日タイプ全体の単価で代用）</t>
    </r>
  </si>
  <si>
    <t xml:space="preserve">先月</t>
  </si>
  <si>
    <t xml:space="preserve">先々月</t>
  </si>
  <si>
    <t xml:space="preserve">採用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</si>
</sst>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0.0%"/>
    <numFmt numFmtId="167" formatCode="m/d"/>
    <numFmt numFmtId="168" formatCode="#,##0.0"/>
    <numFmt numFmtId="169" formatCode="m/d\(AAA\)"/>
    <numFmt numFmtId="170" formatCode="0.000"/>
    <numFmt numFmtId="171" formatCode="0.00"/>
    <numFmt numFmtId="172" formatCode="0\時"/>
    <numFmt numFmtId="173" formatCode="0"/>
    <numFmt numFmtId="174" formatCode="yyyy\年m\月"/>
    <numFmt numFmtId="175" formatCode="0\人"/>
    <numFmt numFmtId="176" formatCode="yyyy/mm/dd\(AAA\)"/>
    <numFmt numFmtId="177" formatCode="0.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sz val="10"/>
      <name val="Meiryo UI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b val="true"/>
      <sz val="10"/>
      <name val="Meiryo UI"/>
      <family val="0"/>
      <charset val="1"/>
    </font>
    <font>
      <sz val="9"/>
      <color rgb="FF595959"/>
      <name val="WenQuanYi Zen Hei"/>
      <family val="2"/>
    </font>
    <font>
      <sz val="9"/>
      <color rgb="FF595959"/>
      <name val="Meiryo UI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Meiryo UI"/>
      <family val="0"/>
      <charset val="1"/>
    </font>
    <font>
      <sz val="9"/>
      <color rgb="FF808080"/>
      <name val="Meiryo UI"/>
      <family val="0"/>
      <charset val="1"/>
    </font>
    <font>
      <sz val="9"/>
      <color rgb="FF808080"/>
      <name val="WenQuanYi Zen Hei"/>
      <family val="2"/>
    </font>
    <font>
      <sz val="10"/>
      <color rgb="FF0000FF"/>
      <name val="Meiryo UI"/>
      <family val="0"/>
      <charset val="1"/>
    </font>
    <font>
      <sz val="10"/>
      <name val="Arial"/>
      <family val="2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sz val="8"/>
      <name val="Meiryo UI"/>
      <family val="0"/>
      <charset val="1"/>
    </font>
    <font>
      <sz val="10"/>
      <color rgb="FF0000FF"/>
      <name val="WenQuanYi Zen Hei"/>
      <family val="2"/>
    </font>
    <font>
      <b val="true"/>
      <sz val="11"/>
      <color rgb="FFC00000"/>
      <name val="Meiryo UI"/>
      <family val="0"/>
      <charset val="1"/>
    </font>
    <font>
      <b val="true"/>
      <sz val="11"/>
      <color rgb="FFC00000"/>
      <name val="WenQuanYi Zen Hei"/>
      <family val="2"/>
    </font>
  </fonts>
  <fills count="9">
    <fill>
      <patternFill patternType="none"/>
    </fill>
    <fill>
      <patternFill patternType="gray125"/>
    </fill>
    <fill>
      <patternFill patternType="solid">
        <fgColor rgb="FFE2EFDA"/>
        <bgColor rgb="FFEDEDED"/>
      </patternFill>
    </fill>
    <fill>
      <patternFill patternType="solid">
        <fgColor rgb="FF44546A"/>
        <bgColor rgb="FF595959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9D9D9"/>
      </patternFill>
    </fill>
    <fill>
      <patternFill patternType="solid">
        <fgColor rgb="FFC00000"/>
        <bgColor rgb="FF800000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72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0070C0"/>
      </font>
    </dxf>
    <dxf>
      <font>
        <b val="1"/>
        <color rgb="FFC00000"/>
      </font>
    </dxf>
    <dxf>
      <fill>
        <patternFill>
          <bgColor rgb="FFD9D9D9"/>
        </patternFill>
      </fill>
    </dxf>
    <dxf>
      <font>
        <b val="1"/>
        <color rgb="FFC55A11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6A6A6"/>
      <rgbColor rgb="FFC0504D"/>
      <rgbColor rgb="FFFFF2CC"/>
      <rgbColor rgb="FFEDEDED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70AD47"/>
      <rgbColor rgb="FFFFC000"/>
      <rgbColor rgb="FFFF9900"/>
      <rgbColor rgb="FFC55A11"/>
      <rgbColor rgb="FF595959"/>
      <rgbColor rgb="FF878787"/>
      <rgbColor rgb="FF003366"/>
      <rgbColor rgb="FF4F81BD"/>
      <rgbColor rgb="FF003300"/>
      <rgbColor rgb="FF333300"/>
      <rgbColor rgb="FF993300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日別 予測客数（ランチ／ディナー）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予測!M8</c:f>
              <c:strCache>
                <c:ptCount val="1"/>
                <c:pt idx="0">
                  <c:v>予測
ランチ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予測!$A$9:$A$39</c:f>
              <c:strCache>
                <c:ptCount val="31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</c:strCache>
            </c:strRef>
          </c:cat>
          <c:val>
            <c:numRef>
              <c:f>予測!$M$9:$M$39</c:f>
              <c:numCache>
                <c:formatCode>General</c:formatCode>
                <c:ptCount val="31"/>
              </c:numCache>
            </c:numRef>
          </c:val>
        </c:ser>
        <c:ser>
          <c:idx val="1"/>
          <c:order val="1"/>
          <c:tx>
            <c:strRef>
              <c:f>予測!N8</c:f>
              <c:strCache>
                <c:ptCount val="1"/>
                <c:pt idx="0">
                  <c:v>予測
ディナー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予測!$A$9:$A$39</c:f>
              <c:strCache>
                <c:ptCount val="31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</c:strCache>
            </c:strRef>
          </c:cat>
          <c:val>
            <c:numRef>
              <c:f>予測!$N$9:$N$39</c:f>
              <c:numCache>
                <c:formatCode>General</c:formatCode>
                <c:ptCount val="31"/>
              </c:numCache>
            </c:numRef>
          </c:val>
        </c:ser>
        <c:gapWidth val="150"/>
        <c:overlap val="100"/>
        <c:axId val="2226090"/>
        <c:axId val="96545083"/>
      </c:barChart>
      <c:catAx>
        <c:axId val="2226090"/>
        <c:scaling>
          <c:orientation val="minMax"/>
        </c:scaling>
        <c:delete val="0"/>
        <c:axPos val="b"/>
        <c:numFmt formatCode="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545083"/>
        <c:crosses val="autoZero"/>
        <c:auto val="1"/>
        <c:lblAlgn val="ctr"/>
        <c:lblOffset val="100"/>
        <c:noMultiLvlLbl val="0"/>
      </c:catAx>
      <c:valAx>
        <c:axId val="965450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2609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40</xdr:row>
      <xdr:rowOff>160560</xdr:rowOff>
    </xdr:from>
    <xdr:to>
      <xdr:col>14</xdr:col>
      <xdr:colOff>392760</xdr:colOff>
      <xdr:row>57</xdr:row>
      <xdr:rowOff>161640</xdr:rowOff>
    </xdr:to>
    <xdr:graphicFrame>
      <xdr:nvGraphicFramePr>
        <xdr:cNvPr id="0" name="Chart 1"/>
        <xdr:cNvGraphicFramePr/>
      </xdr:nvGraphicFramePr>
      <xdr:xfrm>
        <a:off x="0" y="800100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2:B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2" customFormat="false" ht="19.4" hidden="false" customHeight="false" outlineLevel="0" collapsed="false">
      <c r="B2" s="1" t="s">
        <v>0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1</v>
      </c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3" t="s">
        <v>10</v>
      </c>
    </row>
    <row r="15" customFormat="false" ht="26.8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 t="s">
        <v>13</v>
      </c>
    </row>
    <row r="18" customFormat="false" ht="15" hidden="false" customHeight="false" outlineLevel="0" collapsed="false">
      <c r="B18" s="4" t="s">
        <v>14</v>
      </c>
    </row>
    <row r="19" customFormat="false" ht="15" hidden="false" customHeight="false" outlineLevel="0" collapsed="false">
      <c r="B19" s="4" t="s">
        <v>15</v>
      </c>
    </row>
    <row r="20" customFormat="false" ht="15" hidden="false" customHeight="false" outlineLevel="0" collapsed="false">
      <c r="B20" s="4" t="s">
        <v>16</v>
      </c>
    </row>
    <row r="21" customFormat="false" ht="15" hidden="false" customHeight="false" outlineLevel="0" collapsed="false">
      <c r="B21" s="4" t="s">
        <v>17</v>
      </c>
    </row>
    <row r="22" customFormat="false" ht="15" hidden="false" customHeight="false" outlineLevel="0" collapsed="false">
      <c r="B22" s="4" t="s">
        <v>18</v>
      </c>
    </row>
    <row r="23" customFormat="false" ht="26.85" hidden="false" customHeight="false" outlineLevel="0" collapsed="false">
      <c r="B23" s="4" t="s">
        <v>19</v>
      </c>
    </row>
    <row r="24" customFormat="false" ht="15" hidden="false" customHeight="false" outlineLevel="0" collapsed="false">
      <c r="B24" s="2"/>
    </row>
    <row r="25" customFormat="false" ht="15" hidden="false" customHeight="false" outlineLevel="0" collapsed="false">
      <c r="B25" s="3" t="s">
        <v>20</v>
      </c>
    </row>
    <row r="26" customFormat="false" ht="15" hidden="false" customHeight="false" outlineLevel="0" collapsed="false">
      <c r="B26" s="3" t="s">
        <v>21</v>
      </c>
    </row>
    <row r="27" customFormat="false" ht="15" hidden="false" customHeight="false" outlineLevel="0" collapsed="false">
      <c r="B27" s="4" t="s">
        <v>22</v>
      </c>
    </row>
    <row r="28" customFormat="false" ht="15" hidden="false" customHeight="false" outlineLevel="0" collapsed="false">
      <c r="B28" s="4" t="s">
        <v>23</v>
      </c>
    </row>
    <row r="29" customFormat="false" ht="15" hidden="false" customHeight="false" outlineLevel="0" collapsed="false">
      <c r="B29" s="4" t="s">
        <v>24</v>
      </c>
    </row>
    <row r="30" customFormat="false" ht="15" hidden="false" customHeight="false" outlineLevel="0" collapsed="false">
      <c r="B30" s="4" t="s">
        <v>25</v>
      </c>
    </row>
    <row r="31" customFormat="false" ht="15" hidden="false" customHeight="false" outlineLevel="0" collapsed="false">
      <c r="B31" s="4" t="s">
        <v>26</v>
      </c>
    </row>
    <row r="32" customFormat="false" ht="15" hidden="false" customHeight="false" outlineLevel="0" collapsed="false">
      <c r="B32" s="2"/>
    </row>
    <row r="33" customFormat="false" ht="15" hidden="false" customHeight="false" outlineLevel="0" collapsed="false">
      <c r="B33" s="3" t="s">
        <v>27</v>
      </c>
    </row>
    <row r="34" customFormat="false" ht="26.85" hidden="false" customHeight="false" outlineLevel="0" collapsed="false">
      <c r="B34" s="4" t="s">
        <v>28</v>
      </c>
    </row>
    <row r="35" customFormat="false" ht="15" hidden="false" customHeight="false" outlineLevel="0" collapsed="false">
      <c r="B35" s="2"/>
    </row>
    <row r="36" customFormat="false" ht="15" hidden="false" customHeight="false" outlineLevel="0" collapsed="false">
      <c r="B36" s="3" t="s">
        <v>29</v>
      </c>
    </row>
    <row r="37" customFormat="false" ht="15" hidden="false" customHeight="false" outlineLevel="0" collapsed="false">
      <c r="B37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W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"/>
    <col collapsed="false" customWidth="true" hidden="false" outlineLevel="0" max="3" min="3" style="0" width="7"/>
    <col collapsed="false" customWidth="true" hidden="false" outlineLevel="0" max="5" min="4" style="0" width="13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10" min="9" style="0" width="7"/>
    <col collapsed="false" customWidth="true" hidden="false" outlineLevel="0" max="11" min="11" style="0" width="8"/>
    <col collapsed="false" customWidth="true" hidden="false" outlineLevel="0" max="12" min="12" style="0" width="7"/>
    <col collapsed="false" customWidth="true" hidden="false" outlineLevel="0" max="14" min="13" style="0" width="8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8"/>
    <col collapsed="false" customWidth="true" hidden="false" outlineLevel="0" max="18" min="18" style="0" width="24"/>
    <col collapsed="false" customWidth="true" hidden="false" outlineLevel="0" max="19" min="19" style="0" width="2"/>
    <col collapsed="false" customWidth="true" hidden="true" outlineLevel="0" max="23" min="20" style="0" width="9"/>
  </cols>
  <sheetData>
    <row r="1" customFormat="false" ht="17.35" hidden="false" customHeight="false" outlineLevel="0" collapsed="false">
      <c r="A1" s="5" t="str">
        <f aca="false">IF(設定!$B$7="","日別客数予測（先月データを貼り付けてください）",TEXT(設定!$B$7,"yyyy年m月")&amp;"　日別客数予測")</f>
        <v>日別客数予測（先月データを貼り付けてください）</v>
      </c>
    </row>
    <row r="2" customFormat="false" ht="15" hidden="false" customHeight="false" outlineLevel="0" collapsed="false">
      <c r="A2" s="6" t="str">
        <f aca="false">"データ: "&amp;設定!$B$36&amp;"　／　季節係数 "&amp;TEXT(設定!$B$21,"0.000")&amp;"　直近前年比 "&amp;TEXT(設定!$B$22,"0.000")&amp;"　トレンド係数 "&amp;TEXT(設定!$B$19,"0.00")&amp;"　前年同曜日の重み "&amp;TEXT(設定!$B$17,"0.00")</f>
        <v>データ: 先月データ未貼付　／　季節係数 1.000　直近前年比 1.000　トレンド係数 1.00　前年同曜日の重み 0.50</v>
      </c>
    </row>
    <row r="3" customFormat="false" ht="15" hidden="false" customHeight="false" outlineLevel="0" collapsed="false">
      <c r="A3" s="7" t="s">
        <v>31</v>
      </c>
      <c r="B3" s="7"/>
      <c r="C3" s="7"/>
      <c r="D3" s="8" t="n">
        <f aca="false">SUM(O9:O39)</f>
        <v>0</v>
      </c>
      <c r="E3" s="8"/>
      <c r="G3" s="6" t="s">
        <v>32</v>
      </c>
    </row>
    <row r="4" customFormat="false" ht="15" hidden="false" customHeight="false" outlineLevel="0" collapsed="false">
      <c r="A4" s="7" t="s">
        <v>33</v>
      </c>
      <c r="B4" s="7"/>
      <c r="C4" s="7"/>
      <c r="D4" s="8" t="n">
        <f aca="false">SUM(P9:P39)</f>
        <v>0</v>
      </c>
      <c r="E4" s="8"/>
      <c r="G4" s="6" t="s">
        <v>34</v>
      </c>
    </row>
    <row r="5" customFormat="false" ht="15" hidden="false" customHeight="false" outlineLevel="0" collapsed="false">
      <c r="A5" s="7" t="s">
        <v>35</v>
      </c>
      <c r="B5" s="7"/>
      <c r="C5" s="7"/>
      <c r="D5" s="8" t="n">
        <f aca="false">SUM(集計!$E$3:$E$33)</f>
        <v>0</v>
      </c>
      <c r="E5" s="8"/>
      <c r="G5" s="6" t="s">
        <v>36</v>
      </c>
    </row>
    <row r="6" customFormat="false" ht="15" hidden="false" customHeight="false" outlineLevel="0" collapsed="false">
      <c r="A6" s="7" t="s">
        <v>37</v>
      </c>
      <c r="B6" s="7"/>
      <c r="C6" s="7"/>
      <c r="D6" s="9" t="str">
        <f aca="false">IFERROR(D3/D5,"")</f>
        <v/>
      </c>
      <c r="E6" s="9"/>
    </row>
    <row r="7" customFormat="false" ht="15" hidden="false" customHeight="false" outlineLevel="0" collapsed="false">
      <c r="A7" s="7" t="s">
        <v>38</v>
      </c>
      <c r="B7" s="7"/>
      <c r="C7" s="7"/>
      <c r="D7" s="8" t="str">
        <f aca="false">IFERROR(D4/D3,"")</f>
        <v/>
      </c>
      <c r="E7" s="8"/>
    </row>
    <row r="8" customFormat="false" ht="30" hidden="false" customHeight="true" outlineLevel="0" collapsed="false">
      <c r="A8" s="10" t="s">
        <v>39</v>
      </c>
      <c r="B8" s="10" t="s">
        <v>40</v>
      </c>
      <c r="C8" s="10" t="s">
        <v>41</v>
      </c>
      <c r="D8" s="10" t="s">
        <v>42</v>
      </c>
      <c r="E8" s="10" t="s">
        <v>43</v>
      </c>
      <c r="F8" s="10" t="s">
        <v>44</v>
      </c>
      <c r="G8" s="10" t="s">
        <v>45</v>
      </c>
      <c r="H8" s="10" t="s">
        <v>46</v>
      </c>
      <c r="I8" s="10" t="s">
        <v>47</v>
      </c>
      <c r="J8" s="10" t="s">
        <v>48</v>
      </c>
      <c r="K8" s="10" t="s">
        <v>49</v>
      </c>
      <c r="L8" s="10" t="s">
        <v>50</v>
      </c>
      <c r="M8" s="10" t="s">
        <v>51</v>
      </c>
      <c r="N8" s="10" t="s">
        <v>52</v>
      </c>
      <c r="O8" s="10" t="s">
        <v>53</v>
      </c>
      <c r="P8" s="10" t="s">
        <v>54</v>
      </c>
      <c r="Q8" s="10" t="s">
        <v>55</v>
      </c>
      <c r="R8" s="10" t="s">
        <v>56</v>
      </c>
      <c r="T8" s="11" t="s">
        <v>57</v>
      </c>
      <c r="U8" s="11" t="s">
        <v>58</v>
      </c>
      <c r="V8" s="11" t="s">
        <v>59</v>
      </c>
      <c r="W8" s="11" t="s">
        <v>60</v>
      </c>
    </row>
    <row r="9" customFormat="false" ht="15" hidden="false" customHeight="false" outlineLevel="0" collapsed="false">
      <c r="A9" s="12" t="str">
        <f aca="false">IF(OR(設定!$B$7="",1&gt;設定!$B$8),"",設定!$B$7+0)</f>
        <v/>
      </c>
      <c r="B9" s="13" t="str">
        <f aca="false">IF($A9="","",CHOOSE(WEEKDAY($A9,2),"月","火","水","木","金","土","日"))</f>
        <v/>
      </c>
      <c r="C9" s="13" t="str">
        <f aca="false">IF($A9="","",IF(COUNTIF(祝日!$A:$A,$A9)&gt;0,"祝",CHOOSE(WEEKDAY($A9,2),"月","火","水","木","金","土","日")))</f>
        <v/>
      </c>
      <c r="D9" s="14"/>
      <c r="E9" s="13" t="str">
        <f aca="false">IF($A9="","",IF(D9&lt;&gt;"",D9,IF(IF(OR(C9="土",C9="日",C9="祝"),設定!$B$12,設定!$B$11)="あり","ランチ+ディナー","ディナーのみ")))</f>
        <v/>
      </c>
      <c r="F9" s="15" t="str">
        <f aca="false">IF($A9="","",IF(E9="ランチ+ディナー",INDEX(集計!$M$38:$M$45,MATCH(C9,集計!$A$38:$A$45,0)),0))</f>
        <v/>
      </c>
      <c r="G9" s="15" t="str">
        <f aca="false">IF($A9="","",IF(E9="休業",0,INDEX(集計!$L$38:$L$45,MATCH(C9,集計!$A$38:$A$45,0))))</f>
        <v/>
      </c>
      <c r="H9" s="16" t="str">
        <f aca="false">IF(W9=1,$A9-364,"")</f>
        <v/>
      </c>
      <c r="I9" s="17" t="str">
        <f aca="false">IF(W9=1,IF(AND(E9="ランチ+ディナー",T9&gt;=設定!$B$13),T9,0)+U9,"")</f>
        <v/>
      </c>
      <c r="J9" s="18" t="str">
        <f aca="false">IF($A9="","",設定!$B$21)</f>
        <v/>
      </c>
      <c r="K9" s="19" t="str">
        <f aca="false">IF($A9="","",設定!$B$19)</f>
        <v/>
      </c>
      <c r="L9" s="20" t="n">
        <v>1</v>
      </c>
      <c r="M9" s="15" t="str">
        <f aca="false">IF($A9="","",IF(E9&lt;&gt;"ランチ+ディナー",0,IF(AND(W9=1,T9&gt;=設定!$B$13),(1-設定!$B$17)*F9*J9+設定!$B$17*T9*設定!$B$22,F9*J9)*K9*N(L9)))</f>
        <v/>
      </c>
      <c r="N9" s="15" t="str">
        <f aca="false">IF($A9="","",IF(E9="休業",0,IF(W9=1,(1-設定!$B$17)*G9*J9+設定!$B$17*U9*設定!$B$22,G9*J9)*K9*N(L9)))</f>
        <v/>
      </c>
      <c r="O9" s="21" t="str">
        <f aca="false">IF($A9="","",ROUND(M9+N9,0))</f>
        <v/>
      </c>
      <c r="P9" s="17" t="str">
        <f aca="false">IF($A9="","",売上予測貼付用!S4)</f>
        <v/>
      </c>
      <c r="Q9" s="17" t="str">
        <f aca="false">IF($A9="","",IFERROR(P9/O9,""))</f>
        <v/>
      </c>
      <c r="R9" s="22"/>
      <c r="T9" s="23" t="str">
        <f aca="false">IF($A9="","",IF(COUNTIF(前年当月データ!$A:$A,$A9-364)=0,"",SUMIFS(前年当月データ!$Q:$Q,前年当月データ!$A:$A,$A9-364,前年当月データ!$K:$K,"&gt;=6",前年当月データ!$K:$K,"&lt;"&amp;設定!$B$10)))</f>
        <v/>
      </c>
      <c r="U9" s="23" t="str">
        <f aca="false">IF(T9="","",SUMIFS(前年当月データ!$Q:$Q,前年当月データ!$A:$A,$A9-364)-T9)</f>
        <v/>
      </c>
      <c r="V9" s="23" t="str">
        <f aca="false">IF(T9="","",IF(COUNTIF(祝日!$A:$A,($A9-364))&gt;0,"祝",CHOOSE(WEEKDAY(($A9-364),2),"月","火","水","木","金","土","日")))</f>
        <v/>
      </c>
      <c r="W9" s="23" t="n">
        <f aca="false">IF($A9="",0,IF(AND(設定!$B$17&gt;0,N(U9)&gt;0,C9&lt;&gt;"祝",V9&lt;&gt;"祝",E9&lt;&gt;"休業"),1,0))</f>
        <v>0</v>
      </c>
    </row>
    <row r="10" customFormat="false" ht="15" hidden="false" customHeight="false" outlineLevel="0" collapsed="false">
      <c r="A10" s="12" t="str">
        <f aca="false">IF(OR(設定!$B$7="",2&gt;設定!$B$8),"",設定!$B$7+1)</f>
        <v/>
      </c>
      <c r="B10" s="13" t="str">
        <f aca="false">IF($A10="","",CHOOSE(WEEKDAY($A10,2),"月","火","水","木","金","土","日"))</f>
        <v/>
      </c>
      <c r="C10" s="13" t="str">
        <f aca="false">IF($A10="","",IF(COUNTIF(祝日!$A:$A,$A10)&gt;0,"祝",CHOOSE(WEEKDAY($A10,2),"月","火","水","木","金","土","日")))</f>
        <v/>
      </c>
      <c r="D10" s="14"/>
      <c r="E10" s="13" t="str">
        <f aca="false">IF($A10="","",IF(D10&lt;&gt;"",D10,IF(IF(OR(C10="土",C10="日",C10="祝"),設定!$B$12,設定!$B$11)="あり","ランチ+ディナー","ディナーのみ")))</f>
        <v/>
      </c>
      <c r="F10" s="15" t="str">
        <f aca="false">IF($A10="","",IF(E10="ランチ+ディナー",INDEX(集計!$M$38:$M$45,MATCH(C10,集計!$A$38:$A$45,0)),0))</f>
        <v/>
      </c>
      <c r="G10" s="15" t="str">
        <f aca="false">IF($A10="","",IF(E10="休業",0,INDEX(集計!$L$38:$L$45,MATCH(C10,集計!$A$38:$A$45,0))))</f>
        <v/>
      </c>
      <c r="H10" s="16" t="str">
        <f aca="false">IF(W10=1,$A10-364,"")</f>
        <v/>
      </c>
      <c r="I10" s="17" t="str">
        <f aca="false">IF(W10=1,IF(AND(E10="ランチ+ディナー",T10&gt;=設定!$B$13),T10,0)+U10,"")</f>
        <v/>
      </c>
      <c r="J10" s="18" t="str">
        <f aca="false">IF($A10="","",設定!$B$21)</f>
        <v/>
      </c>
      <c r="K10" s="19" t="str">
        <f aca="false">IF($A10="","",設定!$B$19)</f>
        <v/>
      </c>
      <c r="L10" s="20" t="n">
        <v>1</v>
      </c>
      <c r="M10" s="15" t="str">
        <f aca="false">IF($A10="","",IF(E10&lt;&gt;"ランチ+ディナー",0,IF(AND(W10=1,T10&gt;=設定!$B$13),(1-設定!$B$17)*F10*J10+設定!$B$17*T10*設定!$B$22,F10*J10)*K10*N(L10)))</f>
        <v/>
      </c>
      <c r="N10" s="15" t="str">
        <f aca="false">IF($A10="","",IF(E10="休業",0,IF(W10=1,(1-設定!$B$17)*G10*J10+設定!$B$17*U10*設定!$B$22,G10*J10)*K10*N(L10)))</f>
        <v/>
      </c>
      <c r="O10" s="21" t="str">
        <f aca="false">IF($A10="","",ROUND(M10+N10,0))</f>
        <v/>
      </c>
      <c r="P10" s="17" t="str">
        <f aca="false">IF($A10="","",売上予測貼付用!S5)</f>
        <v/>
      </c>
      <c r="Q10" s="17" t="str">
        <f aca="false">IF($A10="","",IFERROR(P10/O10,""))</f>
        <v/>
      </c>
      <c r="R10" s="22"/>
      <c r="T10" s="23" t="str">
        <f aca="false">IF($A10="","",IF(COUNTIF(前年当月データ!$A:$A,$A10-364)=0,"",SUMIFS(前年当月データ!$Q:$Q,前年当月データ!$A:$A,$A10-364,前年当月データ!$K:$K,"&gt;=6",前年当月データ!$K:$K,"&lt;"&amp;設定!$B$10)))</f>
        <v/>
      </c>
      <c r="U10" s="23" t="str">
        <f aca="false">IF(T10="","",SUMIFS(前年当月データ!$Q:$Q,前年当月データ!$A:$A,$A10-364)-T10)</f>
        <v/>
      </c>
      <c r="V10" s="23" t="str">
        <f aca="false">IF(T10="","",IF(COUNTIF(祝日!$A:$A,($A10-364))&gt;0,"祝",CHOOSE(WEEKDAY(($A10-364),2),"月","火","水","木","金","土","日")))</f>
        <v/>
      </c>
      <c r="W10" s="23" t="n">
        <f aca="false">IF($A10="",0,IF(AND(設定!$B$17&gt;0,N(U10)&gt;0,C10&lt;&gt;"祝",V10&lt;&gt;"祝",E10&lt;&gt;"休業"),1,0))</f>
        <v>0</v>
      </c>
    </row>
    <row r="11" customFormat="false" ht="15" hidden="false" customHeight="false" outlineLevel="0" collapsed="false">
      <c r="A11" s="12" t="str">
        <f aca="false">IF(OR(設定!$B$7="",3&gt;設定!$B$8),"",設定!$B$7+2)</f>
        <v/>
      </c>
      <c r="B11" s="13" t="str">
        <f aca="false">IF($A11="","",CHOOSE(WEEKDAY($A11,2),"月","火","水","木","金","土","日"))</f>
        <v/>
      </c>
      <c r="C11" s="13" t="str">
        <f aca="false">IF($A11="","",IF(COUNTIF(祝日!$A:$A,$A11)&gt;0,"祝",CHOOSE(WEEKDAY($A11,2),"月","火","水","木","金","土","日")))</f>
        <v/>
      </c>
      <c r="D11" s="14"/>
      <c r="E11" s="13" t="str">
        <f aca="false">IF($A11="","",IF(D11&lt;&gt;"",D11,IF(IF(OR(C11="土",C11="日",C11="祝"),設定!$B$12,設定!$B$11)="あり","ランチ+ディナー","ディナーのみ")))</f>
        <v/>
      </c>
      <c r="F11" s="15" t="str">
        <f aca="false">IF($A11="","",IF(E11="ランチ+ディナー",INDEX(集計!$M$38:$M$45,MATCH(C11,集計!$A$38:$A$45,0)),0))</f>
        <v/>
      </c>
      <c r="G11" s="15" t="str">
        <f aca="false">IF($A11="","",IF(E11="休業",0,INDEX(集計!$L$38:$L$45,MATCH(C11,集計!$A$38:$A$45,0))))</f>
        <v/>
      </c>
      <c r="H11" s="16" t="str">
        <f aca="false">IF(W11=1,$A11-364,"")</f>
        <v/>
      </c>
      <c r="I11" s="17" t="str">
        <f aca="false">IF(W11=1,IF(AND(E11="ランチ+ディナー",T11&gt;=設定!$B$13),T11,0)+U11,"")</f>
        <v/>
      </c>
      <c r="J11" s="18" t="str">
        <f aca="false">IF($A11="","",設定!$B$21)</f>
        <v/>
      </c>
      <c r="K11" s="19" t="str">
        <f aca="false">IF($A11="","",設定!$B$19)</f>
        <v/>
      </c>
      <c r="L11" s="20" t="n">
        <v>1</v>
      </c>
      <c r="M11" s="15" t="str">
        <f aca="false">IF($A11="","",IF(E11&lt;&gt;"ランチ+ディナー",0,IF(AND(W11=1,T11&gt;=設定!$B$13),(1-設定!$B$17)*F11*J11+設定!$B$17*T11*設定!$B$22,F11*J11)*K11*N(L11)))</f>
        <v/>
      </c>
      <c r="N11" s="15" t="str">
        <f aca="false">IF($A11="","",IF(E11="休業",0,IF(W11=1,(1-設定!$B$17)*G11*J11+設定!$B$17*U11*設定!$B$22,G11*J11)*K11*N(L11)))</f>
        <v/>
      </c>
      <c r="O11" s="21" t="str">
        <f aca="false">IF($A11="","",ROUND(M11+N11,0))</f>
        <v/>
      </c>
      <c r="P11" s="17" t="str">
        <f aca="false">IF($A11="","",売上予測貼付用!S6)</f>
        <v/>
      </c>
      <c r="Q11" s="17" t="str">
        <f aca="false">IF($A11="","",IFERROR(P11/O11,""))</f>
        <v/>
      </c>
      <c r="R11" s="22"/>
      <c r="T11" s="23" t="str">
        <f aca="false">IF($A11="","",IF(COUNTIF(前年当月データ!$A:$A,$A11-364)=0,"",SUMIFS(前年当月データ!$Q:$Q,前年当月データ!$A:$A,$A11-364,前年当月データ!$K:$K,"&gt;=6",前年当月データ!$K:$K,"&lt;"&amp;設定!$B$10)))</f>
        <v/>
      </c>
      <c r="U11" s="23" t="str">
        <f aca="false">IF(T11="","",SUMIFS(前年当月データ!$Q:$Q,前年当月データ!$A:$A,$A11-364)-T11)</f>
        <v/>
      </c>
      <c r="V11" s="23" t="str">
        <f aca="false">IF(T11="","",IF(COUNTIF(祝日!$A:$A,($A11-364))&gt;0,"祝",CHOOSE(WEEKDAY(($A11-364),2),"月","火","水","木","金","土","日")))</f>
        <v/>
      </c>
      <c r="W11" s="23" t="n">
        <f aca="false">IF($A11="",0,IF(AND(設定!$B$17&gt;0,N(U11)&gt;0,C11&lt;&gt;"祝",V11&lt;&gt;"祝",E11&lt;&gt;"休業"),1,0))</f>
        <v>0</v>
      </c>
    </row>
    <row r="12" customFormat="false" ht="15" hidden="false" customHeight="false" outlineLevel="0" collapsed="false">
      <c r="A12" s="12" t="str">
        <f aca="false">IF(OR(設定!$B$7="",4&gt;設定!$B$8),"",設定!$B$7+3)</f>
        <v/>
      </c>
      <c r="B12" s="13" t="str">
        <f aca="false">IF($A12="","",CHOOSE(WEEKDAY($A12,2),"月","火","水","木","金","土","日"))</f>
        <v/>
      </c>
      <c r="C12" s="13" t="str">
        <f aca="false">IF($A12="","",IF(COUNTIF(祝日!$A:$A,$A12)&gt;0,"祝",CHOOSE(WEEKDAY($A12,2),"月","火","水","木","金","土","日")))</f>
        <v/>
      </c>
      <c r="D12" s="14"/>
      <c r="E12" s="13" t="str">
        <f aca="false">IF($A12="","",IF(D12&lt;&gt;"",D12,IF(IF(OR(C12="土",C12="日",C12="祝"),設定!$B$12,設定!$B$11)="あり","ランチ+ディナー","ディナーのみ")))</f>
        <v/>
      </c>
      <c r="F12" s="15" t="str">
        <f aca="false">IF($A12="","",IF(E12="ランチ+ディナー",INDEX(集計!$M$38:$M$45,MATCH(C12,集計!$A$38:$A$45,0)),0))</f>
        <v/>
      </c>
      <c r="G12" s="15" t="str">
        <f aca="false">IF($A12="","",IF(E12="休業",0,INDEX(集計!$L$38:$L$45,MATCH(C12,集計!$A$38:$A$45,0))))</f>
        <v/>
      </c>
      <c r="H12" s="16" t="str">
        <f aca="false">IF(W12=1,$A12-364,"")</f>
        <v/>
      </c>
      <c r="I12" s="17" t="str">
        <f aca="false">IF(W12=1,IF(AND(E12="ランチ+ディナー",T12&gt;=設定!$B$13),T12,0)+U12,"")</f>
        <v/>
      </c>
      <c r="J12" s="18" t="str">
        <f aca="false">IF($A12="","",設定!$B$21)</f>
        <v/>
      </c>
      <c r="K12" s="19" t="str">
        <f aca="false">IF($A12="","",設定!$B$19)</f>
        <v/>
      </c>
      <c r="L12" s="20" t="n">
        <v>1</v>
      </c>
      <c r="M12" s="15" t="str">
        <f aca="false">IF($A12="","",IF(E12&lt;&gt;"ランチ+ディナー",0,IF(AND(W12=1,T12&gt;=設定!$B$13),(1-設定!$B$17)*F12*J12+設定!$B$17*T12*設定!$B$22,F12*J12)*K12*N(L12)))</f>
        <v/>
      </c>
      <c r="N12" s="15" t="str">
        <f aca="false">IF($A12="","",IF(E12="休業",0,IF(W12=1,(1-設定!$B$17)*G12*J12+設定!$B$17*U12*設定!$B$22,G12*J12)*K12*N(L12)))</f>
        <v/>
      </c>
      <c r="O12" s="21" t="str">
        <f aca="false">IF($A12="","",ROUND(M12+N12,0))</f>
        <v/>
      </c>
      <c r="P12" s="17" t="str">
        <f aca="false">IF($A12="","",売上予測貼付用!S7)</f>
        <v/>
      </c>
      <c r="Q12" s="17" t="str">
        <f aca="false">IF($A12="","",IFERROR(P12/O12,""))</f>
        <v/>
      </c>
      <c r="R12" s="22"/>
      <c r="T12" s="23" t="str">
        <f aca="false">IF($A12="","",IF(COUNTIF(前年当月データ!$A:$A,$A12-364)=0,"",SUMIFS(前年当月データ!$Q:$Q,前年当月データ!$A:$A,$A12-364,前年当月データ!$K:$K,"&gt;=6",前年当月データ!$K:$K,"&lt;"&amp;設定!$B$10)))</f>
        <v/>
      </c>
      <c r="U12" s="23" t="str">
        <f aca="false">IF(T12="","",SUMIFS(前年当月データ!$Q:$Q,前年当月データ!$A:$A,$A12-364)-T12)</f>
        <v/>
      </c>
      <c r="V12" s="23" t="str">
        <f aca="false">IF(T12="","",IF(COUNTIF(祝日!$A:$A,($A12-364))&gt;0,"祝",CHOOSE(WEEKDAY(($A12-364),2),"月","火","水","木","金","土","日")))</f>
        <v/>
      </c>
      <c r="W12" s="23" t="n">
        <f aca="false">IF($A12="",0,IF(AND(設定!$B$17&gt;0,N(U12)&gt;0,C12&lt;&gt;"祝",V12&lt;&gt;"祝",E12&lt;&gt;"休業"),1,0))</f>
        <v>0</v>
      </c>
    </row>
    <row r="13" customFormat="false" ht="15" hidden="false" customHeight="false" outlineLevel="0" collapsed="false">
      <c r="A13" s="12" t="str">
        <f aca="false">IF(OR(設定!$B$7="",5&gt;設定!$B$8),"",設定!$B$7+4)</f>
        <v/>
      </c>
      <c r="B13" s="13" t="str">
        <f aca="false">IF($A13="","",CHOOSE(WEEKDAY($A13,2),"月","火","水","木","金","土","日"))</f>
        <v/>
      </c>
      <c r="C13" s="13" t="str">
        <f aca="false">IF($A13="","",IF(COUNTIF(祝日!$A:$A,$A13)&gt;0,"祝",CHOOSE(WEEKDAY($A13,2),"月","火","水","木","金","土","日")))</f>
        <v/>
      </c>
      <c r="D13" s="14"/>
      <c r="E13" s="13" t="str">
        <f aca="false">IF($A13="","",IF(D13&lt;&gt;"",D13,IF(IF(OR(C13="土",C13="日",C13="祝"),設定!$B$12,設定!$B$11)="あり","ランチ+ディナー","ディナーのみ")))</f>
        <v/>
      </c>
      <c r="F13" s="15" t="str">
        <f aca="false">IF($A13="","",IF(E13="ランチ+ディナー",INDEX(集計!$M$38:$M$45,MATCH(C13,集計!$A$38:$A$45,0)),0))</f>
        <v/>
      </c>
      <c r="G13" s="15" t="str">
        <f aca="false">IF($A13="","",IF(E13="休業",0,INDEX(集計!$L$38:$L$45,MATCH(C13,集計!$A$38:$A$45,0))))</f>
        <v/>
      </c>
      <c r="H13" s="16" t="str">
        <f aca="false">IF(W13=1,$A13-364,"")</f>
        <v/>
      </c>
      <c r="I13" s="17" t="str">
        <f aca="false">IF(W13=1,IF(AND(E13="ランチ+ディナー",T13&gt;=設定!$B$13),T13,0)+U13,"")</f>
        <v/>
      </c>
      <c r="J13" s="18" t="str">
        <f aca="false">IF($A13="","",設定!$B$21)</f>
        <v/>
      </c>
      <c r="K13" s="19" t="str">
        <f aca="false">IF($A13="","",設定!$B$19)</f>
        <v/>
      </c>
      <c r="L13" s="20" t="n">
        <v>1</v>
      </c>
      <c r="M13" s="15" t="str">
        <f aca="false">IF($A13="","",IF(E13&lt;&gt;"ランチ+ディナー",0,IF(AND(W13=1,T13&gt;=設定!$B$13),(1-設定!$B$17)*F13*J13+設定!$B$17*T13*設定!$B$22,F13*J13)*K13*N(L13)))</f>
        <v/>
      </c>
      <c r="N13" s="15" t="str">
        <f aca="false">IF($A13="","",IF(E13="休業",0,IF(W13=1,(1-設定!$B$17)*G13*J13+設定!$B$17*U13*設定!$B$22,G13*J13)*K13*N(L13)))</f>
        <v/>
      </c>
      <c r="O13" s="21" t="str">
        <f aca="false">IF($A13="","",ROUND(M13+N13,0))</f>
        <v/>
      </c>
      <c r="P13" s="17" t="str">
        <f aca="false">IF($A13="","",売上予測貼付用!S8)</f>
        <v/>
      </c>
      <c r="Q13" s="17" t="str">
        <f aca="false">IF($A13="","",IFERROR(P13/O13,""))</f>
        <v/>
      </c>
      <c r="R13" s="22"/>
      <c r="T13" s="23" t="str">
        <f aca="false">IF($A13="","",IF(COUNTIF(前年当月データ!$A:$A,$A13-364)=0,"",SUMIFS(前年当月データ!$Q:$Q,前年当月データ!$A:$A,$A13-364,前年当月データ!$K:$K,"&gt;=6",前年当月データ!$K:$K,"&lt;"&amp;設定!$B$10)))</f>
        <v/>
      </c>
      <c r="U13" s="23" t="str">
        <f aca="false">IF(T13="","",SUMIFS(前年当月データ!$Q:$Q,前年当月データ!$A:$A,$A13-364)-T13)</f>
        <v/>
      </c>
      <c r="V13" s="23" t="str">
        <f aca="false">IF(T13="","",IF(COUNTIF(祝日!$A:$A,($A13-364))&gt;0,"祝",CHOOSE(WEEKDAY(($A13-364),2),"月","火","水","木","金","土","日")))</f>
        <v/>
      </c>
      <c r="W13" s="23" t="n">
        <f aca="false">IF($A13="",0,IF(AND(設定!$B$17&gt;0,N(U13)&gt;0,C13&lt;&gt;"祝",V13&lt;&gt;"祝",E13&lt;&gt;"休業"),1,0))</f>
        <v>0</v>
      </c>
    </row>
    <row r="14" customFormat="false" ht="15" hidden="false" customHeight="false" outlineLevel="0" collapsed="false">
      <c r="A14" s="12" t="str">
        <f aca="false">IF(OR(設定!$B$7="",6&gt;設定!$B$8),"",設定!$B$7+5)</f>
        <v/>
      </c>
      <c r="B14" s="13" t="str">
        <f aca="false">IF($A14="","",CHOOSE(WEEKDAY($A14,2),"月","火","水","木","金","土","日"))</f>
        <v/>
      </c>
      <c r="C14" s="13" t="str">
        <f aca="false">IF($A14="","",IF(COUNTIF(祝日!$A:$A,$A14)&gt;0,"祝",CHOOSE(WEEKDAY($A14,2),"月","火","水","木","金","土","日")))</f>
        <v/>
      </c>
      <c r="D14" s="14"/>
      <c r="E14" s="13" t="str">
        <f aca="false">IF($A14="","",IF(D14&lt;&gt;"",D14,IF(IF(OR(C14="土",C14="日",C14="祝"),設定!$B$12,設定!$B$11)="あり","ランチ+ディナー","ディナーのみ")))</f>
        <v/>
      </c>
      <c r="F14" s="15" t="str">
        <f aca="false">IF($A14="","",IF(E14="ランチ+ディナー",INDEX(集計!$M$38:$M$45,MATCH(C14,集計!$A$38:$A$45,0)),0))</f>
        <v/>
      </c>
      <c r="G14" s="15" t="str">
        <f aca="false">IF($A14="","",IF(E14="休業",0,INDEX(集計!$L$38:$L$45,MATCH(C14,集計!$A$38:$A$45,0))))</f>
        <v/>
      </c>
      <c r="H14" s="16" t="str">
        <f aca="false">IF(W14=1,$A14-364,"")</f>
        <v/>
      </c>
      <c r="I14" s="17" t="str">
        <f aca="false">IF(W14=1,IF(AND(E14="ランチ+ディナー",T14&gt;=設定!$B$13),T14,0)+U14,"")</f>
        <v/>
      </c>
      <c r="J14" s="18" t="str">
        <f aca="false">IF($A14="","",設定!$B$21)</f>
        <v/>
      </c>
      <c r="K14" s="19" t="str">
        <f aca="false">IF($A14="","",設定!$B$19)</f>
        <v/>
      </c>
      <c r="L14" s="20" t="n">
        <v>1</v>
      </c>
      <c r="M14" s="15" t="str">
        <f aca="false">IF($A14="","",IF(E14&lt;&gt;"ランチ+ディナー",0,IF(AND(W14=1,T14&gt;=設定!$B$13),(1-設定!$B$17)*F14*J14+設定!$B$17*T14*設定!$B$22,F14*J14)*K14*N(L14)))</f>
        <v/>
      </c>
      <c r="N14" s="15" t="str">
        <f aca="false">IF($A14="","",IF(E14="休業",0,IF(W14=1,(1-設定!$B$17)*G14*J14+設定!$B$17*U14*設定!$B$22,G14*J14)*K14*N(L14)))</f>
        <v/>
      </c>
      <c r="O14" s="21" t="str">
        <f aca="false">IF($A14="","",ROUND(M14+N14,0))</f>
        <v/>
      </c>
      <c r="P14" s="17" t="str">
        <f aca="false">IF($A14="","",売上予測貼付用!S9)</f>
        <v/>
      </c>
      <c r="Q14" s="17" t="str">
        <f aca="false">IF($A14="","",IFERROR(P14/O14,""))</f>
        <v/>
      </c>
      <c r="R14" s="22"/>
      <c r="T14" s="23" t="str">
        <f aca="false">IF($A14="","",IF(COUNTIF(前年当月データ!$A:$A,$A14-364)=0,"",SUMIFS(前年当月データ!$Q:$Q,前年当月データ!$A:$A,$A14-364,前年当月データ!$K:$K,"&gt;=6",前年当月データ!$K:$K,"&lt;"&amp;設定!$B$10)))</f>
        <v/>
      </c>
      <c r="U14" s="23" t="str">
        <f aca="false">IF(T14="","",SUMIFS(前年当月データ!$Q:$Q,前年当月データ!$A:$A,$A14-364)-T14)</f>
        <v/>
      </c>
      <c r="V14" s="23" t="str">
        <f aca="false">IF(T14="","",IF(COUNTIF(祝日!$A:$A,($A14-364))&gt;0,"祝",CHOOSE(WEEKDAY(($A14-364),2),"月","火","水","木","金","土","日")))</f>
        <v/>
      </c>
      <c r="W14" s="23" t="n">
        <f aca="false">IF($A14="",0,IF(AND(設定!$B$17&gt;0,N(U14)&gt;0,C14&lt;&gt;"祝",V14&lt;&gt;"祝",E14&lt;&gt;"休業"),1,0))</f>
        <v>0</v>
      </c>
    </row>
    <row r="15" customFormat="false" ht="15" hidden="false" customHeight="false" outlineLevel="0" collapsed="false">
      <c r="A15" s="12" t="str">
        <f aca="false">IF(OR(設定!$B$7="",7&gt;設定!$B$8),"",設定!$B$7+6)</f>
        <v/>
      </c>
      <c r="B15" s="13" t="str">
        <f aca="false">IF($A15="","",CHOOSE(WEEKDAY($A15,2),"月","火","水","木","金","土","日"))</f>
        <v/>
      </c>
      <c r="C15" s="13" t="str">
        <f aca="false">IF($A15="","",IF(COUNTIF(祝日!$A:$A,$A15)&gt;0,"祝",CHOOSE(WEEKDAY($A15,2),"月","火","水","木","金","土","日")))</f>
        <v/>
      </c>
      <c r="D15" s="14"/>
      <c r="E15" s="13" t="str">
        <f aca="false">IF($A15="","",IF(D15&lt;&gt;"",D15,IF(IF(OR(C15="土",C15="日",C15="祝"),設定!$B$12,設定!$B$11)="あり","ランチ+ディナー","ディナーのみ")))</f>
        <v/>
      </c>
      <c r="F15" s="15" t="str">
        <f aca="false">IF($A15="","",IF(E15="ランチ+ディナー",INDEX(集計!$M$38:$M$45,MATCH(C15,集計!$A$38:$A$45,0)),0))</f>
        <v/>
      </c>
      <c r="G15" s="15" t="str">
        <f aca="false">IF($A15="","",IF(E15="休業",0,INDEX(集計!$L$38:$L$45,MATCH(C15,集計!$A$38:$A$45,0))))</f>
        <v/>
      </c>
      <c r="H15" s="16" t="str">
        <f aca="false">IF(W15=1,$A15-364,"")</f>
        <v/>
      </c>
      <c r="I15" s="17" t="str">
        <f aca="false">IF(W15=1,IF(AND(E15="ランチ+ディナー",T15&gt;=設定!$B$13),T15,0)+U15,"")</f>
        <v/>
      </c>
      <c r="J15" s="18" t="str">
        <f aca="false">IF($A15="","",設定!$B$21)</f>
        <v/>
      </c>
      <c r="K15" s="19" t="str">
        <f aca="false">IF($A15="","",設定!$B$19)</f>
        <v/>
      </c>
      <c r="L15" s="20" t="n">
        <v>1</v>
      </c>
      <c r="M15" s="15" t="str">
        <f aca="false">IF($A15="","",IF(E15&lt;&gt;"ランチ+ディナー",0,IF(AND(W15=1,T15&gt;=設定!$B$13),(1-設定!$B$17)*F15*J15+設定!$B$17*T15*設定!$B$22,F15*J15)*K15*N(L15)))</f>
        <v/>
      </c>
      <c r="N15" s="15" t="str">
        <f aca="false">IF($A15="","",IF(E15="休業",0,IF(W15=1,(1-設定!$B$17)*G15*J15+設定!$B$17*U15*設定!$B$22,G15*J15)*K15*N(L15)))</f>
        <v/>
      </c>
      <c r="O15" s="21" t="str">
        <f aca="false">IF($A15="","",ROUND(M15+N15,0))</f>
        <v/>
      </c>
      <c r="P15" s="17" t="str">
        <f aca="false">IF($A15="","",売上予測貼付用!S10)</f>
        <v/>
      </c>
      <c r="Q15" s="17" t="str">
        <f aca="false">IF($A15="","",IFERROR(P15/O15,""))</f>
        <v/>
      </c>
      <c r="R15" s="22"/>
      <c r="T15" s="23" t="str">
        <f aca="false">IF($A15="","",IF(COUNTIF(前年当月データ!$A:$A,$A15-364)=0,"",SUMIFS(前年当月データ!$Q:$Q,前年当月データ!$A:$A,$A15-364,前年当月データ!$K:$K,"&gt;=6",前年当月データ!$K:$K,"&lt;"&amp;設定!$B$10)))</f>
        <v/>
      </c>
      <c r="U15" s="23" t="str">
        <f aca="false">IF(T15="","",SUMIFS(前年当月データ!$Q:$Q,前年当月データ!$A:$A,$A15-364)-T15)</f>
        <v/>
      </c>
      <c r="V15" s="23" t="str">
        <f aca="false">IF(T15="","",IF(COUNTIF(祝日!$A:$A,($A15-364))&gt;0,"祝",CHOOSE(WEEKDAY(($A15-364),2),"月","火","水","木","金","土","日")))</f>
        <v/>
      </c>
      <c r="W15" s="23" t="n">
        <f aca="false">IF($A15="",0,IF(AND(設定!$B$17&gt;0,N(U15)&gt;0,C15&lt;&gt;"祝",V15&lt;&gt;"祝",E15&lt;&gt;"休業"),1,0))</f>
        <v>0</v>
      </c>
    </row>
    <row r="16" customFormat="false" ht="15" hidden="false" customHeight="false" outlineLevel="0" collapsed="false">
      <c r="A16" s="12" t="str">
        <f aca="false">IF(OR(設定!$B$7="",8&gt;設定!$B$8),"",設定!$B$7+7)</f>
        <v/>
      </c>
      <c r="B16" s="13" t="str">
        <f aca="false">IF($A16="","",CHOOSE(WEEKDAY($A16,2),"月","火","水","木","金","土","日"))</f>
        <v/>
      </c>
      <c r="C16" s="13" t="str">
        <f aca="false">IF($A16="","",IF(COUNTIF(祝日!$A:$A,$A16)&gt;0,"祝",CHOOSE(WEEKDAY($A16,2),"月","火","水","木","金","土","日")))</f>
        <v/>
      </c>
      <c r="D16" s="14"/>
      <c r="E16" s="13" t="str">
        <f aca="false">IF($A16="","",IF(D16&lt;&gt;"",D16,IF(IF(OR(C16="土",C16="日",C16="祝"),設定!$B$12,設定!$B$11)="あり","ランチ+ディナー","ディナーのみ")))</f>
        <v/>
      </c>
      <c r="F16" s="15" t="str">
        <f aca="false">IF($A16="","",IF(E16="ランチ+ディナー",INDEX(集計!$M$38:$M$45,MATCH(C16,集計!$A$38:$A$45,0)),0))</f>
        <v/>
      </c>
      <c r="G16" s="15" t="str">
        <f aca="false">IF($A16="","",IF(E16="休業",0,INDEX(集計!$L$38:$L$45,MATCH(C16,集計!$A$38:$A$45,0))))</f>
        <v/>
      </c>
      <c r="H16" s="16" t="str">
        <f aca="false">IF(W16=1,$A16-364,"")</f>
        <v/>
      </c>
      <c r="I16" s="17" t="str">
        <f aca="false">IF(W16=1,IF(AND(E16="ランチ+ディナー",T16&gt;=設定!$B$13),T16,0)+U16,"")</f>
        <v/>
      </c>
      <c r="J16" s="18" t="str">
        <f aca="false">IF($A16="","",設定!$B$21)</f>
        <v/>
      </c>
      <c r="K16" s="19" t="str">
        <f aca="false">IF($A16="","",設定!$B$19)</f>
        <v/>
      </c>
      <c r="L16" s="20" t="n">
        <v>1</v>
      </c>
      <c r="M16" s="15" t="str">
        <f aca="false">IF($A16="","",IF(E16&lt;&gt;"ランチ+ディナー",0,IF(AND(W16=1,T16&gt;=設定!$B$13),(1-設定!$B$17)*F16*J16+設定!$B$17*T16*設定!$B$22,F16*J16)*K16*N(L16)))</f>
        <v/>
      </c>
      <c r="N16" s="15" t="str">
        <f aca="false">IF($A16="","",IF(E16="休業",0,IF(W16=1,(1-設定!$B$17)*G16*J16+設定!$B$17*U16*設定!$B$22,G16*J16)*K16*N(L16)))</f>
        <v/>
      </c>
      <c r="O16" s="21" t="str">
        <f aca="false">IF($A16="","",ROUND(M16+N16,0))</f>
        <v/>
      </c>
      <c r="P16" s="17" t="str">
        <f aca="false">IF($A16="","",売上予測貼付用!S11)</f>
        <v/>
      </c>
      <c r="Q16" s="17" t="str">
        <f aca="false">IF($A16="","",IFERROR(P16/O16,""))</f>
        <v/>
      </c>
      <c r="R16" s="22"/>
      <c r="T16" s="23" t="str">
        <f aca="false">IF($A16="","",IF(COUNTIF(前年当月データ!$A:$A,$A16-364)=0,"",SUMIFS(前年当月データ!$Q:$Q,前年当月データ!$A:$A,$A16-364,前年当月データ!$K:$K,"&gt;=6",前年当月データ!$K:$K,"&lt;"&amp;設定!$B$10)))</f>
        <v/>
      </c>
      <c r="U16" s="23" t="str">
        <f aca="false">IF(T16="","",SUMIFS(前年当月データ!$Q:$Q,前年当月データ!$A:$A,$A16-364)-T16)</f>
        <v/>
      </c>
      <c r="V16" s="23" t="str">
        <f aca="false">IF(T16="","",IF(COUNTIF(祝日!$A:$A,($A16-364))&gt;0,"祝",CHOOSE(WEEKDAY(($A16-364),2),"月","火","水","木","金","土","日")))</f>
        <v/>
      </c>
      <c r="W16" s="23" t="n">
        <f aca="false">IF($A16="",0,IF(AND(設定!$B$17&gt;0,N(U16)&gt;0,C16&lt;&gt;"祝",V16&lt;&gt;"祝",E16&lt;&gt;"休業"),1,0))</f>
        <v>0</v>
      </c>
    </row>
    <row r="17" customFormat="false" ht="15" hidden="false" customHeight="false" outlineLevel="0" collapsed="false">
      <c r="A17" s="12" t="str">
        <f aca="false">IF(OR(設定!$B$7="",9&gt;設定!$B$8),"",設定!$B$7+8)</f>
        <v/>
      </c>
      <c r="B17" s="13" t="str">
        <f aca="false">IF($A17="","",CHOOSE(WEEKDAY($A17,2),"月","火","水","木","金","土","日"))</f>
        <v/>
      </c>
      <c r="C17" s="13" t="str">
        <f aca="false">IF($A17="","",IF(COUNTIF(祝日!$A:$A,$A17)&gt;0,"祝",CHOOSE(WEEKDAY($A17,2),"月","火","水","木","金","土","日")))</f>
        <v/>
      </c>
      <c r="D17" s="14"/>
      <c r="E17" s="13" t="str">
        <f aca="false">IF($A17="","",IF(D17&lt;&gt;"",D17,IF(IF(OR(C17="土",C17="日",C17="祝"),設定!$B$12,設定!$B$11)="あり","ランチ+ディナー","ディナーのみ")))</f>
        <v/>
      </c>
      <c r="F17" s="15" t="str">
        <f aca="false">IF($A17="","",IF(E17="ランチ+ディナー",INDEX(集計!$M$38:$M$45,MATCH(C17,集計!$A$38:$A$45,0)),0))</f>
        <v/>
      </c>
      <c r="G17" s="15" t="str">
        <f aca="false">IF($A17="","",IF(E17="休業",0,INDEX(集計!$L$38:$L$45,MATCH(C17,集計!$A$38:$A$45,0))))</f>
        <v/>
      </c>
      <c r="H17" s="16" t="str">
        <f aca="false">IF(W17=1,$A17-364,"")</f>
        <v/>
      </c>
      <c r="I17" s="17" t="str">
        <f aca="false">IF(W17=1,IF(AND(E17="ランチ+ディナー",T17&gt;=設定!$B$13),T17,0)+U17,"")</f>
        <v/>
      </c>
      <c r="J17" s="18" t="str">
        <f aca="false">IF($A17="","",設定!$B$21)</f>
        <v/>
      </c>
      <c r="K17" s="19" t="str">
        <f aca="false">IF($A17="","",設定!$B$19)</f>
        <v/>
      </c>
      <c r="L17" s="20" t="n">
        <v>1</v>
      </c>
      <c r="M17" s="15" t="str">
        <f aca="false">IF($A17="","",IF(E17&lt;&gt;"ランチ+ディナー",0,IF(AND(W17=1,T17&gt;=設定!$B$13),(1-設定!$B$17)*F17*J17+設定!$B$17*T17*設定!$B$22,F17*J17)*K17*N(L17)))</f>
        <v/>
      </c>
      <c r="N17" s="15" t="str">
        <f aca="false">IF($A17="","",IF(E17="休業",0,IF(W17=1,(1-設定!$B$17)*G17*J17+設定!$B$17*U17*設定!$B$22,G17*J17)*K17*N(L17)))</f>
        <v/>
      </c>
      <c r="O17" s="21" t="str">
        <f aca="false">IF($A17="","",ROUND(M17+N17,0))</f>
        <v/>
      </c>
      <c r="P17" s="17" t="str">
        <f aca="false">IF($A17="","",売上予測貼付用!S12)</f>
        <v/>
      </c>
      <c r="Q17" s="17" t="str">
        <f aca="false">IF($A17="","",IFERROR(P17/O17,""))</f>
        <v/>
      </c>
      <c r="R17" s="22"/>
      <c r="T17" s="23" t="str">
        <f aca="false">IF($A17="","",IF(COUNTIF(前年当月データ!$A:$A,$A17-364)=0,"",SUMIFS(前年当月データ!$Q:$Q,前年当月データ!$A:$A,$A17-364,前年当月データ!$K:$K,"&gt;=6",前年当月データ!$K:$K,"&lt;"&amp;設定!$B$10)))</f>
        <v/>
      </c>
      <c r="U17" s="23" t="str">
        <f aca="false">IF(T17="","",SUMIFS(前年当月データ!$Q:$Q,前年当月データ!$A:$A,$A17-364)-T17)</f>
        <v/>
      </c>
      <c r="V17" s="23" t="str">
        <f aca="false">IF(T17="","",IF(COUNTIF(祝日!$A:$A,($A17-364))&gt;0,"祝",CHOOSE(WEEKDAY(($A17-364),2),"月","火","水","木","金","土","日")))</f>
        <v/>
      </c>
      <c r="W17" s="23" t="n">
        <f aca="false">IF($A17="",0,IF(AND(設定!$B$17&gt;0,N(U17)&gt;0,C17&lt;&gt;"祝",V17&lt;&gt;"祝",E17&lt;&gt;"休業"),1,0))</f>
        <v>0</v>
      </c>
    </row>
    <row r="18" customFormat="false" ht="15" hidden="false" customHeight="false" outlineLevel="0" collapsed="false">
      <c r="A18" s="12" t="str">
        <f aca="false">IF(OR(設定!$B$7="",10&gt;設定!$B$8),"",設定!$B$7+9)</f>
        <v/>
      </c>
      <c r="B18" s="13" t="str">
        <f aca="false">IF($A18="","",CHOOSE(WEEKDAY($A18,2),"月","火","水","木","金","土","日"))</f>
        <v/>
      </c>
      <c r="C18" s="13" t="str">
        <f aca="false">IF($A18="","",IF(COUNTIF(祝日!$A:$A,$A18)&gt;0,"祝",CHOOSE(WEEKDAY($A18,2),"月","火","水","木","金","土","日")))</f>
        <v/>
      </c>
      <c r="D18" s="14"/>
      <c r="E18" s="13" t="str">
        <f aca="false">IF($A18="","",IF(D18&lt;&gt;"",D18,IF(IF(OR(C18="土",C18="日",C18="祝"),設定!$B$12,設定!$B$11)="あり","ランチ+ディナー","ディナーのみ")))</f>
        <v/>
      </c>
      <c r="F18" s="15" t="str">
        <f aca="false">IF($A18="","",IF(E18="ランチ+ディナー",INDEX(集計!$M$38:$M$45,MATCH(C18,集計!$A$38:$A$45,0)),0))</f>
        <v/>
      </c>
      <c r="G18" s="15" t="str">
        <f aca="false">IF($A18="","",IF(E18="休業",0,INDEX(集計!$L$38:$L$45,MATCH(C18,集計!$A$38:$A$45,0))))</f>
        <v/>
      </c>
      <c r="H18" s="16" t="str">
        <f aca="false">IF(W18=1,$A18-364,"")</f>
        <v/>
      </c>
      <c r="I18" s="17" t="str">
        <f aca="false">IF(W18=1,IF(AND(E18="ランチ+ディナー",T18&gt;=設定!$B$13),T18,0)+U18,"")</f>
        <v/>
      </c>
      <c r="J18" s="18" t="str">
        <f aca="false">IF($A18="","",設定!$B$21)</f>
        <v/>
      </c>
      <c r="K18" s="19" t="str">
        <f aca="false">IF($A18="","",設定!$B$19)</f>
        <v/>
      </c>
      <c r="L18" s="20" t="n">
        <v>1</v>
      </c>
      <c r="M18" s="15" t="str">
        <f aca="false">IF($A18="","",IF(E18&lt;&gt;"ランチ+ディナー",0,IF(AND(W18=1,T18&gt;=設定!$B$13),(1-設定!$B$17)*F18*J18+設定!$B$17*T18*設定!$B$22,F18*J18)*K18*N(L18)))</f>
        <v/>
      </c>
      <c r="N18" s="15" t="str">
        <f aca="false">IF($A18="","",IF(E18="休業",0,IF(W18=1,(1-設定!$B$17)*G18*J18+設定!$B$17*U18*設定!$B$22,G18*J18)*K18*N(L18)))</f>
        <v/>
      </c>
      <c r="O18" s="21" t="str">
        <f aca="false">IF($A18="","",ROUND(M18+N18,0))</f>
        <v/>
      </c>
      <c r="P18" s="17" t="str">
        <f aca="false">IF($A18="","",売上予測貼付用!S13)</f>
        <v/>
      </c>
      <c r="Q18" s="17" t="str">
        <f aca="false">IF($A18="","",IFERROR(P18/O18,""))</f>
        <v/>
      </c>
      <c r="R18" s="22"/>
      <c r="T18" s="23" t="str">
        <f aca="false">IF($A18="","",IF(COUNTIF(前年当月データ!$A:$A,$A18-364)=0,"",SUMIFS(前年当月データ!$Q:$Q,前年当月データ!$A:$A,$A18-364,前年当月データ!$K:$K,"&gt;=6",前年当月データ!$K:$K,"&lt;"&amp;設定!$B$10)))</f>
        <v/>
      </c>
      <c r="U18" s="23" t="str">
        <f aca="false">IF(T18="","",SUMIFS(前年当月データ!$Q:$Q,前年当月データ!$A:$A,$A18-364)-T18)</f>
        <v/>
      </c>
      <c r="V18" s="23" t="str">
        <f aca="false">IF(T18="","",IF(COUNTIF(祝日!$A:$A,($A18-364))&gt;0,"祝",CHOOSE(WEEKDAY(($A18-364),2),"月","火","水","木","金","土","日")))</f>
        <v/>
      </c>
      <c r="W18" s="23" t="n">
        <f aca="false">IF($A18="",0,IF(AND(設定!$B$17&gt;0,N(U18)&gt;0,C18&lt;&gt;"祝",V18&lt;&gt;"祝",E18&lt;&gt;"休業"),1,0))</f>
        <v>0</v>
      </c>
    </row>
    <row r="19" customFormat="false" ht="15" hidden="false" customHeight="false" outlineLevel="0" collapsed="false">
      <c r="A19" s="12" t="str">
        <f aca="false">IF(OR(設定!$B$7="",11&gt;設定!$B$8),"",設定!$B$7+10)</f>
        <v/>
      </c>
      <c r="B19" s="13" t="str">
        <f aca="false">IF($A19="","",CHOOSE(WEEKDAY($A19,2),"月","火","水","木","金","土","日"))</f>
        <v/>
      </c>
      <c r="C19" s="13" t="str">
        <f aca="false">IF($A19="","",IF(COUNTIF(祝日!$A:$A,$A19)&gt;0,"祝",CHOOSE(WEEKDAY($A19,2),"月","火","水","木","金","土","日")))</f>
        <v/>
      </c>
      <c r="D19" s="14"/>
      <c r="E19" s="13" t="str">
        <f aca="false">IF($A19="","",IF(D19&lt;&gt;"",D19,IF(IF(OR(C19="土",C19="日",C19="祝"),設定!$B$12,設定!$B$11)="あり","ランチ+ディナー","ディナーのみ")))</f>
        <v/>
      </c>
      <c r="F19" s="15" t="str">
        <f aca="false">IF($A19="","",IF(E19="ランチ+ディナー",INDEX(集計!$M$38:$M$45,MATCH(C19,集計!$A$38:$A$45,0)),0))</f>
        <v/>
      </c>
      <c r="G19" s="15" t="str">
        <f aca="false">IF($A19="","",IF(E19="休業",0,INDEX(集計!$L$38:$L$45,MATCH(C19,集計!$A$38:$A$45,0))))</f>
        <v/>
      </c>
      <c r="H19" s="16" t="str">
        <f aca="false">IF(W19=1,$A19-364,"")</f>
        <v/>
      </c>
      <c r="I19" s="17" t="str">
        <f aca="false">IF(W19=1,IF(AND(E19="ランチ+ディナー",T19&gt;=設定!$B$13),T19,0)+U19,"")</f>
        <v/>
      </c>
      <c r="J19" s="18" t="str">
        <f aca="false">IF($A19="","",設定!$B$21)</f>
        <v/>
      </c>
      <c r="K19" s="19" t="str">
        <f aca="false">IF($A19="","",設定!$B$19)</f>
        <v/>
      </c>
      <c r="L19" s="20" t="n">
        <v>1</v>
      </c>
      <c r="M19" s="15" t="str">
        <f aca="false">IF($A19="","",IF(E19&lt;&gt;"ランチ+ディナー",0,IF(AND(W19=1,T19&gt;=設定!$B$13),(1-設定!$B$17)*F19*J19+設定!$B$17*T19*設定!$B$22,F19*J19)*K19*N(L19)))</f>
        <v/>
      </c>
      <c r="N19" s="15" t="str">
        <f aca="false">IF($A19="","",IF(E19="休業",0,IF(W19=1,(1-設定!$B$17)*G19*J19+設定!$B$17*U19*設定!$B$22,G19*J19)*K19*N(L19)))</f>
        <v/>
      </c>
      <c r="O19" s="21" t="str">
        <f aca="false">IF($A19="","",ROUND(M19+N19,0))</f>
        <v/>
      </c>
      <c r="P19" s="17" t="str">
        <f aca="false">IF($A19="","",売上予測貼付用!S14)</f>
        <v/>
      </c>
      <c r="Q19" s="17" t="str">
        <f aca="false">IF($A19="","",IFERROR(P19/O19,""))</f>
        <v/>
      </c>
      <c r="R19" s="22"/>
      <c r="T19" s="23" t="str">
        <f aca="false">IF($A19="","",IF(COUNTIF(前年当月データ!$A:$A,$A19-364)=0,"",SUMIFS(前年当月データ!$Q:$Q,前年当月データ!$A:$A,$A19-364,前年当月データ!$K:$K,"&gt;=6",前年当月データ!$K:$K,"&lt;"&amp;設定!$B$10)))</f>
        <v/>
      </c>
      <c r="U19" s="23" t="str">
        <f aca="false">IF(T19="","",SUMIFS(前年当月データ!$Q:$Q,前年当月データ!$A:$A,$A19-364)-T19)</f>
        <v/>
      </c>
      <c r="V19" s="23" t="str">
        <f aca="false">IF(T19="","",IF(COUNTIF(祝日!$A:$A,($A19-364))&gt;0,"祝",CHOOSE(WEEKDAY(($A19-364),2),"月","火","水","木","金","土","日")))</f>
        <v/>
      </c>
      <c r="W19" s="23" t="n">
        <f aca="false">IF($A19="",0,IF(AND(設定!$B$17&gt;0,N(U19)&gt;0,C19&lt;&gt;"祝",V19&lt;&gt;"祝",E19&lt;&gt;"休業"),1,0))</f>
        <v>0</v>
      </c>
    </row>
    <row r="20" customFormat="false" ht="15" hidden="false" customHeight="false" outlineLevel="0" collapsed="false">
      <c r="A20" s="12" t="str">
        <f aca="false">IF(OR(設定!$B$7="",12&gt;設定!$B$8),"",設定!$B$7+11)</f>
        <v/>
      </c>
      <c r="B20" s="13" t="str">
        <f aca="false">IF($A20="","",CHOOSE(WEEKDAY($A20,2),"月","火","水","木","金","土","日"))</f>
        <v/>
      </c>
      <c r="C20" s="13" t="str">
        <f aca="false">IF($A20="","",IF(COUNTIF(祝日!$A:$A,$A20)&gt;0,"祝",CHOOSE(WEEKDAY($A20,2),"月","火","水","木","金","土","日")))</f>
        <v/>
      </c>
      <c r="D20" s="14"/>
      <c r="E20" s="13" t="str">
        <f aca="false">IF($A20="","",IF(D20&lt;&gt;"",D20,IF(IF(OR(C20="土",C20="日",C20="祝"),設定!$B$12,設定!$B$11)="あり","ランチ+ディナー","ディナーのみ")))</f>
        <v/>
      </c>
      <c r="F20" s="15" t="str">
        <f aca="false">IF($A20="","",IF(E20="ランチ+ディナー",INDEX(集計!$M$38:$M$45,MATCH(C20,集計!$A$38:$A$45,0)),0))</f>
        <v/>
      </c>
      <c r="G20" s="15" t="str">
        <f aca="false">IF($A20="","",IF(E20="休業",0,INDEX(集計!$L$38:$L$45,MATCH(C20,集計!$A$38:$A$45,0))))</f>
        <v/>
      </c>
      <c r="H20" s="16" t="str">
        <f aca="false">IF(W20=1,$A20-364,"")</f>
        <v/>
      </c>
      <c r="I20" s="17" t="str">
        <f aca="false">IF(W20=1,IF(AND(E20="ランチ+ディナー",T20&gt;=設定!$B$13),T20,0)+U20,"")</f>
        <v/>
      </c>
      <c r="J20" s="18" t="str">
        <f aca="false">IF($A20="","",設定!$B$21)</f>
        <v/>
      </c>
      <c r="K20" s="19" t="str">
        <f aca="false">IF($A20="","",設定!$B$19)</f>
        <v/>
      </c>
      <c r="L20" s="20" t="n">
        <v>1</v>
      </c>
      <c r="M20" s="15" t="str">
        <f aca="false">IF($A20="","",IF(E20&lt;&gt;"ランチ+ディナー",0,IF(AND(W20=1,T20&gt;=設定!$B$13),(1-設定!$B$17)*F20*J20+設定!$B$17*T20*設定!$B$22,F20*J20)*K20*N(L20)))</f>
        <v/>
      </c>
      <c r="N20" s="15" t="str">
        <f aca="false">IF($A20="","",IF(E20="休業",0,IF(W20=1,(1-設定!$B$17)*G20*J20+設定!$B$17*U20*設定!$B$22,G20*J20)*K20*N(L20)))</f>
        <v/>
      </c>
      <c r="O20" s="21" t="str">
        <f aca="false">IF($A20="","",ROUND(M20+N20,0))</f>
        <v/>
      </c>
      <c r="P20" s="17" t="str">
        <f aca="false">IF($A20="","",売上予測貼付用!S15)</f>
        <v/>
      </c>
      <c r="Q20" s="17" t="str">
        <f aca="false">IF($A20="","",IFERROR(P20/O20,""))</f>
        <v/>
      </c>
      <c r="R20" s="22"/>
      <c r="T20" s="23" t="str">
        <f aca="false">IF($A20="","",IF(COUNTIF(前年当月データ!$A:$A,$A20-364)=0,"",SUMIFS(前年当月データ!$Q:$Q,前年当月データ!$A:$A,$A20-364,前年当月データ!$K:$K,"&gt;=6",前年当月データ!$K:$K,"&lt;"&amp;設定!$B$10)))</f>
        <v/>
      </c>
      <c r="U20" s="23" t="str">
        <f aca="false">IF(T20="","",SUMIFS(前年当月データ!$Q:$Q,前年当月データ!$A:$A,$A20-364)-T20)</f>
        <v/>
      </c>
      <c r="V20" s="23" t="str">
        <f aca="false">IF(T20="","",IF(COUNTIF(祝日!$A:$A,($A20-364))&gt;0,"祝",CHOOSE(WEEKDAY(($A20-364),2),"月","火","水","木","金","土","日")))</f>
        <v/>
      </c>
      <c r="W20" s="23" t="n">
        <f aca="false">IF($A20="",0,IF(AND(設定!$B$17&gt;0,N(U20)&gt;0,C20&lt;&gt;"祝",V20&lt;&gt;"祝",E20&lt;&gt;"休業"),1,0))</f>
        <v>0</v>
      </c>
    </row>
    <row r="21" customFormat="false" ht="15" hidden="false" customHeight="false" outlineLevel="0" collapsed="false">
      <c r="A21" s="12" t="str">
        <f aca="false">IF(OR(設定!$B$7="",13&gt;設定!$B$8),"",設定!$B$7+12)</f>
        <v/>
      </c>
      <c r="B21" s="13" t="str">
        <f aca="false">IF($A21="","",CHOOSE(WEEKDAY($A21,2),"月","火","水","木","金","土","日"))</f>
        <v/>
      </c>
      <c r="C21" s="13" t="str">
        <f aca="false">IF($A21="","",IF(COUNTIF(祝日!$A:$A,$A21)&gt;0,"祝",CHOOSE(WEEKDAY($A21,2),"月","火","水","木","金","土","日")))</f>
        <v/>
      </c>
      <c r="D21" s="14"/>
      <c r="E21" s="13" t="str">
        <f aca="false">IF($A21="","",IF(D21&lt;&gt;"",D21,IF(IF(OR(C21="土",C21="日",C21="祝"),設定!$B$12,設定!$B$11)="あり","ランチ+ディナー","ディナーのみ")))</f>
        <v/>
      </c>
      <c r="F21" s="15" t="str">
        <f aca="false">IF($A21="","",IF(E21="ランチ+ディナー",INDEX(集計!$M$38:$M$45,MATCH(C21,集計!$A$38:$A$45,0)),0))</f>
        <v/>
      </c>
      <c r="G21" s="15" t="str">
        <f aca="false">IF($A21="","",IF(E21="休業",0,INDEX(集計!$L$38:$L$45,MATCH(C21,集計!$A$38:$A$45,0))))</f>
        <v/>
      </c>
      <c r="H21" s="16" t="str">
        <f aca="false">IF(W21=1,$A21-364,"")</f>
        <v/>
      </c>
      <c r="I21" s="17" t="str">
        <f aca="false">IF(W21=1,IF(AND(E21="ランチ+ディナー",T21&gt;=設定!$B$13),T21,0)+U21,"")</f>
        <v/>
      </c>
      <c r="J21" s="18" t="str">
        <f aca="false">IF($A21="","",設定!$B$21)</f>
        <v/>
      </c>
      <c r="K21" s="19" t="str">
        <f aca="false">IF($A21="","",設定!$B$19)</f>
        <v/>
      </c>
      <c r="L21" s="20" t="n">
        <v>1</v>
      </c>
      <c r="M21" s="15" t="str">
        <f aca="false">IF($A21="","",IF(E21&lt;&gt;"ランチ+ディナー",0,IF(AND(W21=1,T21&gt;=設定!$B$13),(1-設定!$B$17)*F21*J21+設定!$B$17*T21*設定!$B$22,F21*J21)*K21*N(L21)))</f>
        <v/>
      </c>
      <c r="N21" s="15" t="str">
        <f aca="false">IF($A21="","",IF(E21="休業",0,IF(W21=1,(1-設定!$B$17)*G21*J21+設定!$B$17*U21*設定!$B$22,G21*J21)*K21*N(L21)))</f>
        <v/>
      </c>
      <c r="O21" s="21" t="str">
        <f aca="false">IF($A21="","",ROUND(M21+N21,0))</f>
        <v/>
      </c>
      <c r="P21" s="17" t="str">
        <f aca="false">IF($A21="","",売上予測貼付用!S16)</f>
        <v/>
      </c>
      <c r="Q21" s="17" t="str">
        <f aca="false">IF($A21="","",IFERROR(P21/O21,""))</f>
        <v/>
      </c>
      <c r="R21" s="22"/>
      <c r="T21" s="23" t="str">
        <f aca="false">IF($A21="","",IF(COUNTIF(前年当月データ!$A:$A,$A21-364)=0,"",SUMIFS(前年当月データ!$Q:$Q,前年当月データ!$A:$A,$A21-364,前年当月データ!$K:$K,"&gt;=6",前年当月データ!$K:$K,"&lt;"&amp;設定!$B$10)))</f>
        <v/>
      </c>
      <c r="U21" s="23" t="str">
        <f aca="false">IF(T21="","",SUMIFS(前年当月データ!$Q:$Q,前年当月データ!$A:$A,$A21-364)-T21)</f>
        <v/>
      </c>
      <c r="V21" s="23" t="str">
        <f aca="false">IF(T21="","",IF(COUNTIF(祝日!$A:$A,($A21-364))&gt;0,"祝",CHOOSE(WEEKDAY(($A21-364),2),"月","火","水","木","金","土","日")))</f>
        <v/>
      </c>
      <c r="W21" s="23" t="n">
        <f aca="false">IF($A21="",0,IF(AND(設定!$B$17&gt;0,N(U21)&gt;0,C21&lt;&gt;"祝",V21&lt;&gt;"祝",E21&lt;&gt;"休業"),1,0))</f>
        <v>0</v>
      </c>
    </row>
    <row r="22" customFormat="false" ht="15" hidden="false" customHeight="false" outlineLevel="0" collapsed="false">
      <c r="A22" s="12" t="str">
        <f aca="false">IF(OR(設定!$B$7="",14&gt;設定!$B$8),"",設定!$B$7+13)</f>
        <v/>
      </c>
      <c r="B22" s="13" t="str">
        <f aca="false">IF($A22="","",CHOOSE(WEEKDAY($A22,2),"月","火","水","木","金","土","日"))</f>
        <v/>
      </c>
      <c r="C22" s="13" t="str">
        <f aca="false">IF($A22="","",IF(COUNTIF(祝日!$A:$A,$A22)&gt;0,"祝",CHOOSE(WEEKDAY($A22,2),"月","火","水","木","金","土","日")))</f>
        <v/>
      </c>
      <c r="D22" s="14"/>
      <c r="E22" s="13" t="str">
        <f aca="false">IF($A22="","",IF(D22&lt;&gt;"",D22,IF(IF(OR(C22="土",C22="日",C22="祝"),設定!$B$12,設定!$B$11)="あり","ランチ+ディナー","ディナーのみ")))</f>
        <v/>
      </c>
      <c r="F22" s="15" t="str">
        <f aca="false">IF($A22="","",IF(E22="ランチ+ディナー",INDEX(集計!$M$38:$M$45,MATCH(C22,集計!$A$38:$A$45,0)),0))</f>
        <v/>
      </c>
      <c r="G22" s="15" t="str">
        <f aca="false">IF($A22="","",IF(E22="休業",0,INDEX(集計!$L$38:$L$45,MATCH(C22,集計!$A$38:$A$45,0))))</f>
        <v/>
      </c>
      <c r="H22" s="16" t="str">
        <f aca="false">IF(W22=1,$A22-364,"")</f>
        <v/>
      </c>
      <c r="I22" s="17" t="str">
        <f aca="false">IF(W22=1,IF(AND(E22="ランチ+ディナー",T22&gt;=設定!$B$13),T22,0)+U22,"")</f>
        <v/>
      </c>
      <c r="J22" s="18" t="str">
        <f aca="false">IF($A22="","",設定!$B$21)</f>
        <v/>
      </c>
      <c r="K22" s="19" t="str">
        <f aca="false">IF($A22="","",設定!$B$19)</f>
        <v/>
      </c>
      <c r="L22" s="20" t="n">
        <v>1</v>
      </c>
      <c r="M22" s="15" t="str">
        <f aca="false">IF($A22="","",IF(E22&lt;&gt;"ランチ+ディナー",0,IF(AND(W22=1,T22&gt;=設定!$B$13),(1-設定!$B$17)*F22*J22+設定!$B$17*T22*設定!$B$22,F22*J22)*K22*N(L22)))</f>
        <v/>
      </c>
      <c r="N22" s="15" t="str">
        <f aca="false">IF($A22="","",IF(E22="休業",0,IF(W22=1,(1-設定!$B$17)*G22*J22+設定!$B$17*U22*設定!$B$22,G22*J22)*K22*N(L22)))</f>
        <v/>
      </c>
      <c r="O22" s="21" t="str">
        <f aca="false">IF($A22="","",ROUND(M22+N22,0))</f>
        <v/>
      </c>
      <c r="P22" s="17" t="str">
        <f aca="false">IF($A22="","",売上予測貼付用!S17)</f>
        <v/>
      </c>
      <c r="Q22" s="17" t="str">
        <f aca="false">IF($A22="","",IFERROR(P22/O22,""))</f>
        <v/>
      </c>
      <c r="R22" s="22"/>
      <c r="T22" s="23" t="str">
        <f aca="false">IF($A22="","",IF(COUNTIF(前年当月データ!$A:$A,$A22-364)=0,"",SUMIFS(前年当月データ!$Q:$Q,前年当月データ!$A:$A,$A22-364,前年当月データ!$K:$K,"&gt;=6",前年当月データ!$K:$K,"&lt;"&amp;設定!$B$10)))</f>
        <v/>
      </c>
      <c r="U22" s="23" t="str">
        <f aca="false">IF(T22="","",SUMIFS(前年当月データ!$Q:$Q,前年当月データ!$A:$A,$A22-364)-T22)</f>
        <v/>
      </c>
      <c r="V22" s="23" t="str">
        <f aca="false">IF(T22="","",IF(COUNTIF(祝日!$A:$A,($A22-364))&gt;0,"祝",CHOOSE(WEEKDAY(($A22-364),2),"月","火","水","木","金","土","日")))</f>
        <v/>
      </c>
      <c r="W22" s="23" t="n">
        <f aca="false">IF($A22="",0,IF(AND(設定!$B$17&gt;0,N(U22)&gt;0,C22&lt;&gt;"祝",V22&lt;&gt;"祝",E22&lt;&gt;"休業"),1,0))</f>
        <v>0</v>
      </c>
    </row>
    <row r="23" customFormat="false" ht="15" hidden="false" customHeight="false" outlineLevel="0" collapsed="false">
      <c r="A23" s="12" t="str">
        <f aca="false">IF(OR(設定!$B$7="",15&gt;設定!$B$8),"",設定!$B$7+14)</f>
        <v/>
      </c>
      <c r="B23" s="13" t="str">
        <f aca="false">IF($A23="","",CHOOSE(WEEKDAY($A23,2),"月","火","水","木","金","土","日"))</f>
        <v/>
      </c>
      <c r="C23" s="13" t="str">
        <f aca="false">IF($A23="","",IF(COUNTIF(祝日!$A:$A,$A23)&gt;0,"祝",CHOOSE(WEEKDAY($A23,2),"月","火","水","木","金","土","日")))</f>
        <v/>
      </c>
      <c r="D23" s="14"/>
      <c r="E23" s="13" t="str">
        <f aca="false">IF($A23="","",IF(D23&lt;&gt;"",D23,IF(IF(OR(C23="土",C23="日",C23="祝"),設定!$B$12,設定!$B$11)="あり","ランチ+ディナー","ディナーのみ")))</f>
        <v/>
      </c>
      <c r="F23" s="15" t="str">
        <f aca="false">IF($A23="","",IF(E23="ランチ+ディナー",INDEX(集計!$M$38:$M$45,MATCH(C23,集計!$A$38:$A$45,0)),0))</f>
        <v/>
      </c>
      <c r="G23" s="15" t="str">
        <f aca="false">IF($A23="","",IF(E23="休業",0,INDEX(集計!$L$38:$L$45,MATCH(C23,集計!$A$38:$A$45,0))))</f>
        <v/>
      </c>
      <c r="H23" s="16" t="str">
        <f aca="false">IF(W23=1,$A23-364,"")</f>
        <v/>
      </c>
      <c r="I23" s="17" t="str">
        <f aca="false">IF(W23=1,IF(AND(E23="ランチ+ディナー",T23&gt;=設定!$B$13),T23,0)+U23,"")</f>
        <v/>
      </c>
      <c r="J23" s="18" t="str">
        <f aca="false">IF($A23="","",設定!$B$21)</f>
        <v/>
      </c>
      <c r="K23" s="19" t="str">
        <f aca="false">IF($A23="","",設定!$B$19)</f>
        <v/>
      </c>
      <c r="L23" s="20" t="n">
        <v>1</v>
      </c>
      <c r="M23" s="15" t="str">
        <f aca="false">IF($A23="","",IF(E23&lt;&gt;"ランチ+ディナー",0,IF(AND(W23=1,T23&gt;=設定!$B$13),(1-設定!$B$17)*F23*J23+設定!$B$17*T23*設定!$B$22,F23*J23)*K23*N(L23)))</f>
        <v/>
      </c>
      <c r="N23" s="15" t="str">
        <f aca="false">IF($A23="","",IF(E23="休業",0,IF(W23=1,(1-設定!$B$17)*G23*J23+設定!$B$17*U23*設定!$B$22,G23*J23)*K23*N(L23)))</f>
        <v/>
      </c>
      <c r="O23" s="21" t="str">
        <f aca="false">IF($A23="","",ROUND(M23+N23,0))</f>
        <v/>
      </c>
      <c r="P23" s="17" t="str">
        <f aca="false">IF($A23="","",売上予測貼付用!S18)</f>
        <v/>
      </c>
      <c r="Q23" s="17" t="str">
        <f aca="false">IF($A23="","",IFERROR(P23/O23,""))</f>
        <v/>
      </c>
      <c r="R23" s="22"/>
      <c r="T23" s="23" t="str">
        <f aca="false">IF($A23="","",IF(COUNTIF(前年当月データ!$A:$A,$A23-364)=0,"",SUMIFS(前年当月データ!$Q:$Q,前年当月データ!$A:$A,$A23-364,前年当月データ!$K:$K,"&gt;=6",前年当月データ!$K:$K,"&lt;"&amp;設定!$B$10)))</f>
        <v/>
      </c>
      <c r="U23" s="23" t="str">
        <f aca="false">IF(T23="","",SUMIFS(前年当月データ!$Q:$Q,前年当月データ!$A:$A,$A23-364)-T23)</f>
        <v/>
      </c>
      <c r="V23" s="23" t="str">
        <f aca="false">IF(T23="","",IF(COUNTIF(祝日!$A:$A,($A23-364))&gt;0,"祝",CHOOSE(WEEKDAY(($A23-364),2),"月","火","水","木","金","土","日")))</f>
        <v/>
      </c>
      <c r="W23" s="23" t="n">
        <f aca="false">IF($A23="",0,IF(AND(設定!$B$17&gt;0,N(U23)&gt;0,C23&lt;&gt;"祝",V23&lt;&gt;"祝",E23&lt;&gt;"休業"),1,0))</f>
        <v>0</v>
      </c>
    </row>
    <row r="24" customFormat="false" ht="15" hidden="false" customHeight="false" outlineLevel="0" collapsed="false">
      <c r="A24" s="12" t="str">
        <f aca="false">IF(OR(設定!$B$7="",16&gt;設定!$B$8),"",設定!$B$7+15)</f>
        <v/>
      </c>
      <c r="B24" s="13" t="str">
        <f aca="false">IF($A24="","",CHOOSE(WEEKDAY($A24,2),"月","火","水","木","金","土","日"))</f>
        <v/>
      </c>
      <c r="C24" s="13" t="str">
        <f aca="false">IF($A24="","",IF(COUNTIF(祝日!$A:$A,$A24)&gt;0,"祝",CHOOSE(WEEKDAY($A24,2),"月","火","水","木","金","土","日")))</f>
        <v/>
      </c>
      <c r="D24" s="14"/>
      <c r="E24" s="13" t="str">
        <f aca="false">IF($A24="","",IF(D24&lt;&gt;"",D24,IF(IF(OR(C24="土",C24="日",C24="祝"),設定!$B$12,設定!$B$11)="あり","ランチ+ディナー","ディナーのみ")))</f>
        <v/>
      </c>
      <c r="F24" s="15" t="str">
        <f aca="false">IF($A24="","",IF(E24="ランチ+ディナー",INDEX(集計!$M$38:$M$45,MATCH(C24,集計!$A$38:$A$45,0)),0))</f>
        <v/>
      </c>
      <c r="G24" s="15" t="str">
        <f aca="false">IF($A24="","",IF(E24="休業",0,INDEX(集計!$L$38:$L$45,MATCH(C24,集計!$A$38:$A$45,0))))</f>
        <v/>
      </c>
      <c r="H24" s="16" t="str">
        <f aca="false">IF(W24=1,$A24-364,"")</f>
        <v/>
      </c>
      <c r="I24" s="17" t="str">
        <f aca="false">IF(W24=1,IF(AND(E24="ランチ+ディナー",T24&gt;=設定!$B$13),T24,0)+U24,"")</f>
        <v/>
      </c>
      <c r="J24" s="18" t="str">
        <f aca="false">IF($A24="","",設定!$B$21)</f>
        <v/>
      </c>
      <c r="K24" s="19" t="str">
        <f aca="false">IF($A24="","",設定!$B$19)</f>
        <v/>
      </c>
      <c r="L24" s="20" t="n">
        <v>1</v>
      </c>
      <c r="M24" s="15" t="str">
        <f aca="false">IF($A24="","",IF(E24&lt;&gt;"ランチ+ディナー",0,IF(AND(W24=1,T24&gt;=設定!$B$13),(1-設定!$B$17)*F24*J24+設定!$B$17*T24*設定!$B$22,F24*J24)*K24*N(L24)))</f>
        <v/>
      </c>
      <c r="N24" s="15" t="str">
        <f aca="false">IF($A24="","",IF(E24="休業",0,IF(W24=1,(1-設定!$B$17)*G24*J24+設定!$B$17*U24*設定!$B$22,G24*J24)*K24*N(L24)))</f>
        <v/>
      </c>
      <c r="O24" s="21" t="str">
        <f aca="false">IF($A24="","",ROUND(M24+N24,0))</f>
        <v/>
      </c>
      <c r="P24" s="17" t="str">
        <f aca="false">IF($A24="","",売上予測貼付用!S19)</f>
        <v/>
      </c>
      <c r="Q24" s="17" t="str">
        <f aca="false">IF($A24="","",IFERROR(P24/O24,""))</f>
        <v/>
      </c>
      <c r="R24" s="22"/>
      <c r="T24" s="23" t="str">
        <f aca="false">IF($A24="","",IF(COUNTIF(前年当月データ!$A:$A,$A24-364)=0,"",SUMIFS(前年当月データ!$Q:$Q,前年当月データ!$A:$A,$A24-364,前年当月データ!$K:$K,"&gt;=6",前年当月データ!$K:$K,"&lt;"&amp;設定!$B$10)))</f>
        <v/>
      </c>
      <c r="U24" s="23" t="str">
        <f aca="false">IF(T24="","",SUMIFS(前年当月データ!$Q:$Q,前年当月データ!$A:$A,$A24-364)-T24)</f>
        <v/>
      </c>
      <c r="V24" s="23" t="str">
        <f aca="false">IF(T24="","",IF(COUNTIF(祝日!$A:$A,($A24-364))&gt;0,"祝",CHOOSE(WEEKDAY(($A24-364),2),"月","火","水","木","金","土","日")))</f>
        <v/>
      </c>
      <c r="W24" s="23" t="n">
        <f aca="false">IF($A24="",0,IF(AND(設定!$B$17&gt;0,N(U24)&gt;0,C24&lt;&gt;"祝",V24&lt;&gt;"祝",E24&lt;&gt;"休業"),1,0))</f>
        <v>0</v>
      </c>
    </row>
    <row r="25" customFormat="false" ht="15" hidden="false" customHeight="false" outlineLevel="0" collapsed="false">
      <c r="A25" s="12" t="str">
        <f aca="false">IF(OR(設定!$B$7="",17&gt;設定!$B$8),"",設定!$B$7+16)</f>
        <v/>
      </c>
      <c r="B25" s="13" t="str">
        <f aca="false">IF($A25="","",CHOOSE(WEEKDAY($A25,2),"月","火","水","木","金","土","日"))</f>
        <v/>
      </c>
      <c r="C25" s="13" t="str">
        <f aca="false">IF($A25="","",IF(COUNTIF(祝日!$A:$A,$A25)&gt;0,"祝",CHOOSE(WEEKDAY($A25,2),"月","火","水","木","金","土","日")))</f>
        <v/>
      </c>
      <c r="D25" s="14"/>
      <c r="E25" s="13" t="str">
        <f aca="false">IF($A25="","",IF(D25&lt;&gt;"",D25,IF(IF(OR(C25="土",C25="日",C25="祝"),設定!$B$12,設定!$B$11)="あり","ランチ+ディナー","ディナーのみ")))</f>
        <v/>
      </c>
      <c r="F25" s="15" t="str">
        <f aca="false">IF($A25="","",IF(E25="ランチ+ディナー",INDEX(集計!$M$38:$M$45,MATCH(C25,集計!$A$38:$A$45,0)),0))</f>
        <v/>
      </c>
      <c r="G25" s="15" t="str">
        <f aca="false">IF($A25="","",IF(E25="休業",0,INDEX(集計!$L$38:$L$45,MATCH(C25,集計!$A$38:$A$45,0))))</f>
        <v/>
      </c>
      <c r="H25" s="16" t="str">
        <f aca="false">IF(W25=1,$A25-364,"")</f>
        <v/>
      </c>
      <c r="I25" s="17" t="str">
        <f aca="false">IF(W25=1,IF(AND(E25="ランチ+ディナー",T25&gt;=設定!$B$13),T25,0)+U25,"")</f>
        <v/>
      </c>
      <c r="J25" s="18" t="str">
        <f aca="false">IF($A25="","",設定!$B$21)</f>
        <v/>
      </c>
      <c r="K25" s="19" t="str">
        <f aca="false">IF($A25="","",設定!$B$19)</f>
        <v/>
      </c>
      <c r="L25" s="20" t="n">
        <v>1</v>
      </c>
      <c r="M25" s="15" t="str">
        <f aca="false">IF($A25="","",IF(E25&lt;&gt;"ランチ+ディナー",0,IF(AND(W25=1,T25&gt;=設定!$B$13),(1-設定!$B$17)*F25*J25+設定!$B$17*T25*設定!$B$22,F25*J25)*K25*N(L25)))</f>
        <v/>
      </c>
      <c r="N25" s="15" t="str">
        <f aca="false">IF($A25="","",IF(E25="休業",0,IF(W25=1,(1-設定!$B$17)*G25*J25+設定!$B$17*U25*設定!$B$22,G25*J25)*K25*N(L25)))</f>
        <v/>
      </c>
      <c r="O25" s="21" t="str">
        <f aca="false">IF($A25="","",ROUND(M25+N25,0))</f>
        <v/>
      </c>
      <c r="P25" s="17" t="str">
        <f aca="false">IF($A25="","",売上予測貼付用!S20)</f>
        <v/>
      </c>
      <c r="Q25" s="17" t="str">
        <f aca="false">IF($A25="","",IFERROR(P25/O25,""))</f>
        <v/>
      </c>
      <c r="R25" s="22"/>
      <c r="T25" s="23" t="str">
        <f aca="false">IF($A25="","",IF(COUNTIF(前年当月データ!$A:$A,$A25-364)=0,"",SUMIFS(前年当月データ!$Q:$Q,前年当月データ!$A:$A,$A25-364,前年当月データ!$K:$K,"&gt;=6",前年当月データ!$K:$K,"&lt;"&amp;設定!$B$10)))</f>
        <v/>
      </c>
      <c r="U25" s="23" t="str">
        <f aca="false">IF(T25="","",SUMIFS(前年当月データ!$Q:$Q,前年当月データ!$A:$A,$A25-364)-T25)</f>
        <v/>
      </c>
      <c r="V25" s="23" t="str">
        <f aca="false">IF(T25="","",IF(COUNTIF(祝日!$A:$A,($A25-364))&gt;0,"祝",CHOOSE(WEEKDAY(($A25-364),2),"月","火","水","木","金","土","日")))</f>
        <v/>
      </c>
      <c r="W25" s="23" t="n">
        <f aca="false">IF($A25="",0,IF(AND(設定!$B$17&gt;0,N(U25)&gt;0,C25&lt;&gt;"祝",V25&lt;&gt;"祝",E25&lt;&gt;"休業"),1,0))</f>
        <v>0</v>
      </c>
    </row>
    <row r="26" customFormat="false" ht="15" hidden="false" customHeight="false" outlineLevel="0" collapsed="false">
      <c r="A26" s="12" t="str">
        <f aca="false">IF(OR(設定!$B$7="",18&gt;設定!$B$8),"",設定!$B$7+17)</f>
        <v/>
      </c>
      <c r="B26" s="13" t="str">
        <f aca="false">IF($A26="","",CHOOSE(WEEKDAY($A26,2),"月","火","水","木","金","土","日"))</f>
        <v/>
      </c>
      <c r="C26" s="13" t="str">
        <f aca="false">IF($A26="","",IF(COUNTIF(祝日!$A:$A,$A26)&gt;0,"祝",CHOOSE(WEEKDAY($A26,2),"月","火","水","木","金","土","日")))</f>
        <v/>
      </c>
      <c r="D26" s="14"/>
      <c r="E26" s="13" t="str">
        <f aca="false">IF($A26="","",IF(D26&lt;&gt;"",D26,IF(IF(OR(C26="土",C26="日",C26="祝"),設定!$B$12,設定!$B$11)="あり","ランチ+ディナー","ディナーのみ")))</f>
        <v/>
      </c>
      <c r="F26" s="15" t="str">
        <f aca="false">IF($A26="","",IF(E26="ランチ+ディナー",INDEX(集計!$M$38:$M$45,MATCH(C26,集計!$A$38:$A$45,0)),0))</f>
        <v/>
      </c>
      <c r="G26" s="15" t="str">
        <f aca="false">IF($A26="","",IF(E26="休業",0,INDEX(集計!$L$38:$L$45,MATCH(C26,集計!$A$38:$A$45,0))))</f>
        <v/>
      </c>
      <c r="H26" s="16" t="str">
        <f aca="false">IF(W26=1,$A26-364,"")</f>
        <v/>
      </c>
      <c r="I26" s="17" t="str">
        <f aca="false">IF(W26=1,IF(AND(E26="ランチ+ディナー",T26&gt;=設定!$B$13),T26,0)+U26,"")</f>
        <v/>
      </c>
      <c r="J26" s="18" t="str">
        <f aca="false">IF($A26="","",設定!$B$21)</f>
        <v/>
      </c>
      <c r="K26" s="19" t="str">
        <f aca="false">IF($A26="","",設定!$B$19)</f>
        <v/>
      </c>
      <c r="L26" s="20" t="n">
        <v>1</v>
      </c>
      <c r="M26" s="15" t="str">
        <f aca="false">IF($A26="","",IF(E26&lt;&gt;"ランチ+ディナー",0,IF(AND(W26=1,T26&gt;=設定!$B$13),(1-設定!$B$17)*F26*J26+設定!$B$17*T26*設定!$B$22,F26*J26)*K26*N(L26)))</f>
        <v/>
      </c>
      <c r="N26" s="15" t="str">
        <f aca="false">IF($A26="","",IF(E26="休業",0,IF(W26=1,(1-設定!$B$17)*G26*J26+設定!$B$17*U26*設定!$B$22,G26*J26)*K26*N(L26)))</f>
        <v/>
      </c>
      <c r="O26" s="21" t="str">
        <f aca="false">IF($A26="","",ROUND(M26+N26,0))</f>
        <v/>
      </c>
      <c r="P26" s="17" t="str">
        <f aca="false">IF($A26="","",売上予測貼付用!S21)</f>
        <v/>
      </c>
      <c r="Q26" s="17" t="str">
        <f aca="false">IF($A26="","",IFERROR(P26/O26,""))</f>
        <v/>
      </c>
      <c r="R26" s="22"/>
      <c r="T26" s="23" t="str">
        <f aca="false">IF($A26="","",IF(COUNTIF(前年当月データ!$A:$A,$A26-364)=0,"",SUMIFS(前年当月データ!$Q:$Q,前年当月データ!$A:$A,$A26-364,前年当月データ!$K:$K,"&gt;=6",前年当月データ!$K:$K,"&lt;"&amp;設定!$B$10)))</f>
        <v/>
      </c>
      <c r="U26" s="23" t="str">
        <f aca="false">IF(T26="","",SUMIFS(前年当月データ!$Q:$Q,前年当月データ!$A:$A,$A26-364)-T26)</f>
        <v/>
      </c>
      <c r="V26" s="23" t="str">
        <f aca="false">IF(T26="","",IF(COUNTIF(祝日!$A:$A,($A26-364))&gt;0,"祝",CHOOSE(WEEKDAY(($A26-364),2),"月","火","水","木","金","土","日")))</f>
        <v/>
      </c>
      <c r="W26" s="23" t="n">
        <f aca="false">IF($A26="",0,IF(AND(設定!$B$17&gt;0,N(U26)&gt;0,C26&lt;&gt;"祝",V26&lt;&gt;"祝",E26&lt;&gt;"休業"),1,0))</f>
        <v>0</v>
      </c>
    </row>
    <row r="27" customFormat="false" ht="15" hidden="false" customHeight="false" outlineLevel="0" collapsed="false">
      <c r="A27" s="12" t="str">
        <f aca="false">IF(OR(設定!$B$7="",19&gt;設定!$B$8),"",設定!$B$7+18)</f>
        <v/>
      </c>
      <c r="B27" s="13" t="str">
        <f aca="false">IF($A27="","",CHOOSE(WEEKDAY($A27,2),"月","火","水","木","金","土","日"))</f>
        <v/>
      </c>
      <c r="C27" s="13" t="str">
        <f aca="false">IF($A27="","",IF(COUNTIF(祝日!$A:$A,$A27)&gt;0,"祝",CHOOSE(WEEKDAY($A27,2),"月","火","水","木","金","土","日")))</f>
        <v/>
      </c>
      <c r="D27" s="14"/>
      <c r="E27" s="13" t="str">
        <f aca="false">IF($A27="","",IF(D27&lt;&gt;"",D27,IF(IF(OR(C27="土",C27="日",C27="祝"),設定!$B$12,設定!$B$11)="あり","ランチ+ディナー","ディナーのみ")))</f>
        <v/>
      </c>
      <c r="F27" s="15" t="str">
        <f aca="false">IF($A27="","",IF(E27="ランチ+ディナー",INDEX(集計!$M$38:$M$45,MATCH(C27,集計!$A$38:$A$45,0)),0))</f>
        <v/>
      </c>
      <c r="G27" s="15" t="str">
        <f aca="false">IF($A27="","",IF(E27="休業",0,INDEX(集計!$L$38:$L$45,MATCH(C27,集計!$A$38:$A$45,0))))</f>
        <v/>
      </c>
      <c r="H27" s="16" t="str">
        <f aca="false">IF(W27=1,$A27-364,"")</f>
        <v/>
      </c>
      <c r="I27" s="17" t="str">
        <f aca="false">IF(W27=1,IF(AND(E27="ランチ+ディナー",T27&gt;=設定!$B$13),T27,0)+U27,"")</f>
        <v/>
      </c>
      <c r="J27" s="18" t="str">
        <f aca="false">IF($A27="","",設定!$B$21)</f>
        <v/>
      </c>
      <c r="K27" s="19" t="str">
        <f aca="false">IF($A27="","",設定!$B$19)</f>
        <v/>
      </c>
      <c r="L27" s="20" t="n">
        <v>1</v>
      </c>
      <c r="M27" s="15" t="str">
        <f aca="false">IF($A27="","",IF(E27&lt;&gt;"ランチ+ディナー",0,IF(AND(W27=1,T27&gt;=設定!$B$13),(1-設定!$B$17)*F27*J27+設定!$B$17*T27*設定!$B$22,F27*J27)*K27*N(L27)))</f>
        <v/>
      </c>
      <c r="N27" s="15" t="str">
        <f aca="false">IF($A27="","",IF(E27="休業",0,IF(W27=1,(1-設定!$B$17)*G27*J27+設定!$B$17*U27*設定!$B$22,G27*J27)*K27*N(L27)))</f>
        <v/>
      </c>
      <c r="O27" s="21" t="str">
        <f aca="false">IF($A27="","",ROUND(M27+N27,0))</f>
        <v/>
      </c>
      <c r="P27" s="17" t="str">
        <f aca="false">IF($A27="","",売上予測貼付用!S22)</f>
        <v/>
      </c>
      <c r="Q27" s="17" t="str">
        <f aca="false">IF($A27="","",IFERROR(P27/O27,""))</f>
        <v/>
      </c>
      <c r="R27" s="22"/>
      <c r="T27" s="23" t="str">
        <f aca="false">IF($A27="","",IF(COUNTIF(前年当月データ!$A:$A,$A27-364)=0,"",SUMIFS(前年当月データ!$Q:$Q,前年当月データ!$A:$A,$A27-364,前年当月データ!$K:$K,"&gt;=6",前年当月データ!$K:$K,"&lt;"&amp;設定!$B$10)))</f>
        <v/>
      </c>
      <c r="U27" s="23" t="str">
        <f aca="false">IF(T27="","",SUMIFS(前年当月データ!$Q:$Q,前年当月データ!$A:$A,$A27-364)-T27)</f>
        <v/>
      </c>
      <c r="V27" s="23" t="str">
        <f aca="false">IF(T27="","",IF(COUNTIF(祝日!$A:$A,($A27-364))&gt;0,"祝",CHOOSE(WEEKDAY(($A27-364),2),"月","火","水","木","金","土","日")))</f>
        <v/>
      </c>
      <c r="W27" s="23" t="n">
        <f aca="false">IF($A27="",0,IF(AND(設定!$B$17&gt;0,N(U27)&gt;0,C27&lt;&gt;"祝",V27&lt;&gt;"祝",E27&lt;&gt;"休業"),1,0))</f>
        <v>0</v>
      </c>
    </row>
    <row r="28" customFormat="false" ht="15" hidden="false" customHeight="false" outlineLevel="0" collapsed="false">
      <c r="A28" s="12" t="str">
        <f aca="false">IF(OR(設定!$B$7="",20&gt;設定!$B$8),"",設定!$B$7+19)</f>
        <v/>
      </c>
      <c r="B28" s="13" t="str">
        <f aca="false">IF($A28="","",CHOOSE(WEEKDAY($A28,2),"月","火","水","木","金","土","日"))</f>
        <v/>
      </c>
      <c r="C28" s="13" t="str">
        <f aca="false">IF($A28="","",IF(COUNTIF(祝日!$A:$A,$A28)&gt;0,"祝",CHOOSE(WEEKDAY($A28,2),"月","火","水","木","金","土","日")))</f>
        <v/>
      </c>
      <c r="D28" s="14"/>
      <c r="E28" s="13" t="str">
        <f aca="false">IF($A28="","",IF(D28&lt;&gt;"",D28,IF(IF(OR(C28="土",C28="日",C28="祝"),設定!$B$12,設定!$B$11)="あり","ランチ+ディナー","ディナーのみ")))</f>
        <v/>
      </c>
      <c r="F28" s="15" t="str">
        <f aca="false">IF($A28="","",IF(E28="ランチ+ディナー",INDEX(集計!$M$38:$M$45,MATCH(C28,集計!$A$38:$A$45,0)),0))</f>
        <v/>
      </c>
      <c r="G28" s="15" t="str">
        <f aca="false">IF($A28="","",IF(E28="休業",0,INDEX(集計!$L$38:$L$45,MATCH(C28,集計!$A$38:$A$45,0))))</f>
        <v/>
      </c>
      <c r="H28" s="16" t="str">
        <f aca="false">IF(W28=1,$A28-364,"")</f>
        <v/>
      </c>
      <c r="I28" s="17" t="str">
        <f aca="false">IF(W28=1,IF(AND(E28="ランチ+ディナー",T28&gt;=設定!$B$13),T28,0)+U28,"")</f>
        <v/>
      </c>
      <c r="J28" s="18" t="str">
        <f aca="false">IF($A28="","",設定!$B$21)</f>
        <v/>
      </c>
      <c r="K28" s="19" t="str">
        <f aca="false">IF($A28="","",設定!$B$19)</f>
        <v/>
      </c>
      <c r="L28" s="20" t="n">
        <v>1</v>
      </c>
      <c r="M28" s="15" t="str">
        <f aca="false">IF($A28="","",IF(E28&lt;&gt;"ランチ+ディナー",0,IF(AND(W28=1,T28&gt;=設定!$B$13),(1-設定!$B$17)*F28*J28+設定!$B$17*T28*設定!$B$22,F28*J28)*K28*N(L28)))</f>
        <v/>
      </c>
      <c r="N28" s="15" t="str">
        <f aca="false">IF($A28="","",IF(E28="休業",0,IF(W28=1,(1-設定!$B$17)*G28*J28+設定!$B$17*U28*設定!$B$22,G28*J28)*K28*N(L28)))</f>
        <v/>
      </c>
      <c r="O28" s="21" t="str">
        <f aca="false">IF($A28="","",ROUND(M28+N28,0))</f>
        <v/>
      </c>
      <c r="P28" s="17" t="str">
        <f aca="false">IF($A28="","",売上予測貼付用!S23)</f>
        <v/>
      </c>
      <c r="Q28" s="17" t="str">
        <f aca="false">IF($A28="","",IFERROR(P28/O28,""))</f>
        <v/>
      </c>
      <c r="R28" s="22"/>
      <c r="T28" s="23" t="str">
        <f aca="false">IF($A28="","",IF(COUNTIF(前年当月データ!$A:$A,$A28-364)=0,"",SUMIFS(前年当月データ!$Q:$Q,前年当月データ!$A:$A,$A28-364,前年当月データ!$K:$K,"&gt;=6",前年当月データ!$K:$K,"&lt;"&amp;設定!$B$10)))</f>
        <v/>
      </c>
      <c r="U28" s="23" t="str">
        <f aca="false">IF(T28="","",SUMIFS(前年当月データ!$Q:$Q,前年当月データ!$A:$A,$A28-364)-T28)</f>
        <v/>
      </c>
      <c r="V28" s="23" t="str">
        <f aca="false">IF(T28="","",IF(COUNTIF(祝日!$A:$A,($A28-364))&gt;0,"祝",CHOOSE(WEEKDAY(($A28-364),2),"月","火","水","木","金","土","日")))</f>
        <v/>
      </c>
      <c r="W28" s="23" t="n">
        <f aca="false">IF($A28="",0,IF(AND(設定!$B$17&gt;0,N(U28)&gt;0,C28&lt;&gt;"祝",V28&lt;&gt;"祝",E28&lt;&gt;"休業"),1,0))</f>
        <v>0</v>
      </c>
    </row>
    <row r="29" customFormat="false" ht="15" hidden="false" customHeight="false" outlineLevel="0" collapsed="false">
      <c r="A29" s="12" t="str">
        <f aca="false">IF(OR(設定!$B$7="",21&gt;設定!$B$8),"",設定!$B$7+20)</f>
        <v/>
      </c>
      <c r="B29" s="13" t="str">
        <f aca="false">IF($A29="","",CHOOSE(WEEKDAY($A29,2),"月","火","水","木","金","土","日"))</f>
        <v/>
      </c>
      <c r="C29" s="13" t="str">
        <f aca="false">IF($A29="","",IF(COUNTIF(祝日!$A:$A,$A29)&gt;0,"祝",CHOOSE(WEEKDAY($A29,2),"月","火","水","木","金","土","日")))</f>
        <v/>
      </c>
      <c r="D29" s="14"/>
      <c r="E29" s="13" t="str">
        <f aca="false">IF($A29="","",IF(D29&lt;&gt;"",D29,IF(IF(OR(C29="土",C29="日",C29="祝"),設定!$B$12,設定!$B$11)="あり","ランチ+ディナー","ディナーのみ")))</f>
        <v/>
      </c>
      <c r="F29" s="15" t="str">
        <f aca="false">IF($A29="","",IF(E29="ランチ+ディナー",INDEX(集計!$M$38:$M$45,MATCH(C29,集計!$A$38:$A$45,0)),0))</f>
        <v/>
      </c>
      <c r="G29" s="15" t="str">
        <f aca="false">IF($A29="","",IF(E29="休業",0,INDEX(集計!$L$38:$L$45,MATCH(C29,集計!$A$38:$A$45,0))))</f>
        <v/>
      </c>
      <c r="H29" s="16" t="str">
        <f aca="false">IF(W29=1,$A29-364,"")</f>
        <v/>
      </c>
      <c r="I29" s="17" t="str">
        <f aca="false">IF(W29=1,IF(AND(E29="ランチ+ディナー",T29&gt;=設定!$B$13),T29,0)+U29,"")</f>
        <v/>
      </c>
      <c r="J29" s="18" t="str">
        <f aca="false">IF($A29="","",設定!$B$21)</f>
        <v/>
      </c>
      <c r="K29" s="19" t="str">
        <f aca="false">IF($A29="","",設定!$B$19)</f>
        <v/>
      </c>
      <c r="L29" s="20" t="n">
        <v>1</v>
      </c>
      <c r="M29" s="15" t="str">
        <f aca="false">IF($A29="","",IF(E29&lt;&gt;"ランチ+ディナー",0,IF(AND(W29=1,T29&gt;=設定!$B$13),(1-設定!$B$17)*F29*J29+設定!$B$17*T29*設定!$B$22,F29*J29)*K29*N(L29)))</f>
        <v/>
      </c>
      <c r="N29" s="15" t="str">
        <f aca="false">IF($A29="","",IF(E29="休業",0,IF(W29=1,(1-設定!$B$17)*G29*J29+設定!$B$17*U29*設定!$B$22,G29*J29)*K29*N(L29)))</f>
        <v/>
      </c>
      <c r="O29" s="21" t="str">
        <f aca="false">IF($A29="","",ROUND(M29+N29,0))</f>
        <v/>
      </c>
      <c r="P29" s="17" t="str">
        <f aca="false">IF($A29="","",売上予測貼付用!S24)</f>
        <v/>
      </c>
      <c r="Q29" s="17" t="str">
        <f aca="false">IF($A29="","",IFERROR(P29/O29,""))</f>
        <v/>
      </c>
      <c r="R29" s="22"/>
      <c r="T29" s="23" t="str">
        <f aca="false">IF($A29="","",IF(COUNTIF(前年当月データ!$A:$A,$A29-364)=0,"",SUMIFS(前年当月データ!$Q:$Q,前年当月データ!$A:$A,$A29-364,前年当月データ!$K:$K,"&gt;=6",前年当月データ!$K:$K,"&lt;"&amp;設定!$B$10)))</f>
        <v/>
      </c>
      <c r="U29" s="23" t="str">
        <f aca="false">IF(T29="","",SUMIFS(前年当月データ!$Q:$Q,前年当月データ!$A:$A,$A29-364)-T29)</f>
        <v/>
      </c>
      <c r="V29" s="23" t="str">
        <f aca="false">IF(T29="","",IF(COUNTIF(祝日!$A:$A,($A29-364))&gt;0,"祝",CHOOSE(WEEKDAY(($A29-364),2),"月","火","水","木","金","土","日")))</f>
        <v/>
      </c>
      <c r="W29" s="23" t="n">
        <f aca="false">IF($A29="",0,IF(AND(設定!$B$17&gt;0,N(U29)&gt;0,C29&lt;&gt;"祝",V29&lt;&gt;"祝",E29&lt;&gt;"休業"),1,0))</f>
        <v>0</v>
      </c>
    </row>
    <row r="30" customFormat="false" ht="15" hidden="false" customHeight="false" outlineLevel="0" collapsed="false">
      <c r="A30" s="12" t="str">
        <f aca="false">IF(OR(設定!$B$7="",22&gt;設定!$B$8),"",設定!$B$7+21)</f>
        <v/>
      </c>
      <c r="B30" s="13" t="str">
        <f aca="false">IF($A30="","",CHOOSE(WEEKDAY($A30,2),"月","火","水","木","金","土","日"))</f>
        <v/>
      </c>
      <c r="C30" s="13" t="str">
        <f aca="false">IF($A30="","",IF(COUNTIF(祝日!$A:$A,$A30)&gt;0,"祝",CHOOSE(WEEKDAY($A30,2),"月","火","水","木","金","土","日")))</f>
        <v/>
      </c>
      <c r="D30" s="14"/>
      <c r="E30" s="13" t="str">
        <f aca="false">IF($A30="","",IF(D30&lt;&gt;"",D30,IF(IF(OR(C30="土",C30="日",C30="祝"),設定!$B$12,設定!$B$11)="あり","ランチ+ディナー","ディナーのみ")))</f>
        <v/>
      </c>
      <c r="F30" s="15" t="str">
        <f aca="false">IF($A30="","",IF(E30="ランチ+ディナー",INDEX(集計!$M$38:$M$45,MATCH(C30,集計!$A$38:$A$45,0)),0))</f>
        <v/>
      </c>
      <c r="G30" s="15" t="str">
        <f aca="false">IF($A30="","",IF(E30="休業",0,INDEX(集計!$L$38:$L$45,MATCH(C30,集計!$A$38:$A$45,0))))</f>
        <v/>
      </c>
      <c r="H30" s="16" t="str">
        <f aca="false">IF(W30=1,$A30-364,"")</f>
        <v/>
      </c>
      <c r="I30" s="17" t="str">
        <f aca="false">IF(W30=1,IF(AND(E30="ランチ+ディナー",T30&gt;=設定!$B$13),T30,0)+U30,"")</f>
        <v/>
      </c>
      <c r="J30" s="18" t="str">
        <f aca="false">IF($A30="","",設定!$B$21)</f>
        <v/>
      </c>
      <c r="K30" s="19" t="str">
        <f aca="false">IF($A30="","",設定!$B$19)</f>
        <v/>
      </c>
      <c r="L30" s="20" t="n">
        <v>1</v>
      </c>
      <c r="M30" s="15" t="str">
        <f aca="false">IF($A30="","",IF(E30&lt;&gt;"ランチ+ディナー",0,IF(AND(W30=1,T30&gt;=設定!$B$13),(1-設定!$B$17)*F30*J30+設定!$B$17*T30*設定!$B$22,F30*J30)*K30*N(L30)))</f>
        <v/>
      </c>
      <c r="N30" s="15" t="str">
        <f aca="false">IF($A30="","",IF(E30="休業",0,IF(W30=1,(1-設定!$B$17)*G30*J30+設定!$B$17*U30*設定!$B$22,G30*J30)*K30*N(L30)))</f>
        <v/>
      </c>
      <c r="O30" s="21" t="str">
        <f aca="false">IF($A30="","",ROUND(M30+N30,0))</f>
        <v/>
      </c>
      <c r="P30" s="17" t="str">
        <f aca="false">IF($A30="","",売上予測貼付用!S25)</f>
        <v/>
      </c>
      <c r="Q30" s="17" t="str">
        <f aca="false">IF($A30="","",IFERROR(P30/O30,""))</f>
        <v/>
      </c>
      <c r="R30" s="22"/>
      <c r="T30" s="23" t="str">
        <f aca="false">IF($A30="","",IF(COUNTIF(前年当月データ!$A:$A,$A30-364)=0,"",SUMIFS(前年当月データ!$Q:$Q,前年当月データ!$A:$A,$A30-364,前年当月データ!$K:$K,"&gt;=6",前年当月データ!$K:$K,"&lt;"&amp;設定!$B$10)))</f>
        <v/>
      </c>
      <c r="U30" s="23" t="str">
        <f aca="false">IF(T30="","",SUMIFS(前年当月データ!$Q:$Q,前年当月データ!$A:$A,$A30-364)-T30)</f>
        <v/>
      </c>
      <c r="V30" s="23" t="str">
        <f aca="false">IF(T30="","",IF(COUNTIF(祝日!$A:$A,($A30-364))&gt;0,"祝",CHOOSE(WEEKDAY(($A30-364),2),"月","火","水","木","金","土","日")))</f>
        <v/>
      </c>
      <c r="W30" s="23" t="n">
        <f aca="false">IF($A30="",0,IF(AND(設定!$B$17&gt;0,N(U30)&gt;0,C30&lt;&gt;"祝",V30&lt;&gt;"祝",E30&lt;&gt;"休業"),1,0))</f>
        <v>0</v>
      </c>
    </row>
    <row r="31" customFormat="false" ht="15" hidden="false" customHeight="false" outlineLevel="0" collapsed="false">
      <c r="A31" s="12" t="str">
        <f aca="false">IF(OR(設定!$B$7="",23&gt;設定!$B$8),"",設定!$B$7+22)</f>
        <v/>
      </c>
      <c r="B31" s="13" t="str">
        <f aca="false">IF($A31="","",CHOOSE(WEEKDAY($A31,2),"月","火","水","木","金","土","日"))</f>
        <v/>
      </c>
      <c r="C31" s="13" t="str">
        <f aca="false">IF($A31="","",IF(COUNTIF(祝日!$A:$A,$A31)&gt;0,"祝",CHOOSE(WEEKDAY($A31,2),"月","火","水","木","金","土","日")))</f>
        <v/>
      </c>
      <c r="D31" s="14"/>
      <c r="E31" s="13" t="str">
        <f aca="false">IF($A31="","",IF(D31&lt;&gt;"",D31,IF(IF(OR(C31="土",C31="日",C31="祝"),設定!$B$12,設定!$B$11)="あり","ランチ+ディナー","ディナーのみ")))</f>
        <v/>
      </c>
      <c r="F31" s="15" t="str">
        <f aca="false">IF($A31="","",IF(E31="ランチ+ディナー",INDEX(集計!$M$38:$M$45,MATCH(C31,集計!$A$38:$A$45,0)),0))</f>
        <v/>
      </c>
      <c r="G31" s="15" t="str">
        <f aca="false">IF($A31="","",IF(E31="休業",0,INDEX(集計!$L$38:$L$45,MATCH(C31,集計!$A$38:$A$45,0))))</f>
        <v/>
      </c>
      <c r="H31" s="16" t="str">
        <f aca="false">IF(W31=1,$A31-364,"")</f>
        <v/>
      </c>
      <c r="I31" s="17" t="str">
        <f aca="false">IF(W31=1,IF(AND(E31="ランチ+ディナー",T31&gt;=設定!$B$13),T31,0)+U31,"")</f>
        <v/>
      </c>
      <c r="J31" s="18" t="str">
        <f aca="false">IF($A31="","",設定!$B$21)</f>
        <v/>
      </c>
      <c r="K31" s="19" t="str">
        <f aca="false">IF($A31="","",設定!$B$19)</f>
        <v/>
      </c>
      <c r="L31" s="20" t="n">
        <v>1</v>
      </c>
      <c r="M31" s="15" t="str">
        <f aca="false">IF($A31="","",IF(E31&lt;&gt;"ランチ+ディナー",0,IF(AND(W31=1,T31&gt;=設定!$B$13),(1-設定!$B$17)*F31*J31+設定!$B$17*T31*設定!$B$22,F31*J31)*K31*N(L31)))</f>
        <v/>
      </c>
      <c r="N31" s="15" t="str">
        <f aca="false">IF($A31="","",IF(E31="休業",0,IF(W31=1,(1-設定!$B$17)*G31*J31+設定!$B$17*U31*設定!$B$22,G31*J31)*K31*N(L31)))</f>
        <v/>
      </c>
      <c r="O31" s="21" t="str">
        <f aca="false">IF($A31="","",ROUND(M31+N31,0))</f>
        <v/>
      </c>
      <c r="P31" s="17" t="str">
        <f aca="false">IF($A31="","",売上予測貼付用!S26)</f>
        <v/>
      </c>
      <c r="Q31" s="17" t="str">
        <f aca="false">IF($A31="","",IFERROR(P31/O31,""))</f>
        <v/>
      </c>
      <c r="R31" s="22"/>
      <c r="T31" s="23" t="str">
        <f aca="false">IF($A31="","",IF(COUNTIF(前年当月データ!$A:$A,$A31-364)=0,"",SUMIFS(前年当月データ!$Q:$Q,前年当月データ!$A:$A,$A31-364,前年当月データ!$K:$K,"&gt;=6",前年当月データ!$K:$K,"&lt;"&amp;設定!$B$10)))</f>
        <v/>
      </c>
      <c r="U31" s="23" t="str">
        <f aca="false">IF(T31="","",SUMIFS(前年当月データ!$Q:$Q,前年当月データ!$A:$A,$A31-364)-T31)</f>
        <v/>
      </c>
      <c r="V31" s="23" t="str">
        <f aca="false">IF(T31="","",IF(COUNTIF(祝日!$A:$A,($A31-364))&gt;0,"祝",CHOOSE(WEEKDAY(($A31-364),2),"月","火","水","木","金","土","日")))</f>
        <v/>
      </c>
      <c r="W31" s="23" t="n">
        <f aca="false">IF($A31="",0,IF(AND(設定!$B$17&gt;0,N(U31)&gt;0,C31&lt;&gt;"祝",V31&lt;&gt;"祝",E31&lt;&gt;"休業"),1,0))</f>
        <v>0</v>
      </c>
    </row>
    <row r="32" customFormat="false" ht="15" hidden="false" customHeight="false" outlineLevel="0" collapsed="false">
      <c r="A32" s="12" t="str">
        <f aca="false">IF(OR(設定!$B$7="",24&gt;設定!$B$8),"",設定!$B$7+23)</f>
        <v/>
      </c>
      <c r="B32" s="13" t="str">
        <f aca="false">IF($A32="","",CHOOSE(WEEKDAY($A32,2),"月","火","水","木","金","土","日"))</f>
        <v/>
      </c>
      <c r="C32" s="13" t="str">
        <f aca="false">IF($A32="","",IF(COUNTIF(祝日!$A:$A,$A32)&gt;0,"祝",CHOOSE(WEEKDAY($A32,2),"月","火","水","木","金","土","日")))</f>
        <v/>
      </c>
      <c r="D32" s="14"/>
      <c r="E32" s="13" t="str">
        <f aca="false">IF($A32="","",IF(D32&lt;&gt;"",D32,IF(IF(OR(C32="土",C32="日",C32="祝"),設定!$B$12,設定!$B$11)="あり","ランチ+ディナー","ディナーのみ")))</f>
        <v/>
      </c>
      <c r="F32" s="15" t="str">
        <f aca="false">IF($A32="","",IF(E32="ランチ+ディナー",INDEX(集計!$M$38:$M$45,MATCH(C32,集計!$A$38:$A$45,0)),0))</f>
        <v/>
      </c>
      <c r="G32" s="15" t="str">
        <f aca="false">IF($A32="","",IF(E32="休業",0,INDEX(集計!$L$38:$L$45,MATCH(C32,集計!$A$38:$A$45,0))))</f>
        <v/>
      </c>
      <c r="H32" s="16" t="str">
        <f aca="false">IF(W32=1,$A32-364,"")</f>
        <v/>
      </c>
      <c r="I32" s="17" t="str">
        <f aca="false">IF(W32=1,IF(AND(E32="ランチ+ディナー",T32&gt;=設定!$B$13),T32,0)+U32,"")</f>
        <v/>
      </c>
      <c r="J32" s="18" t="str">
        <f aca="false">IF($A32="","",設定!$B$21)</f>
        <v/>
      </c>
      <c r="K32" s="19" t="str">
        <f aca="false">IF($A32="","",設定!$B$19)</f>
        <v/>
      </c>
      <c r="L32" s="20" t="n">
        <v>1</v>
      </c>
      <c r="M32" s="15" t="str">
        <f aca="false">IF($A32="","",IF(E32&lt;&gt;"ランチ+ディナー",0,IF(AND(W32=1,T32&gt;=設定!$B$13),(1-設定!$B$17)*F32*J32+設定!$B$17*T32*設定!$B$22,F32*J32)*K32*N(L32)))</f>
        <v/>
      </c>
      <c r="N32" s="15" t="str">
        <f aca="false">IF($A32="","",IF(E32="休業",0,IF(W32=1,(1-設定!$B$17)*G32*J32+設定!$B$17*U32*設定!$B$22,G32*J32)*K32*N(L32)))</f>
        <v/>
      </c>
      <c r="O32" s="21" t="str">
        <f aca="false">IF($A32="","",ROUND(M32+N32,0))</f>
        <v/>
      </c>
      <c r="P32" s="17" t="str">
        <f aca="false">IF($A32="","",売上予測貼付用!S27)</f>
        <v/>
      </c>
      <c r="Q32" s="17" t="str">
        <f aca="false">IF($A32="","",IFERROR(P32/O32,""))</f>
        <v/>
      </c>
      <c r="R32" s="22"/>
      <c r="T32" s="23" t="str">
        <f aca="false">IF($A32="","",IF(COUNTIF(前年当月データ!$A:$A,$A32-364)=0,"",SUMIFS(前年当月データ!$Q:$Q,前年当月データ!$A:$A,$A32-364,前年当月データ!$K:$K,"&gt;=6",前年当月データ!$K:$K,"&lt;"&amp;設定!$B$10)))</f>
        <v/>
      </c>
      <c r="U32" s="23" t="str">
        <f aca="false">IF(T32="","",SUMIFS(前年当月データ!$Q:$Q,前年当月データ!$A:$A,$A32-364)-T32)</f>
        <v/>
      </c>
      <c r="V32" s="23" t="str">
        <f aca="false">IF(T32="","",IF(COUNTIF(祝日!$A:$A,($A32-364))&gt;0,"祝",CHOOSE(WEEKDAY(($A32-364),2),"月","火","水","木","金","土","日")))</f>
        <v/>
      </c>
      <c r="W32" s="23" t="n">
        <f aca="false">IF($A32="",0,IF(AND(設定!$B$17&gt;0,N(U32)&gt;0,C32&lt;&gt;"祝",V32&lt;&gt;"祝",E32&lt;&gt;"休業"),1,0))</f>
        <v>0</v>
      </c>
    </row>
    <row r="33" customFormat="false" ht="15" hidden="false" customHeight="false" outlineLevel="0" collapsed="false">
      <c r="A33" s="12" t="str">
        <f aca="false">IF(OR(設定!$B$7="",25&gt;設定!$B$8),"",設定!$B$7+24)</f>
        <v/>
      </c>
      <c r="B33" s="13" t="str">
        <f aca="false">IF($A33="","",CHOOSE(WEEKDAY($A33,2),"月","火","水","木","金","土","日"))</f>
        <v/>
      </c>
      <c r="C33" s="13" t="str">
        <f aca="false">IF($A33="","",IF(COUNTIF(祝日!$A:$A,$A33)&gt;0,"祝",CHOOSE(WEEKDAY($A33,2),"月","火","水","木","金","土","日")))</f>
        <v/>
      </c>
      <c r="D33" s="14"/>
      <c r="E33" s="13" t="str">
        <f aca="false">IF($A33="","",IF(D33&lt;&gt;"",D33,IF(IF(OR(C33="土",C33="日",C33="祝"),設定!$B$12,設定!$B$11)="あり","ランチ+ディナー","ディナーのみ")))</f>
        <v/>
      </c>
      <c r="F33" s="15" t="str">
        <f aca="false">IF($A33="","",IF(E33="ランチ+ディナー",INDEX(集計!$M$38:$M$45,MATCH(C33,集計!$A$38:$A$45,0)),0))</f>
        <v/>
      </c>
      <c r="G33" s="15" t="str">
        <f aca="false">IF($A33="","",IF(E33="休業",0,INDEX(集計!$L$38:$L$45,MATCH(C33,集計!$A$38:$A$45,0))))</f>
        <v/>
      </c>
      <c r="H33" s="16" t="str">
        <f aca="false">IF(W33=1,$A33-364,"")</f>
        <v/>
      </c>
      <c r="I33" s="17" t="str">
        <f aca="false">IF(W33=1,IF(AND(E33="ランチ+ディナー",T33&gt;=設定!$B$13),T33,0)+U33,"")</f>
        <v/>
      </c>
      <c r="J33" s="18" t="str">
        <f aca="false">IF($A33="","",設定!$B$21)</f>
        <v/>
      </c>
      <c r="K33" s="19" t="str">
        <f aca="false">IF($A33="","",設定!$B$19)</f>
        <v/>
      </c>
      <c r="L33" s="20" t="n">
        <v>1</v>
      </c>
      <c r="M33" s="15" t="str">
        <f aca="false">IF($A33="","",IF(E33&lt;&gt;"ランチ+ディナー",0,IF(AND(W33=1,T33&gt;=設定!$B$13),(1-設定!$B$17)*F33*J33+設定!$B$17*T33*設定!$B$22,F33*J33)*K33*N(L33)))</f>
        <v/>
      </c>
      <c r="N33" s="15" t="str">
        <f aca="false">IF($A33="","",IF(E33="休業",0,IF(W33=1,(1-設定!$B$17)*G33*J33+設定!$B$17*U33*設定!$B$22,G33*J33)*K33*N(L33)))</f>
        <v/>
      </c>
      <c r="O33" s="21" t="str">
        <f aca="false">IF($A33="","",ROUND(M33+N33,0))</f>
        <v/>
      </c>
      <c r="P33" s="17" t="str">
        <f aca="false">IF($A33="","",売上予測貼付用!S28)</f>
        <v/>
      </c>
      <c r="Q33" s="17" t="str">
        <f aca="false">IF($A33="","",IFERROR(P33/O33,""))</f>
        <v/>
      </c>
      <c r="R33" s="22"/>
      <c r="T33" s="23" t="str">
        <f aca="false">IF($A33="","",IF(COUNTIF(前年当月データ!$A:$A,$A33-364)=0,"",SUMIFS(前年当月データ!$Q:$Q,前年当月データ!$A:$A,$A33-364,前年当月データ!$K:$K,"&gt;=6",前年当月データ!$K:$K,"&lt;"&amp;設定!$B$10)))</f>
        <v/>
      </c>
      <c r="U33" s="23" t="str">
        <f aca="false">IF(T33="","",SUMIFS(前年当月データ!$Q:$Q,前年当月データ!$A:$A,$A33-364)-T33)</f>
        <v/>
      </c>
      <c r="V33" s="23" t="str">
        <f aca="false">IF(T33="","",IF(COUNTIF(祝日!$A:$A,($A33-364))&gt;0,"祝",CHOOSE(WEEKDAY(($A33-364),2),"月","火","水","木","金","土","日")))</f>
        <v/>
      </c>
      <c r="W33" s="23" t="n">
        <f aca="false">IF($A33="",0,IF(AND(設定!$B$17&gt;0,N(U33)&gt;0,C33&lt;&gt;"祝",V33&lt;&gt;"祝",E33&lt;&gt;"休業"),1,0))</f>
        <v>0</v>
      </c>
    </row>
    <row r="34" customFormat="false" ht="15" hidden="false" customHeight="false" outlineLevel="0" collapsed="false">
      <c r="A34" s="12" t="str">
        <f aca="false">IF(OR(設定!$B$7="",26&gt;設定!$B$8),"",設定!$B$7+25)</f>
        <v/>
      </c>
      <c r="B34" s="13" t="str">
        <f aca="false">IF($A34="","",CHOOSE(WEEKDAY($A34,2),"月","火","水","木","金","土","日"))</f>
        <v/>
      </c>
      <c r="C34" s="13" t="str">
        <f aca="false">IF($A34="","",IF(COUNTIF(祝日!$A:$A,$A34)&gt;0,"祝",CHOOSE(WEEKDAY($A34,2),"月","火","水","木","金","土","日")))</f>
        <v/>
      </c>
      <c r="D34" s="14"/>
      <c r="E34" s="13" t="str">
        <f aca="false">IF($A34="","",IF(D34&lt;&gt;"",D34,IF(IF(OR(C34="土",C34="日",C34="祝"),設定!$B$12,設定!$B$11)="あり","ランチ+ディナー","ディナーのみ")))</f>
        <v/>
      </c>
      <c r="F34" s="15" t="str">
        <f aca="false">IF($A34="","",IF(E34="ランチ+ディナー",INDEX(集計!$M$38:$M$45,MATCH(C34,集計!$A$38:$A$45,0)),0))</f>
        <v/>
      </c>
      <c r="G34" s="15" t="str">
        <f aca="false">IF($A34="","",IF(E34="休業",0,INDEX(集計!$L$38:$L$45,MATCH(C34,集計!$A$38:$A$45,0))))</f>
        <v/>
      </c>
      <c r="H34" s="16" t="str">
        <f aca="false">IF(W34=1,$A34-364,"")</f>
        <v/>
      </c>
      <c r="I34" s="17" t="str">
        <f aca="false">IF(W34=1,IF(AND(E34="ランチ+ディナー",T34&gt;=設定!$B$13),T34,0)+U34,"")</f>
        <v/>
      </c>
      <c r="J34" s="18" t="str">
        <f aca="false">IF($A34="","",設定!$B$21)</f>
        <v/>
      </c>
      <c r="K34" s="19" t="str">
        <f aca="false">IF($A34="","",設定!$B$19)</f>
        <v/>
      </c>
      <c r="L34" s="20" t="n">
        <v>1</v>
      </c>
      <c r="M34" s="15" t="str">
        <f aca="false">IF($A34="","",IF(E34&lt;&gt;"ランチ+ディナー",0,IF(AND(W34=1,T34&gt;=設定!$B$13),(1-設定!$B$17)*F34*J34+設定!$B$17*T34*設定!$B$22,F34*J34)*K34*N(L34)))</f>
        <v/>
      </c>
      <c r="N34" s="15" t="str">
        <f aca="false">IF($A34="","",IF(E34="休業",0,IF(W34=1,(1-設定!$B$17)*G34*J34+設定!$B$17*U34*設定!$B$22,G34*J34)*K34*N(L34)))</f>
        <v/>
      </c>
      <c r="O34" s="21" t="str">
        <f aca="false">IF($A34="","",ROUND(M34+N34,0))</f>
        <v/>
      </c>
      <c r="P34" s="17" t="str">
        <f aca="false">IF($A34="","",売上予測貼付用!S29)</f>
        <v/>
      </c>
      <c r="Q34" s="17" t="str">
        <f aca="false">IF($A34="","",IFERROR(P34/O34,""))</f>
        <v/>
      </c>
      <c r="R34" s="22"/>
      <c r="T34" s="23" t="str">
        <f aca="false">IF($A34="","",IF(COUNTIF(前年当月データ!$A:$A,$A34-364)=0,"",SUMIFS(前年当月データ!$Q:$Q,前年当月データ!$A:$A,$A34-364,前年当月データ!$K:$K,"&gt;=6",前年当月データ!$K:$K,"&lt;"&amp;設定!$B$10)))</f>
        <v/>
      </c>
      <c r="U34" s="23" t="str">
        <f aca="false">IF(T34="","",SUMIFS(前年当月データ!$Q:$Q,前年当月データ!$A:$A,$A34-364)-T34)</f>
        <v/>
      </c>
      <c r="V34" s="23" t="str">
        <f aca="false">IF(T34="","",IF(COUNTIF(祝日!$A:$A,($A34-364))&gt;0,"祝",CHOOSE(WEEKDAY(($A34-364),2),"月","火","水","木","金","土","日")))</f>
        <v/>
      </c>
      <c r="W34" s="23" t="n">
        <f aca="false">IF($A34="",0,IF(AND(設定!$B$17&gt;0,N(U34)&gt;0,C34&lt;&gt;"祝",V34&lt;&gt;"祝",E34&lt;&gt;"休業"),1,0))</f>
        <v>0</v>
      </c>
    </row>
    <row r="35" customFormat="false" ht="15" hidden="false" customHeight="false" outlineLevel="0" collapsed="false">
      <c r="A35" s="12" t="str">
        <f aca="false">IF(OR(設定!$B$7="",27&gt;設定!$B$8),"",設定!$B$7+26)</f>
        <v/>
      </c>
      <c r="B35" s="13" t="str">
        <f aca="false">IF($A35="","",CHOOSE(WEEKDAY($A35,2),"月","火","水","木","金","土","日"))</f>
        <v/>
      </c>
      <c r="C35" s="13" t="str">
        <f aca="false">IF($A35="","",IF(COUNTIF(祝日!$A:$A,$A35)&gt;0,"祝",CHOOSE(WEEKDAY($A35,2),"月","火","水","木","金","土","日")))</f>
        <v/>
      </c>
      <c r="D35" s="14"/>
      <c r="E35" s="13" t="str">
        <f aca="false">IF($A35="","",IF(D35&lt;&gt;"",D35,IF(IF(OR(C35="土",C35="日",C35="祝"),設定!$B$12,設定!$B$11)="あり","ランチ+ディナー","ディナーのみ")))</f>
        <v/>
      </c>
      <c r="F35" s="15" t="str">
        <f aca="false">IF($A35="","",IF(E35="ランチ+ディナー",INDEX(集計!$M$38:$M$45,MATCH(C35,集計!$A$38:$A$45,0)),0))</f>
        <v/>
      </c>
      <c r="G35" s="15" t="str">
        <f aca="false">IF($A35="","",IF(E35="休業",0,INDEX(集計!$L$38:$L$45,MATCH(C35,集計!$A$38:$A$45,0))))</f>
        <v/>
      </c>
      <c r="H35" s="16" t="str">
        <f aca="false">IF(W35=1,$A35-364,"")</f>
        <v/>
      </c>
      <c r="I35" s="17" t="str">
        <f aca="false">IF(W35=1,IF(AND(E35="ランチ+ディナー",T35&gt;=設定!$B$13),T35,0)+U35,"")</f>
        <v/>
      </c>
      <c r="J35" s="18" t="str">
        <f aca="false">IF($A35="","",設定!$B$21)</f>
        <v/>
      </c>
      <c r="K35" s="19" t="str">
        <f aca="false">IF($A35="","",設定!$B$19)</f>
        <v/>
      </c>
      <c r="L35" s="20" t="n">
        <v>1</v>
      </c>
      <c r="M35" s="15" t="str">
        <f aca="false">IF($A35="","",IF(E35&lt;&gt;"ランチ+ディナー",0,IF(AND(W35=1,T35&gt;=設定!$B$13),(1-設定!$B$17)*F35*J35+設定!$B$17*T35*設定!$B$22,F35*J35)*K35*N(L35)))</f>
        <v/>
      </c>
      <c r="N35" s="15" t="str">
        <f aca="false">IF($A35="","",IF(E35="休業",0,IF(W35=1,(1-設定!$B$17)*G35*J35+設定!$B$17*U35*設定!$B$22,G35*J35)*K35*N(L35)))</f>
        <v/>
      </c>
      <c r="O35" s="21" t="str">
        <f aca="false">IF($A35="","",ROUND(M35+N35,0))</f>
        <v/>
      </c>
      <c r="P35" s="17" t="str">
        <f aca="false">IF($A35="","",売上予測貼付用!S30)</f>
        <v/>
      </c>
      <c r="Q35" s="17" t="str">
        <f aca="false">IF($A35="","",IFERROR(P35/O35,""))</f>
        <v/>
      </c>
      <c r="R35" s="22"/>
      <c r="T35" s="23" t="str">
        <f aca="false">IF($A35="","",IF(COUNTIF(前年当月データ!$A:$A,$A35-364)=0,"",SUMIFS(前年当月データ!$Q:$Q,前年当月データ!$A:$A,$A35-364,前年当月データ!$K:$K,"&gt;=6",前年当月データ!$K:$K,"&lt;"&amp;設定!$B$10)))</f>
        <v/>
      </c>
      <c r="U35" s="23" t="str">
        <f aca="false">IF(T35="","",SUMIFS(前年当月データ!$Q:$Q,前年当月データ!$A:$A,$A35-364)-T35)</f>
        <v/>
      </c>
      <c r="V35" s="23" t="str">
        <f aca="false">IF(T35="","",IF(COUNTIF(祝日!$A:$A,($A35-364))&gt;0,"祝",CHOOSE(WEEKDAY(($A35-364),2),"月","火","水","木","金","土","日")))</f>
        <v/>
      </c>
      <c r="W35" s="23" t="n">
        <f aca="false">IF($A35="",0,IF(AND(設定!$B$17&gt;0,N(U35)&gt;0,C35&lt;&gt;"祝",V35&lt;&gt;"祝",E35&lt;&gt;"休業"),1,0))</f>
        <v>0</v>
      </c>
    </row>
    <row r="36" customFormat="false" ht="15" hidden="false" customHeight="false" outlineLevel="0" collapsed="false">
      <c r="A36" s="12" t="str">
        <f aca="false">IF(OR(設定!$B$7="",28&gt;設定!$B$8),"",設定!$B$7+27)</f>
        <v/>
      </c>
      <c r="B36" s="13" t="str">
        <f aca="false">IF($A36="","",CHOOSE(WEEKDAY($A36,2),"月","火","水","木","金","土","日"))</f>
        <v/>
      </c>
      <c r="C36" s="13" t="str">
        <f aca="false">IF($A36="","",IF(COUNTIF(祝日!$A:$A,$A36)&gt;0,"祝",CHOOSE(WEEKDAY($A36,2),"月","火","水","木","金","土","日")))</f>
        <v/>
      </c>
      <c r="D36" s="14"/>
      <c r="E36" s="13" t="str">
        <f aca="false">IF($A36="","",IF(D36&lt;&gt;"",D36,IF(IF(OR(C36="土",C36="日",C36="祝"),設定!$B$12,設定!$B$11)="あり","ランチ+ディナー","ディナーのみ")))</f>
        <v/>
      </c>
      <c r="F36" s="15" t="str">
        <f aca="false">IF($A36="","",IF(E36="ランチ+ディナー",INDEX(集計!$M$38:$M$45,MATCH(C36,集計!$A$38:$A$45,0)),0))</f>
        <v/>
      </c>
      <c r="G36" s="15" t="str">
        <f aca="false">IF($A36="","",IF(E36="休業",0,INDEX(集計!$L$38:$L$45,MATCH(C36,集計!$A$38:$A$45,0))))</f>
        <v/>
      </c>
      <c r="H36" s="16" t="str">
        <f aca="false">IF(W36=1,$A36-364,"")</f>
        <v/>
      </c>
      <c r="I36" s="17" t="str">
        <f aca="false">IF(W36=1,IF(AND(E36="ランチ+ディナー",T36&gt;=設定!$B$13),T36,0)+U36,"")</f>
        <v/>
      </c>
      <c r="J36" s="18" t="str">
        <f aca="false">IF($A36="","",設定!$B$21)</f>
        <v/>
      </c>
      <c r="K36" s="19" t="str">
        <f aca="false">IF($A36="","",設定!$B$19)</f>
        <v/>
      </c>
      <c r="L36" s="20" t="n">
        <v>1</v>
      </c>
      <c r="M36" s="15" t="str">
        <f aca="false">IF($A36="","",IF(E36&lt;&gt;"ランチ+ディナー",0,IF(AND(W36=1,T36&gt;=設定!$B$13),(1-設定!$B$17)*F36*J36+設定!$B$17*T36*設定!$B$22,F36*J36)*K36*N(L36)))</f>
        <v/>
      </c>
      <c r="N36" s="15" t="str">
        <f aca="false">IF($A36="","",IF(E36="休業",0,IF(W36=1,(1-設定!$B$17)*G36*J36+設定!$B$17*U36*設定!$B$22,G36*J36)*K36*N(L36)))</f>
        <v/>
      </c>
      <c r="O36" s="21" t="str">
        <f aca="false">IF($A36="","",ROUND(M36+N36,0))</f>
        <v/>
      </c>
      <c r="P36" s="17" t="str">
        <f aca="false">IF($A36="","",売上予測貼付用!S31)</f>
        <v/>
      </c>
      <c r="Q36" s="17" t="str">
        <f aca="false">IF($A36="","",IFERROR(P36/O36,""))</f>
        <v/>
      </c>
      <c r="R36" s="22"/>
      <c r="T36" s="23" t="str">
        <f aca="false">IF($A36="","",IF(COUNTIF(前年当月データ!$A:$A,$A36-364)=0,"",SUMIFS(前年当月データ!$Q:$Q,前年当月データ!$A:$A,$A36-364,前年当月データ!$K:$K,"&gt;=6",前年当月データ!$K:$K,"&lt;"&amp;設定!$B$10)))</f>
        <v/>
      </c>
      <c r="U36" s="23" t="str">
        <f aca="false">IF(T36="","",SUMIFS(前年当月データ!$Q:$Q,前年当月データ!$A:$A,$A36-364)-T36)</f>
        <v/>
      </c>
      <c r="V36" s="23" t="str">
        <f aca="false">IF(T36="","",IF(COUNTIF(祝日!$A:$A,($A36-364))&gt;0,"祝",CHOOSE(WEEKDAY(($A36-364),2),"月","火","水","木","金","土","日")))</f>
        <v/>
      </c>
      <c r="W36" s="23" t="n">
        <f aca="false">IF($A36="",0,IF(AND(設定!$B$17&gt;0,N(U36)&gt;0,C36&lt;&gt;"祝",V36&lt;&gt;"祝",E36&lt;&gt;"休業"),1,0))</f>
        <v>0</v>
      </c>
    </row>
    <row r="37" customFormat="false" ht="15" hidden="false" customHeight="false" outlineLevel="0" collapsed="false">
      <c r="A37" s="12" t="str">
        <f aca="false">IF(OR(設定!$B$7="",29&gt;設定!$B$8),"",設定!$B$7+28)</f>
        <v/>
      </c>
      <c r="B37" s="13" t="str">
        <f aca="false">IF($A37="","",CHOOSE(WEEKDAY($A37,2),"月","火","水","木","金","土","日"))</f>
        <v/>
      </c>
      <c r="C37" s="13" t="str">
        <f aca="false">IF($A37="","",IF(COUNTIF(祝日!$A:$A,$A37)&gt;0,"祝",CHOOSE(WEEKDAY($A37,2),"月","火","水","木","金","土","日")))</f>
        <v/>
      </c>
      <c r="D37" s="14"/>
      <c r="E37" s="13" t="str">
        <f aca="false">IF($A37="","",IF(D37&lt;&gt;"",D37,IF(IF(OR(C37="土",C37="日",C37="祝"),設定!$B$12,設定!$B$11)="あり","ランチ+ディナー","ディナーのみ")))</f>
        <v/>
      </c>
      <c r="F37" s="15" t="str">
        <f aca="false">IF($A37="","",IF(E37="ランチ+ディナー",INDEX(集計!$M$38:$M$45,MATCH(C37,集計!$A$38:$A$45,0)),0))</f>
        <v/>
      </c>
      <c r="G37" s="15" t="str">
        <f aca="false">IF($A37="","",IF(E37="休業",0,INDEX(集計!$L$38:$L$45,MATCH(C37,集計!$A$38:$A$45,0))))</f>
        <v/>
      </c>
      <c r="H37" s="16" t="str">
        <f aca="false">IF(W37=1,$A37-364,"")</f>
        <v/>
      </c>
      <c r="I37" s="17" t="str">
        <f aca="false">IF(W37=1,IF(AND(E37="ランチ+ディナー",T37&gt;=設定!$B$13),T37,0)+U37,"")</f>
        <v/>
      </c>
      <c r="J37" s="18" t="str">
        <f aca="false">IF($A37="","",設定!$B$21)</f>
        <v/>
      </c>
      <c r="K37" s="19" t="str">
        <f aca="false">IF($A37="","",設定!$B$19)</f>
        <v/>
      </c>
      <c r="L37" s="20" t="n">
        <v>1</v>
      </c>
      <c r="M37" s="15" t="str">
        <f aca="false">IF($A37="","",IF(E37&lt;&gt;"ランチ+ディナー",0,IF(AND(W37=1,T37&gt;=設定!$B$13),(1-設定!$B$17)*F37*J37+設定!$B$17*T37*設定!$B$22,F37*J37)*K37*N(L37)))</f>
        <v/>
      </c>
      <c r="N37" s="15" t="str">
        <f aca="false">IF($A37="","",IF(E37="休業",0,IF(W37=1,(1-設定!$B$17)*G37*J37+設定!$B$17*U37*設定!$B$22,G37*J37)*K37*N(L37)))</f>
        <v/>
      </c>
      <c r="O37" s="21" t="str">
        <f aca="false">IF($A37="","",ROUND(M37+N37,0))</f>
        <v/>
      </c>
      <c r="P37" s="17" t="str">
        <f aca="false">IF($A37="","",売上予測貼付用!S32)</f>
        <v/>
      </c>
      <c r="Q37" s="17" t="str">
        <f aca="false">IF($A37="","",IFERROR(P37/O37,""))</f>
        <v/>
      </c>
      <c r="R37" s="22"/>
      <c r="T37" s="23" t="str">
        <f aca="false">IF($A37="","",IF(COUNTIF(前年当月データ!$A:$A,$A37-364)=0,"",SUMIFS(前年当月データ!$Q:$Q,前年当月データ!$A:$A,$A37-364,前年当月データ!$K:$K,"&gt;=6",前年当月データ!$K:$K,"&lt;"&amp;設定!$B$10)))</f>
        <v/>
      </c>
      <c r="U37" s="23" t="str">
        <f aca="false">IF(T37="","",SUMIFS(前年当月データ!$Q:$Q,前年当月データ!$A:$A,$A37-364)-T37)</f>
        <v/>
      </c>
      <c r="V37" s="23" t="str">
        <f aca="false">IF(T37="","",IF(COUNTIF(祝日!$A:$A,($A37-364))&gt;0,"祝",CHOOSE(WEEKDAY(($A37-364),2),"月","火","水","木","金","土","日")))</f>
        <v/>
      </c>
      <c r="W37" s="23" t="n">
        <f aca="false">IF($A37="",0,IF(AND(設定!$B$17&gt;0,N(U37)&gt;0,C37&lt;&gt;"祝",V37&lt;&gt;"祝",E37&lt;&gt;"休業"),1,0))</f>
        <v>0</v>
      </c>
    </row>
    <row r="38" customFormat="false" ht="15" hidden="false" customHeight="false" outlineLevel="0" collapsed="false">
      <c r="A38" s="12" t="str">
        <f aca="false">IF(OR(設定!$B$7="",30&gt;設定!$B$8),"",設定!$B$7+29)</f>
        <v/>
      </c>
      <c r="B38" s="13" t="str">
        <f aca="false">IF($A38="","",CHOOSE(WEEKDAY($A38,2),"月","火","水","木","金","土","日"))</f>
        <v/>
      </c>
      <c r="C38" s="13" t="str">
        <f aca="false">IF($A38="","",IF(COUNTIF(祝日!$A:$A,$A38)&gt;0,"祝",CHOOSE(WEEKDAY($A38,2),"月","火","水","木","金","土","日")))</f>
        <v/>
      </c>
      <c r="D38" s="14"/>
      <c r="E38" s="13" t="str">
        <f aca="false">IF($A38="","",IF(D38&lt;&gt;"",D38,IF(IF(OR(C38="土",C38="日",C38="祝"),設定!$B$12,設定!$B$11)="あり","ランチ+ディナー","ディナーのみ")))</f>
        <v/>
      </c>
      <c r="F38" s="15" t="str">
        <f aca="false">IF($A38="","",IF(E38="ランチ+ディナー",INDEX(集計!$M$38:$M$45,MATCH(C38,集計!$A$38:$A$45,0)),0))</f>
        <v/>
      </c>
      <c r="G38" s="15" t="str">
        <f aca="false">IF($A38="","",IF(E38="休業",0,INDEX(集計!$L$38:$L$45,MATCH(C38,集計!$A$38:$A$45,0))))</f>
        <v/>
      </c>
      <c r="H38" s="16" t="str">
        <f aca="false">IF(W38=1,$A38-364,"")</f>
        <v/>
      </c>
      <c r="I38" s="17" t="str">
        <f aca="false">IF(W38=1,IF(AND(E38="ランチ+ディナー",T38&gt;=設定!$B$13),T38,0)+U38,"")</f>
        <v/>
      </c>
      <c r="J38" s="18" t="str">
        <f aca="false">IF($A38="","",設定!$B$21)</f>
        <v/>
      </c>
      <c r="K38" s="19" t="str">
        <f aca="false">IF($A38="","",設定!$B$19)</f>
        <v/>
      </c>
      <c r="L38" s="20" t="n">
        <v>1</v>
      </c>
      <c r="M38" s="15" t="str">
        <f aca="false">IF($A38="","",IF(E38&lt;&gt;"ランチ+ディナー",0,IF(AND(W38=1,T38&gt;=設定!$B$13),(1-設定!$B$17)*F38*J38+設定!$B$17*T38*設定!$B$22,F38*J38)*K38*N(L38)))</f>
        <v/>
      </c>
      <c r="N38" s="15" t="str">
        <f aca="false">IF($A38="","",IF(E38="休業",0,IF(W38=1,(1-設定!$B$17)*G38*J38+設定!$B$17*U38*設定!$B$22,G38*J38)*K38*N(L38)))</f>
        <v/>
      </c>
      <c r="O38" s="21" t="str">
        <f aca="false">IF($A38="","",ROUND(M38+N38,0))</f>
        <v/>
      </c>
      <c r="P38" s="17" t="str">
        <f aca="false">IF($A38="","",売上予測貼付用!S33)</f>
        <v/>
      </c>
      <c r="Q38" s="17" t="str">
        <f aca="false">IF($A38="","",IFERROR(P38/O38,""))</f>
        <v/>
      </c>
      <c r="R38" s="22"/>
      <c r="T38" s="23" t="str">
        <f aca="false">IF($A38="","",IF(COUNTIF(前年当月データ!$A:$A,$A38-364)=0,"",SUMIFS(前年当月データ!$Q:$Q,前年当月データ!$A:$A,$A38-364,前年当月データ!$K:$K,"&gt;=6",前年当月データ!$K:$K,"&lt;"&amp;設定!$B$10)))</f>
        <v/>
      </c>
      <c r="U38" s="23" t="str">
        <f aca="false">IF(T38="","",SUMIFS(前年当月データ!$Q:$Q,前年当月データ!$A:$A,$A38-364)-T38)</f>
        <v/>
      </c>
      <c r="V38" s="23" t="str">
        <f aca="false">IF(T38="","",IF(COUNTIF(祝日!$A:$A,($A38-364))&gt;0,"祝",CHOOSE(WEEKDAY(($A38-364),2),"月","火","水","木","金","土","日")))</f>
        <v/>
      </c>
      <c r="W38" s="23" t="n">
        <f aca="false">IF($A38="",0,IF(AND(設定!$B$17&gt;0,N(U38)&gt;0,C38&lt;&gt;"祝",V38&lt;&gt;"祝",E38&lt;&gt;"休業"),1,0))</f>
        <v>0</v>
      </c>
    </row>
    <row r="39" customFormat="false" ht="15" hidden="false" customHeight="false" outlineLevel="0" collapsed="false">
      <c r="A39" s="12" t="str">
        <f aca="false">IF(OR(設定!$B$7="",31&gt;設定!$B$8),"",設定!$B$7+30)</f>
        <v/>
      </c>
      <c r="B39" s="13" t="str">
        <f aca="false">IF($A39="","",CHOOSE(WEEKDAY($A39,2),"月","火","水","木","金","土","日"))</f>
        <v/>
      </c>
      <c r="C39" s="13" t="str">
        <f aca="false">IF($A39="","",IF(COUNTIF(祝日!$A:$A,$A39)&gt;0,"祝",CHOOSE(WEEKDAY($A39,2),"月","火","水","木","金","土","日")))</f>
        <v/>
      </c>
      <c r="D39" s="14"/>
      <c r="E39" s="13" t="str">
        <f aca="false">IF($A39="","",IF(D39&lt;&gt;"",D39,IF(IF(OR(C39="土",C39="日",C39="祝"),設定!$B$12,設定!$B$11)="あり","ランチ+ディナー","ディナーのみ")))</f>
        <v/>
      </c>
      <c r="F39" s="15" t="str">
        <f aca="false">IF($A39="","",IF(E39="ランチ+ディナー",INDEX(集計!$M$38:$M$45,MATCH(C39,集計!$A$38:$A$45,0)),0))</f>
        <v/>
      </c>
      <c r="G39" s="15" t="str">
        <f aca="false">IF($A39="","",IF(E39="休業",0,INDEX(集計!$L$38:$L$45,MATCH(C39,集計!$A$38:$A$45,0))))</f>
        <v/>
      </c>
      <c r="H39" s="16" t="str">
        <f aca="false">IF(W39=1,$A39-364,"")</f>
        <v/>
      </c>
      <c r="I39" s="17" t="str">
        <f aca="false">IF(W39=1,IF(AND(E39="ランチ+ディナー",T39&gt;=設定!$B$13),T39,0)+U39,"")</f>
        <v/>
      </c>
      <c r="J39" s="18" t="str">
        <f aca="false">IF($A39="","",設定!$B$21)</f>
        <v/>
      </c>
      <c r="K39" s="19" t="str">
        <f aca="false">IF($A39="","",設定!$B$19)</f>
        <v/>
      </c>
      <c r="L39" s="20" t="n">
        <v>1</v>
      </c>
      <c r="M39" s="15" t="str">
        <f aca="false">IF($A39="","",IF(E39&lt;&gt;"ランチ+ディナー",0,IF(AND(W39=1,T39&gt;=設定!$B$13),(1-設定!$B$17)*F39*J39+設定!$B$17*T39*設定!$B$22,F39*J39)*K39*N(L39)))</f>
        <v/>
      </c>
      <c r="N39" s="15" t="str">
        <f aca="false">IF($A39="","",IF(E39="休業",0,IF(W39=1,(1-設定!$B$17)*G39*J39+設定!$B$17*U39*設定!$B$22,G39*J39)*K39*N(L39)))</f>
        <v/>
      </c>
      <c r="O39" s="21" t="str">
        <f aca="false">IF($A39="","",ROUND(M39+N39,0))</f>
        <v/>
      </c>
      <c r="P39" s="17" t="str">
        <f aca="false">IF($A39="","",売上予測貼付用!S34)</f>
        <v/>
      </c>
      <c r="Q39" s="17" t="str">
        <f aca="false">IF($A39="","",IFERROR(P39/O39,""))</f>
        <v/>
      </c>
      <c r="R39" s="22"/>
      <c r="T39" s="23" t="str">
        <f aca="false">IF($A39="","",IF(COUNTIF(前年当月データ!$A:$A,$A39-364)=0,"",SUMIFS(前年当月データ!$Q:$Q,前年当月データ!$A:$A,$A39-364,前年当月データ!$K:$K,"&gt;=6",前年当月データ!$K:$K,"&lt;"&amp;設定!$B$10)))</f>
        <v/>
      </c>
      <c r="U39" s="23" t="str">
        <f aca="false">IF(T39="","",SUMIFS(前年当月データ!$Q:$Q,前年当月データ!$A:$A,$A39-364)-T39)</f>
        <v/>
      </c>
      <c r="V39" s="23" t="str">
        <f aca="false">IF(T39="","",IF(COUNTIF(祝日!$A:$A,($A39-364))&gt;0,"祝",CHOOSE(WEEKDAY(($A39-364),2),"月","火","水","木","金","土","日")))</f>
        <v/>
      </c>
      <c r="W39" s="23" t="n">
        <f aca="false">IF($A39="",0,IF(AND(設定!$B$17&gt;0,N(U39)&gt;0,C39&lt;&gt;"祝",V39&lt;&gt;"祝",E39&lt;&gt;"休業"),1,0))</f>
        <v>0</v>
      </c>
    </row>
    <row r="40" customFormat="false" ht="15" hidden="false" customHeight="false" outlineLevel="0" collapsed="false">
      <c r="A40" s="24" t="s">
        <v>61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 t="n">
        <f aca="false">SUM(M9:M39)</f>
        <v>0</v>
      </c>
      <c r="N40" s="24" t="n">
        <f aca="false">SUM(N9:N39)</f>
        <v>0</v>
      </c>
      <c r="O40" s="24" t="n">
        <f aca="false">SUM(O9:O39)</f>
        <v>0</v>
      </c>
      <c r="P40" s="24" t="n">
        <f aca="false">SUM(P9:P39)</f>
        <v>0</v>
      </c>
      <c r="Q40" s="24" t="str">
        <f aca="false">IFERROR(P40/O40,"")</f>
        <v/>
      </c>
      <c r="R40" s="24"/>
    </row>
  </sheetData>
  <mergeCells count="10">
    <mergeCell ref="A3:C3"/>
    <mergeCell ref="D3:E3"/>
    <mergeCell ref="A4:C4"/>
    <mergeCell ref="D4:E4"/>
    <mergeCell ref="A5:C5"/>
    <mergeCell ref="D5:E5"/>
    <mergeCell ref="A6:C6"/>
    <mergeCell ref="D6:E6"/>
    <mergeCell ref="A7:C7"/>
    <mergeCell ref="D7:E7"/>
  </mergeCells>
  <conditionalFormatting sqref="A9:C39">
    <cfRule type="expression" priority="2" aboveAverage="0" equalAverage="0" bottom="0" percent="0" rank="0" text="" dxfId="0">
      <formula>$C9="土"</formula>
    </cfRule>
    <cfRule type="expression" priority="3" aboveAverage="0" equalAverage="0" bottom="0" percent="0" rank="0" text="" dxfId="1">
      <formula>OR($C9="日",$C9="祝")</formula>
    </cfRule>
  </conditionalFormatting>
  <conditionalFormatting sqref="E9:Q39">
    <cfRule type="expression" priority="4" aboveAverage="0" equalAverage="0" bottom="0" percent="0" rank="0" text="" dxfId="2">
      <formula>$E9="休業"</formula>
    </cfRule>
  </conditionalFormatting>
  <conditionalFormatting sqref="E9:E39">
    <cfRule type="expression" priority="5" aboveAverage="0" equalAverage="0" bottom="0" percent="0" rank="0" text="" dxfId="3">
      <formula>AND($D9&lt;&gt;"",$E9&lt;&gt;"休業")</formula>
    </cfRule>
  </conditionalFormatting>
  <dataValidations count="2">
    <dataValidation allowBlank="true" errorStyle="stop" operator="between" showDropDown="false" showErrorMessage="false" showInputMessage="false" sqref="D9:D39" type="list">
      <formula1>"ランチ+ディナー,ディナーのみ,休業"</formula1>
      <formula2>0</formula2>
    </dataValidation>
    <dataValidation allowBlank="true" error="0〜5の倍率で入力してください（例：1.2）" errorStyle="stop" operator="between" showDropDown="false" showErrorMessage="false" showInputMessage="false" sqref="L9:L39" type="decimal">
      <formula1>0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Q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17" min="5" style="0" width="6"/>
  </cols>
  <sheetData>
    <row r="1" customFormat="false" ht="17.35" hidden="false" customHeight="false" outlineLevel="0" collapsed="false">
      <c r="A1" s="5" t="str">
        <f aca="false">IF(設定!$B$7="","時間帯別 予測客数",TEXT(設定!$B$7,"yyyy年m月")&amp;"　時間帯別 予測客数（シフト作成用）")</f>
        <v>時間帯別 予測客数</v>
      </c>
    </row>
    <row r="2" customFormat="false" ht="15" hidden="false" customHeight="false" outlineLevel="0" collapsed="false">
      <c r="A2" s="6" t="s">
        <v>62</v>
      </c>
    </row>
    <row r="3" customFormat="false" ht="15" hidden="false" customHeight="false" outlineLevel="0" collapsed="false">
      <c r="D3" s="25" t="s">
        <v>63</v>
      </c>
      <c r="E3" s="26" t="str">
        <f aca="false">IFERROR(INDEX(設定!$F$4:$F$27,MATCH(E4,設定!$E$4:$E$27,0)),"")</f>
        <v>ランチ</v>
      </c>
      <c r="F3" s="26" t="str">
        <f aca="false">IFERROR(INDEX(設定!$F$4:$F$27,MATCH(F4,設定!$E$4:$E$27,0)),"")</f>
        <v>ランチ</v>
      </c>
      <c r="G3" s="26" t="str">
        <f aca="false">IFERROR(INDEX(設定!$F$4:$F$27,MATCH(G4,設定!$E$4:$E$27,0)),"")</f>
        <v>ランチ</v>
      </c>
      <c r="H3" s="26" t="str">
        <f aca="false">IFERROR(INDEX(設定!$F$4:$F$27,MATCH(H4,設定!$E$4:$E$27,0)),"")</f>
        <v>ランチ</v>
      </c>
      <c r="I3" s="26" t="str">
        <f aca="false">IFERROR(INDEX(設定!$F$4:$F$27,MATCH(I4,設定!$E$4:$E$27,0)),"")</f>
        <v>アイドル</v>
      </c>
      <c r="J3" s="26" t="str">
        <f aca="false">IFERROR(INDEX(設定!$F$4:$F$27,MATCH(J4,設定!$E$4:$E$27,0)),"")</f>
        <v>アイドル</v>
      </c>
      <c r="K3" s="26" t="str">
        <f aca="false">IFERROR(INDEX(設定!$F$4:$F$27,MATCH(K4,設定!$E$4:$E$27,0)),"")</f>
        <v>アイドル</v>
      </c>
      <c r="L3" s="26" t="str">
        <f aca="false">IFERROR(INDEX(設定!$F$4:$F$27,MATCH(L4,設定!$E$4:$E$27,0)),"")</f>
        <v>ディナー</v>
      </c>
      <c r="M3" s="26" t="str">
        <f aca="false">IFERROR(INDEX(設定!$F$4:$F$27,MATCH(M4,設定!$E$4:$E$27,0)),"")</f>
        <v>ディナー</v>
      </c>
      <c r="N3" s="26" t="str">
        <f aca="false">IFERROR(INDEX(設定!$F$4:$F$27,MATCH(N4,設定!$E$4:$E$27,0)),"")</f>
        <v>ディナー</v>
      </c>
      <c r="O3" s="26" t="str">
        <f aca="false">IFERROR(INDEX(設定!$F$4:$F$27,MATCH(O4,設定!$E$4:$E$27,0)),"")</f>
        <v>ディナー</v>
      </c>
      <c r="P3" s="26" t="str">
        <f aca="false">IFERROR(INDEX(設定!$F$4:$F$27,MATCH(P4,設定!$E$4:$E$27,0)),"")</f>
        <v>ナイト</v>
      </c>
      <c r="Q3" s="26" t="str">
        <f aca="false">IFERROR(INDEX(設定!$F$4:$F$27,MATCH(Q4,設定!$E$4:$E$27,0)),"")</f>
        <v>ナイト</v>
      </c>
    </row>
    <row r="4" customFormat="false" ht="15" hidden="false" customHeight="false" outlineLevel="0" collapsed="false">
      <c r="A4" s="10" t="s">
        <v>39</v>
      </c>
      <c r="B4" s="10" t="s">
        <v>64</v>
      </c>
      <c r="C4" s="10" t="s">
        <v>65</v>
      </c>
      <c r="D4" s="10" t="s">
        <v>66</v>
      </c>
      <c r="E4" s="27" t="n">
        <f aca="false">集計!B52</f>
        <v>11</v>
      </c>
      <c r="F4" s="27" t="n">
        <f aca="false">集計!C52</f>
        <v>12</v>
      </c>
      <c r="G4" s="27" t="n">
        <f aca="false">集計!D52</f>
        <v>13</v>
      </c>
      <c r="H4" s="27" t="n">
        <f aca="false">集計!E52</f>
        <v>14</v>
      </c>
      <c r="I4" s="27" t="n">
        <f aca="false">集計!F52</f>
        <v>15</v>
      </c>
      <c r="J4" s="27" t="n">
        <f aca="false">集計!G52</f>
        <v>16</v>
      </c>
      <c r="K4" s="27" t="n">
        <f aca="false">集計!H52</f>
        <v>17</v>
      </c>
      <c r="L4" s="27" t="n">
        <f aca="false">集計!I52</f>
        <v>18</v>
      </c>
      <c r="M4" s="27" t="n">
        <f aca="false">集計!J52</f>
        <v>19</v>
      </c>
      <c r="N4" s="27" t="n">
        <f aca="false">集計!K52</f>
        <v>20</v>
      </c>
      <c r="O4" s="27" t="n">
        <f aca="false">集計!L52</f>
        <v>21</v>
      </c>
      <c r="P4" s="27" t="n">
        <f aca="false">集計!M52</f>
        <v>22</v>
      </c>
      <c r="Q4" s="27" t="n">
        <f aca="false">集計!N52</f>
        <v>23</v>
      </c>
    </row>
    <row r="5" customFormat="false" ht="15" hidden="false" customHeight="false" outlineLevel="0" collapsed="false">
      <c r="A5" s="16" t="str">
        <f aca="false">予測!A9</f>
        <v/>
      </c>
      <c r="B5" s="13" t="str">
        <f aca="false">予測!C9</f>
        <v/>
      </c>
      <c r="C5" s="28" t="str">
        <f aca="false">予測!E9</f>
        <v/>
      </c>
      <c r="D5" s="21" t="str">
        <f aca="false">予測!O9</f>
        <v/>
      </c>
      <c r="E5" s="29" t="str">
        <f aca="false">IF($A5="","",IF(集計!B$52&lt;設定!$B$10,予測!$M9,予測!$N9)*INDEX(集計!B$64:B$71,MATCH($B5,集計!$A$64:$A$71,0)))</f>
        <v/>
      </c>
      <c r="F5" s="29" t="str">
        <f aca="false">IF($A5="","",IF(集計!C$52&lt;設定!$B$10,予測!$M9,予測!$N9)*INDEX(集計!C$64:C$71,MATCH($B5,集計!$A$64:$A$71,0)))</f>
        <v/>
      </c>
      <c r="G5" s="29" t="str">
        <f aca="false">IF($A5="","",IF(集計!D$52&lt;設定!$B$10,予測!$M9,予測!$N9)*INDEX(集計!D$64:D$71,MATCH($B5,集計!$A$64:$A$71,0)))</f>
        <v/>
      </c>
      <c r="H5" s="29" t="str">
        <f aca="false">IF($A5="","",IF(集計!E$52&lt;設定!$B$10,予測!$M9,予測!$N9)*INDEX(集計!E$64:E$71,MATCH($B5,集計!$A$64:$A$71,0)))</f>
        <v/>
      </c>
      <c r="I5" s="29" t="str">
        <f aca="false">IF($A5="","",IF(集計!F$52&lt;設定!$B$10,予測!$M9,予測!$N9)*INDEX(集計!F$64:F$71,MATCH($B5,集計!$A$64:$A$71,0)))</f>
        <v/>
      </c>
      <c r="J5" s="29" t="str">
        <f aca="false">IF($A5="","",IF(集計!G$52&lt;設定!$B$10,予測!$M9,予測!$N9)*INDEX(集計!G$64:G$71,MATCH($B5,集計!$A$64:$A$71,0)))</f>
        <v/>
      </c>
      <c r="K5" s="29" t="str">
        <f aca="false">IF($A5="","",IF(集計!H$52&lt;設定!$B$10,予測!$M9,予測!$N9)*INDEX(集計!H$64:H$71,MATCH($B5,集計!$A$64:$A$71,0)))</f>
        <v/>
      </c>
      <c r="L5" s="29" t="str">
        <f aca="false">IF($A5="","",IF(集計!I$52&lt;設定!$B$10,予測!$M9,予測!$N9)*INDEX(集計!I$64:I$71,MATCH($B5,集計!$A$64:$A$71,0)))</f>
        <v/>
      </c>
      <c r="M5" s="29" t="str">
        <f aca="false">IF($A5="","",IF(集計!J$52&lt;設定!$B$10,予測!$M9,予測!$N9)*INDEX(集計!J$64:J$71,MATCH($B5,集計!$A$64:$A$71,0)))</f>
        <v/>
      </c>
      <c r="N5" s="29" t="str">
        <f aca="false">IF($A5="","",IF(集計!K$52&lt;設定!$B$10,予測!$M9,予測!$N9)*INDEX(集計!K$64:K$71,MATCH($B5,集計!$A$64:$A$71,0)))</f>
        <v/>
      </c>
      <c r="O5" s="29" t="str">
        <f aca="false">IF($A5="","",IF(集計!L$52&lt;設定!$B$10,予測!$M9,予測!$N9)*INDEX(集計!L$64:L$71,MATCH($B5,集計!$A$64:$A$71,0)))</f>
        <v/>
      </c>
      <c r="P5" s="29" t="str">
        <f aca="false">IF($A5="","",IF(集計!M$52&lt;設定!$B$10,予測!$M9,予測!$N9)*INDEX(集計!M$64:M$71,MATCH($B5,集計!$A$64:$A$71,0)))</f>
        <v/>
      </c>
      <c r="Q5" s="29" t="str">
        <f aca="false">IF($A5="","",IF(集計!N$52&lt;設定!$B$10,予測!$M9,予測!$N9)*INDEX(集計!N$64:N$71,MATCH($B5,集計!$A$64:$A$71,0)))</f>
        <v/>
      </c>
    </row>
    <row r="6" customFormat="false" ht="15" hidden="false" customHeight="false" outlineLevel="0" collapsed="false">
      <c r="A6" s="16" t="str">
        <f aca="false">予測!A10</f>
        <v/>
      </c>
      <c r="B6" s="13" t="str">
        <f aca="false">予測!C10</f>
        <v/>
      </c>
      <c r="C6" s="28" t="str">
        <f aca="false">予測!E10</f>
        <v/>
      </c>
      <c r="D6" s="21" t="str">
        <f aca="false">予測!O10</f>
        <v/>
      </c>
      <c r="E6" s="29" t="str">
        <f aca="false">IF($A6="","",IF(集計!B$52&lt;設定!$B$10,予測!$M10,予測!$N10)*INDEX(集計!B$64:B$71,MATCH($B6,集計!$A$64:$A$71,0)))</f>
        <v/>
      </c>
      <c r="F6" s="29" t="str">
        <f aca="false">IF($A6="","",IF(集計!C$52&lt;設定!$B$10,予測!$M10,予測!$N10)*INDEX(集計!C$64:C$71,MATCH($B6,集計!$A$64:$A$71,0)))</f>
        <v/>
      </c>
      <c r="G6" s="29" t="str">
        <f aca="false">IF($A6="","",IF(集計!D$52&lt;設定!$B$10,予測!$M10,予測!$N10)*INDEX(集計!D$64:D$71,MATCH($B6,集計!$A$64:$A$71,0)))</f>
        <v/>
      </c>
      <c r="H6" s="29" t="str">
        <f aca="false">IF($A6="","",IF(集計!E$52&lt;設定!$B$10,予測!$M10,予測!$N10)*INDEX(集計!E$64:E$71,MATCH($B6,集計!$A$64:$A$71,0)))</f>
        <v/>
      </c>
      <c r="I6" s="29" t="str">
        <f aca="false">IF($A6="","",IF(集計!F$52&lt;設定!$B$10,予測!$M10,予測!$N10)*INDEX(集計!F$64:F$71,MATCH($B6,集計!$A$64:$A$71,0)))</f>
        <v/>
      </c>
      <c r="J6" s="29" t="str">
        <f aca="false">IF($A6="","",IF(集計!G$52&lt;設定!$B$10,予測!$M10,予測!$N10)*INDEX(集計!G$64:G$71,MATCH($B6,集計!$A$64:$A$71,0)))</f>
        <v/>
      </c>
      <c r="K6" s="29" t="str">
        <f aca="false">IF($A6="","",IF(集計!H$52&lt;設定!$B$10,予測!$M10,予測!$N10)*INDEX(集計!H$64:H$71,MATCH($B6,集計!$A$64:$A$71,0)))</f>
        <v/>
      </c>
      <c r="L6" s="29" t="str">
        <f aca="false">IF($A6="","",IF(集計!I$52&lt;設定!$B$10,予測!$M10,予測!$N10)*INDEX(集計!I$64:I$71,MATCH($B6,集計!$A$64:$A$71,0)))</f>
        <v/>
      </c>
      <c r="M6" s="29" t="str">
        <f aca="false">IF($A6="","",IF(集計!J$52&lt;設定!$B$10,予測!$M10,予測!$N10)*INDEX(集計!J$64:J$71,MATCH($B6,集計!$A$64:$A$71,0)))</f>
        <v/>
      </c>
      <c r="N6" s="29" t="str">
        <f aca="false">IF($A6="","",IF(集計!K$52&lt;設定!$B$10,予測!$M10,予測!$N10)*INDEX(集計!K$64:K$71,MATCH($B6,集計!$A$64:$A$71,0)))</f>
        <v/>
      </c>
      <c r="O6" s="29" t="str">
        <f aca="false">IF($A6="","",IF(集計!L$52&lt;設定!$B$10,予測!$M10,予測!$N10)*INDEX(集計!L$64:L$71,MATCH($B6,集計!$A$64:$A$71,0)))</f>
        <v/>
      </c>
      <c r="P6" s="29" t="str">
        <f aca="false">IF($A6="","",IF(集計!M$52&lt;設定!$B$10,予測!$M10,予測!$N10)*INDEX(集計!M$64:M$71,MATCH($B6,集計!$A$64:$A$71,0)))</f>
        <v/>
      </c>
      <c r="Q6" s="29" t="str">
        <f aca="false">IF($A6="","",IF(集計!N$52&lt;設定!$B$10,予測!$M10,予測!$N10)*INDEX(集計!N$64:N$71,MATCH($B6,集計!$A$64:$A$71,0)))</f>
        <v/>
      </c>
    </row>
    <row r="7" customFormat="false" ht="15" hidden="false" customHeight="false" outlineLevel="0" collapsed="false">
      <c r="A7" s="16" t="str">
        <f aca="false">予測!A11</f>
        <v/>
      </c>
      <c r="B7" s="13" t="str">
        <f aca="false">予測!C11</f>
        <v/>
      </c>
      <c r="C7" s="28" t="str">
        <f aca="false">予測!E11</f>
        <v/>
      </c>
      <c r="D7" s="21" t="str">
        <f aca="false">予測!O11</f>
        <v/>
      </c>
      <c r="E7" s="29" t="str">
        <f aca="false">IF($A7="","",IF(集計!B$52&lt;設定!$B$10,予測!$M11,予測!$N11)*INDEX(集計!B$64:B$71,MATCH($B7,集計!$A$64:$A$71,0)))</f>
        <v/>
      </c>
      <c r="F7" s="29" t="str">
        <f aca="false">IF($A7="","",IF(集計!C$52&lt;設定!$B$10,予測!$M11,予測!$N11)*INDEX(集計!C$64:C$71,MATCH($B7,集計!$A$64:$A$71,0)))</f>
        <v/>
      </c>
      <c r="G7" s="29" t="str">
        <f aca="false">IF($A7="","",IF(集計!D$52&lt;設定!$B$10,予測!$M11,予測!$N11)*INDEX(集計!D$64:D$71,MATCH($B7,集計!$A$64:$A$71,0)))</f>
        <v/>
      </c>
      <c r="H7" s="29" t="str">
        <f aca="false">IF($A7="","",IF(集計!E$52&lt;設定!$B$10,予測!$M11,予測!$N11)*INDEX(集計!E$64:E$71,MATCH($B7,集計!$A$64:$A$71,0)))</f>
        <v/>
      </c>
      <c r="I7" s="29" t="str">
        <f aca="false">IF($A7="","",IF(集計!F$52&lt;設定!$B$10,予測!$M11,予測!$N11)*INDEX(集計!F$64:F$71,MATCH($B7,集計!$A$64:$A$71,0)))</f>
        <v/>
      </c>
      <c r="J7" s="29" t="str">
        <f aca="false">IF($A7="","",IF(集計!G$52&lt;設定!$B$10,予測!$M11,予測!$N11)*INDEX(集計!G$64:G$71,MATCH($B7,集計!$A$64:$A$71,0)))</f>
        <v/>
      </c>
      <c r="K7" s="29" t="str">
        <f aca="false">IF($A7="","",IF(集計!H$52&lt;設定!$B$10,予測!$M11,予測!$N11)*INDEX(集計!H$64:H$71,MATCH($B7,集計!$A$64:$A$71,0)))</f>
        <v/>
      </c>
      <c r="L7" s="29" t="str">
        <f aca="false">IF($A7="","",IF(集計!I$52&lt;設定!$B$10,予測!$M11,予測!$N11)*INDEX(集計!I$64:I$71,MATCH($B7,集計!$A$64:$A$71,0)))</f>
        <v/>
      </c>
      <c r="M7" s="29" t="str">
        <f aca="false">IF($A7="","",IF(集計!J$52&lt;設定!$B$10,予測!$M11,予測!$N11)*INDEX(集計!J$64:J$71,MATCH($B7,集計!$A$64:$A$71,0)))</f>
        <v/>
      </c>
      <c r="N7" s="29" t="str">
        <f aca="false">IF($A7="","",IF(集計!K$52&lt;設定!$B$10,予測!$M11,予測!$N11)*INDEX(集計!K$64:K$71,MATCH($B7,集計!$A$64:$A$71,0)))</f>
        <v/>
      </c>
      <c r="O7" s="29" t="str">
        <f aca="false">IF($A7="","",IF(集計!L$52&lt;設定!$B$10,予測!$M11,予測!$N11)*INDEX(集計!L$64:L$71,MATCH($B7,集計!$A$64:$A$71,0)))</f>
        <v/>
      </c>
      <c r="P7" s="29" t="str">
        <f aca="false">IF($A7="","",IF(集計!M$52&lt;設定!$B$10,予測!$M11,予測!$N11)*INDEX(集計!M$64:M$71,MATCH($B7,集計!$A$64:$A$71,0)))</f>
        <v/>
      </c>
      <c r="Q7" s="29" t="str">
        <f aca="false">IF($A7="","",IF(集計!N$52&lt;設定!$B$10,予測!$M11,予測!$N11)*INDEX(集計!N$64:N$71,MATCH($B7,集計!$A$64:$A$71,0)))</f>
        <v/>
      </c>
    </row>
    <row r="8" customFormat="false" ht="15" hidden="false" customHeight="false" outlineLevel="0" collapsed="false">
      <c r="A8" s="16" t="str">
        <f aca="false">予測!A12</f>
        <v/>
      </c>
      <c r="B8" s="13" t="str">
        <f aca="false">予測!C12</f>
        <v/>
      </c>
      <c r="C8" s="28" t="str">
        <f aca="false">予測!E12</f>
        <v/>
      </c>
      <c r="D8" s="21" t="str">
        <f aca="false">予測!O12</f>
        <v/>
      </c>
      <c r="E8" s="29" t="str">
        <f aca="false">IF($A8="","",IF(集計!B$52&lt;設定!$B$10,予測!$M12,予測!$N12)*INDEX(集計!B$64:B$71,MATCH($B8,集計!$A$64:$A$71,0)))</f>
        <v/>
      </c>
      <c r="F8" s="29" t="str">
        <f aca="false">IF($A8="","",IF(集計!C$52&lt;設定!$B$10,予測!$M12,予測!$N12)*INDEX(集計!C$64:C$71,MATCH($B8,集計!$A$64:$A$71,0)))</f>
        <v/>
      </c>
      <c r="G8" s="29" t="str">
        <f aca="false">IF($A8="","",IF(集計!D$52&lt;設定!$B$10,予測!$M12,予測!$N12)*INDEX(集計!D$64:D$71,MATCH($B8,集計!$A$64:$A$71,0)))</f>
        <v/>
      </c>
      <c r="H8" s="29" t="str">
        <f aca="false">IF($A8="","",IF(集計!E$52&lt;設定!$B$10,予測!$M12,予測!$N12)*INDEX(集計!E$64:E$71,MATCH($B8,集計!$A$64:$A$71,0)))</f>
        <v/>
      </c>
      <c r="I8" s="29" t="str">
        <f aca="false">IF($A8="","",IF(集計!F$52&lt;設定!$B$10,予測!$M12,予測!$N12)*INDEX(集計!F$64:F$71,MATCH($B8,集計!$A$64:$A$71,0)))</f>
        <v/>
      </c>
      <c r="J8" s="29" t="str">
        <f aca="false">IF($A8="","",IF(集計!G$52&lt;設定!$B$10,予測!$M12,予測!$N12)*INDEX(集計!G$64:G$71,MATCH($B8,集計!$A$64:$A$71,0)))</f>
        <v/>
      </c>
      <c r="K8" s="29" t="str">
        <f aca="false">IF($A8="","",IF(集計!H$52&lt;設定!$B$10,予測!$M12,予測!$N12)*INDEX(集計!H$64:H$71,MATCH($B8,集計!$A$64:$A$71,0)))</f>
        <v/>
      </c>
      <c r="L8" s="29" t="str">
        <f aca="false">IF($A8="","",IF(集計!I$52&lt;設定!$B$10,予測!$M12,予測!$N12)*INDEX(集計!I$64:I$71,MATCH($B8,集計!$A$64:$A$71,0)))</f>
        <v/>
      </c>
      <c r="M8" s="29" t="str">
        <f aca="false">IF($A8="","",IF(集計!J$52&lt;設定!$B$10,予測!$M12,予測!$N12)*INDEX(集計!J$64:J$71,MATCH($B8,集計!$A$64:$A$71,0)))</f>
        <v/>
      </c>
      <c r="N8" s="29" t="str">
        <f aca="false">IF($A8="","",IF(集計!K$52&lt;設定!$B$10,予測!$M12,予測!$N12)*INDEX(集計!K$64:K$71,MATCH($B8,集計!$A$64:$A$71,0)))</f>
        <v/>
      </c>
      <c r="O8" s="29" t="str">
        <f aca="false">IF($A8="","",IF(集計!L$52&lt;設定!$B$10,予測!$M12,予測!$N12)*INDEX(集計!L$64:L$71,MATCH($B8,集計!$A$64:$A$71,0)))</f>
        <v/>
      </c>
      <c r="P8" s="29" t="str">
        <f aca="false">IF($A8="","",IF(集計!M$52&lt;設定!$B$10,予測!$M12,予測!$N12)*INDEX(集計!M$64:M$71,MATCH($B8,集計!$A$64:$A$71,0)))</f>
        <v/>
      </c>
      <c r="Q8" s="29" t="str">
        <f aca="false">IF($A8="","",IF(集計!N$52&lt;設定!$B$10,予測!$M12,予測!$N12)*INDEX(集計!N$64:N$71,MATCH($B8,集計!$A$64:$A$71,0)))</f>
        <v/>
      </c>
    </row>
    <row r="9" customFormat="false" ht="15" hidden="false" customHeight="false" outlineLevel="0" collapsed="false">
      <c r="A9" s="16" t="str">
        <f aca="false">予測!A13</f>
        <v/>
      </c>
      <c r="B9" s="13" t="str">
        <f aca="false">予測!C13</f>
        <v/>
      </c>
      <c r="C9" s="28" t="str">
        <f aca="false">予測!E13</f>
        <v/>
      </c>
      <c r="D9" s="21" t="str">
        <f aca="false">予測!O13</f>
        <v/>
      </c>
      <c r="E9" s="29" t="str">
        <f aca="false">IF($A9="","",IF(集計!B$52&lt;設定!$B$10,予測!$M13,予測!$N13)*INDEX(集計!B$64:B$71,MATCH($B9,集計!$A$64:$A$71,0)))</f>
        <v/>
      </c>
      <c r="F9" s="29" t="str">
        <f aca="false">IF($A9="","",IF(集計!C$52&lt;設定!$B$10,予測!$M13,予測!$N13)*INDEX(集計!C$64:C$71,MATCH($B9,集計!$A$64:$A$71,0)))</f>
        <v/>
      </c>
      <c r="G9" s="29" t="str">
        <f aca="false">IF($A9="","",IF(集計!D$52&lt;設定!$B$10,予測!$M13,予測!$N13)*INDEX(集計!D$64:D$71,MATCH($B9,集計!$A$64:$A$71,0)))</f>
        <v/>
      </c>
      <c r="H9" s="29" t="str">
        <f aca="false">IF($A9="","",IF(集計!E$52&lt;設定!$B$10,予測!$M13,予測!$N13)*INDEX(集計!E$64:E$71,MATCH($B9,集計!$A$64:$A$71,0)))</f>
        <v/>
      </c>
      <c r="I9" s="29" t="str">
        <f aca="false">IF($A9="","",IF(集計!F$52&lt;設定!$B$10,予測!$M13,予測!$N13)*INDEX(集計!F$64:F$71,MATCH($B9,集計!$A$64:$A$71,0)))</f>
        <v/>
      </c>
      <c r="J9" s="29" t="str">
        <f aca="false">IF($A9="","",IF(集計!G$52&lt;設定!$B$10,予測!$M13,予測!$N13)*INDEX(集計!G$64:G$71,MATCH($B9,集計!$A$64:$A$71,0)))</f>
        <v/>
      </c>
      <c r="K9" s="29" t="str">
        <f aca="false">IF($A9="","",IF(集計!H$52&lt;設定!$B$10,予測!$M13,予測!$N13)*INDEX(集計!H$64:H$71,MATCH($B9,集計!$A$64:$A$71,0)))</f>
        <v/>
      </c>
      <c r="L9" s="29" t="str">
        <f aca="false">IF($A9="","",IF(集計!I$52&lt;設定!$B$10,予測!$M13,予測!$N13)*INDEX(集計!I$64:I$71,MATCH($B9,集計!$A$64:$A$71,0)))</f>
        <v/>
      </c>
      <c r="M9" s="29" t="str">
        <f aca="false">IF($A9="","",IF(集計!J$52&lt;設定!$B$10,予測!$M13,予測!$N13)*INDEX(集計!J$64:J$71,MATCH($B9,集計!$A$64:$A$71,0)))</f>
        <v/>
      </c>
      <c r="N9" s="29" t="str">
        <f aca="false">IF($A9="","",IF(集計!K$52&lt;設定!$B$10,予測!$M13,予測!$N13)*INDEX(集計!K$64:K$71,MATCH($B9,集計!$A$64:$A$71,0)))</f>
        <v/>
      </c>
      <c r="O9" s="29" t="str">
        <f aca="false">IF($A9="","",IF(集計!L$52&lt;設定!$B$10,予測!$M13,予測!$N13)*INDEX(集計!L$64:L$71,MATCH($B9,集計!$A$64:$A$71,0)))</f>
        <v/>
      </c>
      <c r="P9" s="29" t="str">
        <f aca="false">IF($A9="","",IF(集計!M$52&lt;設定!$B$10,予測!$M13,予測!$N13)*INDEX(集計!M$64:M$71,MATCH($B9,集計!$A$64:$A$71,0)))</f>
        <v/>
      </c>
      <c r="Q9" s="29" t="str">
        <f aca="false">IF($A9="","",IF(集計!N$52&lt;設定!$B$10,予測!$M13,予測!$N13)*INDEX(集計!N$64:N$71,MATCH($B9,集計!$A$64:$A$71,0)))</f>
        <v/>
      </c>
    </row>
    <row r="10" customFormat="false" ht="15" hidden="false" customHeight="false" outlineLevel="0" collapsed="false">
      <c r="A10" s="16" t="str">
        <f aca="false">予測!A14</f>
        <v/>
      </c>
      <c r="B10" s="13" t="str">
        <f aca="false">予測!C14</f>
        <v/>
      </c>
      <c r="C10" s="28" t="str">
        <f aca="false">予測!E14</f>
        <v/>
      </c>
      <c r="D10" s="21" t="str">
        <f aca="false">予測!O14</f>
        <v/>
      </c>
      <c r="E10" s="29" t="str">
        <f aca="false">IF($A10="","",IF(集計!B$52&lt;設定!$B$10,予測!$M14,予測!$N14)*INDEX(集計!B$64:B$71,MATCH($B10,集計!$A$64:$A$71,0)))</f>
        <v/>
      </c>
      <c r="F10" s="29" t="str">
        <f aca="false">IF($A10="","",IF(集計!C$52&lt;設定!$B$10,予測!$M14,予測!$N14)*INDEX(集計!C$64:C$71,MATCH($B10,集計!$A$64:$A$71,0)))</f>
        <v/>
      </c>
      <c r="G10" s="29" t="str">
        <f aca="false">IF($A10="","",IF(集計!D$52&lt;設定!$B$10,予測!$M14,予測!$N14)*INDEX(集計!D$64:D$71,MATCH($B10,集計!$A$64:$A$71,0)))</f>
        <v/>
      </c>
      <c r="H10" s="29" t="str">
        <f aca="false">IF($A10="","",IF(集計!E$52&lt;設定!$B$10,予測!$M14,予測!$N14)*INDEX(集計!E$64:E$71,MATCH($B10,集計!$A$64:$A$71,0)))</f>
        <v/>
      </c>
      <c r="I10" s="29" t="str">
        <f aca="false">IF($A10="","",IF(集計!F$52&lt;設定!$B$10,予測!$M14,予測!$N14)*INDEX(集計!F$64:F$71,MATCH($B10,集計!$A$64:$A$71,0)))</f>
        <v/>
      </c>
      <c r="J10" s="29" t="str">
        <f aca="false">IF($A10="","",IF(集計!G$52&lt;設定!$B$10,予測!$M14,予測!$N14)*INDEX(集計!G$64:G$71,MATCH($B10,集計!$A$64:$A$71,0)))</f>
        <v/>
      </c>
      <c r="K10" s="29" t="str">
        <f aca="false">IF($A10="","",IF(集計!H$52&lt;設定!$B$10,予測!$M14,予測!$N14)*INDEX(集計!H$64:H$71,MATCH($B10,集計!$A$64:$A$71,0)))</f>
        <v/>
      </c>
      <c r="L10" s="29" t="str">
        <f aca="false">IF($A10="","",IF(集計!I$52&lt;設定!$B$10,予測!$M14,予測!$N14)*INDEX(集計!I$64:I$71,MATCH($B10,集計!$A$64:$A$71,0)))</f>
        <v/>
      </c>
      <c r="M10" s="29" t="str">
        <f aca="false">IF($A10="","",IF(集計!J$52&lt;設定!$B$10,予測!$M14,予測!$N14)*INDEX(集計!J$64:J$71,MATCH($B10,集計!$A$64:$A$71,0)))</f>
        <v/>
      </c>
      <c r="N10" s="29" t="str">
        <f aca="false">IF($A10="","",IF(集計!K$52&lt;設定!$B$10,予測!$M14,予測!$N14)*INDEX(集計!K$64:K$71,MATCH($B10,集計!$A$64:$A$71,0)))</f>
        <v/>
      </c>
      <c r="O10" s="29" t="str">
        <f aca="false">IF($A10="","",IF(集計!L$52&lt;設定!$B$10,予測!$M14,予測!$N14)*INDEX(集計!L$64:L$71,MATCH($B10,集計!$A$64:$A$71,0)))</f>
        <v/>
      </c>
      <c r="P10" s="29" t="str">
        <f aca="false">IF($A10="","",IF(集計!M$52&lt;設定!$B$10,予測!$M14,予測!$N14)*INDEX(集計!M$64:M$71,MATCH($B10,集計!$A$64:$A$71,0)))</f>
        <v/>
      </c>
      <c r="Q10" s="29" t="str">
        <f aca="false">IF($A10="","",IF(集計!N$52&lt;設定!$B$10,予測!$M14,予測!$N14)*INDEX(集計!N$64:N$71,MATCH($B10,集計!$A$64:$A$71,0)))</f>
        <v/>
      </c>
    </row>
    <row r="11" customFormat="false" ht="15" hidden="false" customHeight="false" outlineLevel="0" collapsed="false">
      <c r="A11" s="16" t="str">
        <f aca="false">予測!A15</f>
        <v/>
      </c>
      <c r="B11" s="13" t="str">
        <f aca="false">予測!C15</f>
        <v/>
      </c>
      <c r="C11" s="28" t="str">
        <f aca="false">予測!E15</f>
        <v/>
      </c>
      <c r="D11" s="21" t="str">
        <f aca="false">予測!O15</f>
        <v/>
      </c>
      <c r="E11" s="29" t="str">
        <f aca="false">IF($A11="","",IF(集計!B$52&lt;設定!$B$10,予測!$M15,予測!$N15)*INDEX(集計!B$64:B$71,MATCH($B11,集計!$A$64:$A$71,0)))</f>
        <v/>
      </c>
      <c r="F11" s="29" t="str">
        <f aca="false">IF($A11="","",IF(集計!C$52&lt;設定!$B$10,予測!$M15,予測!$N15)*INDEX(集計!C$64:C$71,MATCH($B11,集計!$A$64:$A$71,0)))</f>
        <v/>
      </c>
      <c r="G11" s="29" t="str">
        <f aca="false">IF($A11="","",IF(集計!D$52&lt;設定!$B$10,予測!$M15,予測!$N15)*INDEX(集計!D$64:D$71,MATCH($B11,集計!$A$64:$A$71,0)))</f>
        <v/>
      </c>
      <c r="H11" s="29" t="str">
        <f aca="false">IF($A11="","",IF(集計!E$52&lt;設定!$B$10,予測!$M15,予測!$N15)*INDEX(集計!E$64:E$71,MATCH($B11,集計!$A$64:$A$71,0)))</f>
        <v/>
      </c>
      <c r="I11" s="29" t="str">
        <f aca="false">IF($A11="","",IF(集計!F$52&lt;設定!$B$10,予測!$M15,予測!$N15)*INDEX(集計!F$64:F$71,MATCH($B11,集計!$A$64:$A$71,0)))</f>
        <v/>
      </c>
      <c r="J11" s="29" t="str">
        <f aca="false">IF($A11="","",IF(集計!G$52&lt;設定!$B$10,予測!$M15,予測!$N15)*INDEX(集計!G$64:G$71,MATCH($B11,集計!$A$64:$A$71,0)))</f>
        <v/>
      </c>
      <c r="K11" s="29" t="str">
        <f aca="false">IF($A11="","",IF(集計!H$52&lt;設定!$B$10,予測!$M15,予測!$N15)*INDEX(集計!H$64:H$71,MATCH($B11,集計!$A$64:$A$71,0)))</f>
        <v/>
      </c>
      <c r="L11" s="29" t="str">
        <f aca="false">IF($A11="","",IF(集計!I$52&lt;設定!$B$10,予測!$M15,予測!$N15)*INDEX(集計!I$64:I$71,MATCH($B11,集計!$A$64:$A$71,0)))</f>
        <v/>
      </c>
      <c r="M11" s="29" t="str">
        <f aca="false">IF($A11="","",IF(集計!J$52&lt;設定!$B$10,予測!$M15,予測!$N15)*INDEX(集計!J$64:J$71,MATCH($B11,集計!$A$64:$A$71,0)))</f>
        <v/>
      </c>
      <c r="N11" s="29" t="str">
        <f aca="false">IF($A11="","",IF(集計!K$52&lt;設定!$B$10,予測!$M15,予測!$N15)*INDEX(集計!K$64:K$71,MATCH($B11,集計!$A$64:$A$71,0)))</f>
        <v/>
      </c>
      <c r="O11" s="29" t="str">
        <f aca="false">IF($A11="","",IF(集計!L$52&lt;設定!$B$10,予測!$M15,予測!$N15)*INDEX(集計!L$64:L$71,MATCH($B11,集計!$A$64:$A$71,0)))</f>
        <v/>
      </c>
      <c r="P11" s="29" t="str">
        <f aca="false">IF($A11="","",IF(集計!M$52&lt;設定!$B$10,予測!$M15,予測!$N15)*INDEX(集計!M$64:M$71,MATCH($B11,集計!$A$64:$A$71,0)))</f>
        <v/>
      </c>
      <c r="Q11" s="29" t="str">
        <f aca="false">IF($A11="","",IF(集計!N$52&lt;設定!$B$10,予測!$M15,予測!$N15)*INDEX(集計!N$64:N$71,MATCH($B11,集計!$A$64:$A$71,0)))</f>
        <v/>
      </c>
    </row>
    <row r="12" customFormat="false" ht="15" hidden="false" customHeight="false" outlineLevel="0" collapsed="false">
      <c r="A12" s="16" t="str">
        <f aca="false">予測!A16</f>
        <v/>
      </c>
      <c r="B12" s="13" t="str">
        <f aca="false">予測!C16</f>
        <v/>
      </c>
      <c r="C12" s="28" t="str">
        <f aca="false">予測!E16</f>
        <v/>
      </c>
      <c r="D12" s="21" t="str">
        <f aca="false">予測!O16</f>
        <v/>
      </c>
      <c r="E12" s="29" t="str">
        <f aca="false">IF($A12="","",IF(集計!B$52&lt;設定!$B$10,予測!$M16,予測!$N16)*INDEX(集計!B$64:B$71,MATCH($B12,集計!$A$64:$A$71,0)))</f>
        <v/>
      </c>
      <c r="F12" s="29" t="str">
        <f aca="false">IF($A12="","",IF(集計!C$52&lt;設定!$B$10,予測!$M16,予測!$N16)*INDEX(集計!C$64:C$71,MATCH($B12,集計!$A$64:$A$71,0)))</f>
        <v/>
      </c>
      <c r="G12" s="29" t="str">
        <f aca="false">IF($A12="","",IF(集計!D$52&lt;設定!$B$10,予測!$M16,予測!$N16)*INDEX(集計!D$64:D$71,MATCH($B12,集計!$A$64:$A$71,0)))</f>
        <v/>
      </c>
      <c r="H12" s="29" t="str">
        <f aca="false">IF($A12="","",IF(集計!E$52&lt;設定!$B$10,予測!$M16,予測!$N16)*INDEX(集計!E$64:E$71,MATCH($B12,集計!$A$64:$A$71,0)))</f>
        <v/>
      </c>
      <c r="I12" s="29" t="str">
        <f aca="false">IF($A12="","",IF(集計!F$52&lt;設定!$B$10,予測!$M16,予測!$N16)*INDEX(集計!F$64:F$71,MATCH($B12,集計!$A$64:$A$71,0)))</f>
        <v/>
      </c>
      <c r="J12" s="29" t="str">
        <f aca="false">IF($A12="","",IF(集計!G$52&lt;設定!$B$10,予測!$M16,予測!$N16)*INDEX(集計!G$64:G$71,MATCH($B12,集計!$A$64:$A$71,0)))</f>
        <v/>
      </c>
      <c r="K12" s="29" t="str">
        <f aca="false">IF($A12="","",IF(集計!H$52&lt;設定!$B$10,予測!$M16,予測!$N16)*INDEX(集計!H$64:H$71,MATCH($B12,集計!$A$64:$A$71,0)))</f>
        <v/>
      </c>
      <c r="L12" s="29" t="str">
        <f aca="false">IF($A12="","",IF(集計!I$52&lt;設定!$B$10,予測!$M16,予測!$N16)*INDEX(集計!I$64:I$71,MATCH($B12,集計!$A$64:$A$71,0)))</f>
        <v/>
      </c>
      <c r="M12" s="29" t="str">
        <f aca="false">IF($A12="","",IF(集計!J$52&lt;設定!$B$10,予測!$M16,予測!$N16)*INDEX(集計!J$64:J$71,MATCH($B12,集計!$A$64:$A$71,0)))</f>
        <v/>
      </c>
      <c r="N12" s="29" t="str">
        <f aca="false">IF($A12="","",IF(集計!K$52&lt;設定!$B$10,予測!$M16,予測!$N16)*INDEX(集計!K$64:K$71,MATCH($B12,集計!$A$64:$A$71,0)))</f>
        <v/>
      </c>
      <c r="O12" s="29" t="str">
        <f aca="false">IF($A12="","",IF(集計!L$52&lt;設定!$B$10,予測!$M16,予測!$N16)*INDEX(集計!L$64:L$71,MATCH($B12,集計!$A$64:$A$71,0)))</f>
        <v/>
      </c>
      <c r="P12" s="29" t="str">
        <f aca="false">IF($A12="","",IF(集計!M$52&lt;設定!$B$10,予測!$M16,予測!$N16)*INDEX(集計!M$64:M$71,MATCH($B12,集計!$A$64:$A$71,0)))</f>
        <v/>
      </c>
      <c r="Q12" s="29" t="str">
        <f aca="false">IF($A12="","",IF(集計!N$52&lt;設定!$B$10,予測!$M16,予測!$N16)*INDEX(集計!N$64:N$71,MATCH($B12,集計!$A$64:$A$71,0)))</f>
        <v/>
      </c>
    </row>
    <row r="13" customFormat="false" ht="15" hidden="false" customHeight="false" outlineLevel="0" collapsed="false">
      <c r="A13" s="16" t="str">
        <f aca="false">予測!A17</f>
        <v/>
      </c>
      <c r="B13" s="13" t="str">
        <f aca="false">予測!C17</f>
        <v/>
      </c>
      <c r="C13" s="28" t="str">
        <f aca="false">予測!E17</f>
        <v/>
      </c>
      <c r="D13" s="21" t="str">
        <f aca="false">予測!O17</f>
        <v/>
      </c>
      <c r="E13" s="29" t="str">
        <f aca="false">IF($A13="","",IF(集計!B$52&lt;設定!$B$10,予測!$M17,予測!$N17)*INDEX(集計!B$64:B$71,MATCH($B13,集計!$A$64:$A$71,0)))</f>
        <v/>
      </c>
      <c r="F13" s="29" t="str">
        <f aca="false">IF($A13="","",IF(集計!C$52&lt;設定!$B$10,予測!$M17,予測!$N17)*INDEX(集計!C$64:C$71,MATCH($B13,集計!$A$64:$A$71,0)))</f>
        <v/>
      </c>
      <c r="G13" s="29" t="str">
        <f aca="false">IF($A13="","",IF(集計!D$52&lt;設定!$B$10,予測!$M17,予測!$N17)*INDEX(集計!D$64:D$71,MATCH($B13,集計!$A$64:$A$71,0)))</f>
        <v/>
      </c>
      <c r="H13" s="29" t="str">
        <f aca="false">IF($A13="","",IF(集計!E$52&lt;設定!$B$10,予測!$M17,予測!$N17)*INDEX(集計!E$64:E$71,MATCH($B13,集計!$A$64:$A$71,0)))</f>
        <v/>
      </c>
      <c r="I13" s="29" t="str">
        <f aca="false">IF($A13="","",IF(集計!F$52&lt;設定!$B$10,予測!$M17,予測!$N17)*INDEX(集計!F$64:F$71,MATCH($B13,集計!$A$64:$A$71,0)))</f>
        <v/>
      </c>
      <c r="J13" s="29" t="str">
        <f aca="false">IF($A13="","",IF(集計!G$52&lt;設定!$B$10,予測!$M17,予測!$N17)*INDEX(集計!G$64:G$71,MATCH($B13,集計!$A$64:$A$71,0)))</f>
        <v/>
      </c>
      <c r="K13" s="29" t="str">
        <f aca="false">IF($A13="","",IF(集計!H$52&lt;設定!$B$10,予測!$M17,予測!$N17)*INDEX(集計!H$64:H$71,MATCH($B13,集計!$A$64:$A$71,0)))</f>
        <v/>
      </c>
      <c r="L13" s="29" t="str">
        <f aca="false">IF($A13="","",IF(集計!I$52&lt;設定!$B$10,予測!$M17,予測!$N17)*INDEX(集計!I$64:I$71,MATCH($B13,集計!$A$64:$A$71,0)))</f>
        <v/>
      </c>
      <c r="M13" s="29" t="str">
        <f aca="false">IF($A13="","",IF(集計!J$52&lt;設定!$B$10,予測!$M17,予測!$N17)*INDEX(集計!J$64:J$71,MATCH($B13,集計!$A$64:$A$71,0)))</f>
        <v/>
      </c>
      <c r="N13" s="29" t="str">
        <f aca="false">IF($A13="","",IF(集計!K$52&lt;設定!$B$10,予測!$M17,予測!$N17)*INDEX(集計!K$64:K$71,MATCH($B13,集計!$A$64:$A$71,0)))</f>
        <v/>
      </c>
      <c r="O13" s="29" t="str">
        <f aca="false">IF($A13="","",IF(集計!L$52&lt;設定!$B$10,予測!$M17,予測!$N17)*INDEX(集計!L$64:L$71,MATCH($B13,集計!$A$64:$A$71,0)))</f>
        <v/>
      </c>
      <c r="P13" s="29" t="str">
        <f aca="false">IF($A13="","",IF(集計!M$52&lt;設定!$B$10,予測!$M17,予測!$N17)*INDEX(集計!M$64:M$71,MATCH($B13,集計!$A$64:$A$71,0)))</f>
        <v/>
      </c>
      <c r="Q13" s="29" t="str">
        <f aca="false">IF($A13="","",IF(集計!N$52&lt;設定!$B$10,予測!$M17,予測!$N17)*INDEX(集計!N$64:N$71,MATCH($B13,集計!$A$64:$A$71,0)))</f>
        <v/>
      </c>
    </row>
    <row r="14" customFormat="false" ht="15" hidden="false" customHeight="false" outlineLevel="0" collapsed="false">
      <c r="A14" s="16" t="str">
        <f aca="false">予測!A18</f>
        <v/>
      </c>
      <c r="B14" s="13" t="str">
        <f aca="false">予測!C18</f>
        <v/>
      </c>
      <c r="C14" s="28" t="str">
        <f aca="false">予測!E18</f>
        <v/>
      </c>
      <c r="D14" s="21" t="str">
        <f aca="false">予測!O18</f>
        <v/>
      </c>
      <c r="E14" s="29" t="str">
        <f aca="false">IF($A14="","",IF(集計!B$52&lt;設定!$B$10,予測!$M18,予測!$N18)*INDEX(集計!B$64:B$71,MATCH($B14,集計!$A$64:$A$71,0)))</f>
        <v/>
      </c>
      <c r="F14" s="29" t="str">
        <f aca="false">IF($A14="","",IF(集計!C$52&lt;設定!$B$10,予測!$M18,予測!$N18)*INDEX(集計!C$64:C$71,MATCH($B14,集計!$A$64:$A$71,0)))</f>
        <v/>
      </c>
      <c r="G14" s="29" t="str">
        <f aca="false">IF($A14="","",IF(集計!D$52&lt;設定!$B$10,予測!$M18,予測!$N18)*INDEX(集計!D$64:D$71,MATCH($B14,集計!$A$64:$A$71,0)))</f>
        <v/>
      </c>
      <c r="H14" s="29" t="str">
        <f aca="false">IF($A14="","",IF(集計!E$52&lt;設定!$B$10,予測!$M18,予測!$N18)*INDEX(集計!E$64:E$71,MATCH($B14,集計!$A$64:$A$71,0)))</f>
        <v/>
      </c>
      <c r="I14" s="29" t="str">
        <f aca="false">IF($A14="","",IF(集計!F$52&lt;設定!$B$10,予測!$M18,予測!$N18)*INDEX(集計!F$64:F$71,MATCH($B14,集計!$A$64:$A$71,0)))</f>
        <v/>
      </c>
      <c r="J14" s="29" t="str">
        <f aca="false">IF($A14="","",IF(集計!G$52&lt;設定!$B$10,予測!$M18,予測!$N18)*INDEX(集計!G$64:G$71,MATCH($B14,集計!$A$64:$A$71,0)))</f>
        <v/>
      </c>
      <c r="K14" s="29" t="str">
        <f aca="false">IF($A14="","",IF(集計!H$52&lt;設定!$B$10,予測!$M18,予測!$N18)*INDEX(集計!H$64:H$71,MATCH($B14,集計!$A$64:$A$71,0)))</f>
        <v/>
      </c>
      <c r="L14" s="29" t="str">
        <f aca="false">IF($A14="","",IF(集計!I$52&lt;設定!$B$10,予測!$M18,予測!$N18)*INDEX(集計!I$64:I$71,MATCH($B14,集計!$A$64:$A$71,0)))</f>
        <v/>
      </c>
      <c r="M14" s="29" t="str">
        <f aca="false">IF($A14="","",IF(集計!J$52&lt;設定!$B$10,予測!$M18,予測!$N18)*INDEX(集計!J$64:J$71,MATCH($B14,集計!$A$64:$A$71,0)))</f>
        <v/>
      </c>
      <c r="N14" s="29" t="str">
        <f aca="false">IF($A14="","",IF(集計!K$52&lt;設定!$B$10,予測!$M18,予測!$N18)*INDEX(集計!K$64:K$71,MATCH($B14,集計!$A$64:$A$71,0)))</f>
        <v/>
      </c>
      <c r="O14" s="29" t="str">
        <f aca="false">IF($A14="","",IF(集計!L$52&lt;設定!$B$10,予測!$M18,予測!$N18)*INDEX(集計!L$64:L$71,MATCH($B14,集計!$A$64:$A$71,0)))</f>
        <v/>
      </c>
      <c r="P14" s="29" t="str">
        <f aca="false">IF($A14="","",IF(集計!M$52&lt;設定!$B$10,予測!$M18,予測!$N18)*INDEX(集計!M$64:M$71,MATCH($B14,集計!$A$64:$A$71,0)))</f>
        <v/>
      </c>
      <c r="Q14" s="29" t="str">
        <f aca="false">IF($A14="","",IF(集計!N$52&lt;設定!$B$10,予測!$M18,予測!$N18)*INDEX(集計!N$64:N$71,MATCH($B14,集計!$A$64:$A$71,0)))</f>
        <v/>
      </c>
    </row>
    <row r="15" customFormat="false" ht="15" hidden="false" customHeight="false" outlineLevel="0" collapsed="false">
      <c r="A15" s="16" t="str">
        <f aca="false">予測!A19</f>
        <v/>
      </c>
      <c r="B15" s="13" t="str">
        <f aca="false">予測!C19</f>
        <v/>
      </c>
      <c r="C15" s="28" t="str">
        <f aca="false">予測!E19</f>
        <v/>
      </c>
      <c r="D15" s="21" t="str">
        <f aca="false">予測!O19</f>
        <v/>
      </c>
      <c r="E15" s="29" t="str">
        <f aca="false">IF($A15="","",IF(集計!B$52&lt;設定!$B$10,予測!$M19,予測!$N19)*INDEX(集計!B$64:B$71,MATCH($B15,集計!$A$64:$A$71,0)))</f>
        <v/>
      </c>
      <c r="F15" s="29" t="str">
        <f aca="false">IF($A15="","",IF(集計!C$52&lt;設定!$B$10,予測!$M19,予測!$N19)*INDEX(集計!C$64:C$71,MATCH($B15,集計!$A$64:$A$71,0)))</f>
        <v/>
      </c>
      <c r="G15" s="29" t="str">
        <f aca="false">IF($A15="","",IF(集計!D$52&lt;設定!$B$10,予測!$M19,予測!$N19)*INDEX(集計!D$64:D$71,MATCH($B15,集計!$A$64:$A$71,0)))</f>
        <v/>
      </c>
      <c r="H15" s="29" t="str">
        <f aca="false">IF($A15="","",IF(集計!E$52&lt;設定!$B$10,予測!$M19,予測!$N19)*INDEX(集計!E$64:E$71,MATCH($B15,集計!$A$64:$A$71,0)))</f>
        <v/>
      </c>
      <c r="I15" s="29" t="str">
        <f aca="false">IF($A15="","",IF(集計!F$52&lt;設定!$B$10,予測!$M19,予測!$N19)*INDEX(集計!F$64:F$71,MATCH($B15,集計!$A$64:$A$71,0)))</f>
        <v/>
      </c>
      <c r="J15" s="29" t="str">
        <f aca="false">IF($A15="","",IF(集計!G$52&lt;設定!$B$10,予測!$M19,予測!$N19)*INDEX(集計!G$64:G$71,MATCH($B15,集計!$A$64:$A$71,0)))</f>
        <v/>
      </c>
      <c r="K15" s="29" t="str">
        <f aca="false">IF($A15="","",IF(集計!H$52&lt;設定!$B$10,予測!$M19,予測!$N19)*INDEX(集計!H$64:H$71,MATCH($B15,集計!$A$64:$A$71,0)))</f>
        <v/>
      </c>
      <c r="L15" s="29" t="str">
        <f aca="false">IF($A15="","",IF(集計!I$52&lt;設定!$B$10,予測!$M19,予測!$N19)*INDEX(集計!I$64:I$71,MATCH($B15,集計!$A$64:$A$71,0)))</f>
        <v/>
      </c>
      <c r="M15" s="29" t="str">
        <f aca="false">IF($A15="","",IF(集計!J$52&lt;設定!$B$10,予測!$M19,予測!$N19)*INDEX(集計!J$64:J$71,MATCH($B15,集計!$A$64:$A$71,0)))</f>
        <v/>
      </c>
      <c r="N15" s="29" t="str">
        <f aca="false">IF($A15="","",IF(集計!K$52&lt;設定!$B$10,予測!$M19,予測!$N19)*INDEX(集計!K$64:K$71,MATCH($B15,集計!$A$64:$A$71,0)))</f>
        <v/>
      </c>
      <c r="O15" s="29" t="str">
        <f aca="false">IF($A15="","",IF(集計!L$52&lt;設定!$B$10,予測!$M19,予測!$N19)*INDEX(集計!L$64:L$71,MATCH($B15,集計!$A$64:$A$71,0)))</f>
        <v/>
      </c>
      <c r="P15" s="29" t="str">
        <f aca="false">IF($A15="","",IF(集計!M$52&lt;設定!$B$10,予測!$M19,予測!$N19)*INDEX(集計!M$64:M$71,MATCH($B15,集計!$A$64:$A$71,0)))</f>
        <v/>
      </c>
      <c r="Q15" s="29" t="str">
        <f aca="false">IF($A15="","",IF(集計!N$52&lt;設定!$B$10,予測!$M19,予測!$N19)*INDEX(集計!N$64:N$71,MATCH($B15,集計!$A$64:$A$71,0)))</f>
        <v/>
      </c>
    </row>
    <row r="16" customFormat="false" ht="15" hidden="false" customHeight="false" outlineLevel="0" collapsed="false">
      <c r="A16" s="16" t="str">
        <f aca="false">予測!A20</f>
        <v/>
      </c>
      <c r="B16" s="13" t="str">
        <f aca="false">予測!C20</f>
        <v/>
      </c>
      <c r="C16" s="28" t="str">
        <f aca="false">予測!E20</f>
        <v/>
      </c>
      <c r="D16" s="21" t="str">
        <f aca="false">予測!O20</f>
        <v/>
      </c>
      <c r="E16" s="29" t="str">
        <f aca="false">IF($A16="","",IF(集計!B$52&lt;設定!$B$10,予測!$M20,予測!$N20)*INDEX(集計!B$64:B$71,MATCH($B16,集計!$A$64:$A$71,0)))</f>
        <v/>
      </c>
      <c r="F16" s="29" t="str">
        <f aca="false">IF($A16="","",IF(集計!C$52&lt;設定!$B$10,予測!$M20,予測!$N20)*INDEX(集計!C$64:C$71,MATCH($B16,集計!$A$64:$A$71,0)))</f>
        <v/>
      </c>
      <c r="G16" s="29" t="str">
        <f aca="false">IF($A16="","",IF(集計!D$52&lt;設定!$B$10,予測!$M20,予測!$N20)*INDEX(集計!D$64:D$71,MATCH($B16,集計!$A$64:$A$71,0)))</f>
        <v/>
      </c>
      <c r="H16" s="29" t="str">
        <f aca="false">IF($A16="","",IF(集計!E$52&lt;設定!$B$10,予測!$M20,予測!$N20)*INDEX(集計!E$64:E$71,MATCH($B16,集計!$A$64:$A$71,0)))</f>
        <v/>
      </c>
      <c r="I16" s="29" t="str">
        <f aca="false">IF($A16="","",IF(集計!F$52&lt;設定!$B$10,予測!$M20,予測!$N20)*INDEX(集計!F$64:F$71,MATCH($B16,集計!$A$64:$A$71,0)))</f>
        <v/>
      </c>
      <c r="J16" s="29" t="str">
        <f aca="false">IF($A16="","",IF(集計!G$52&lt;設定!$B$10,予測!$M20,予測!$N20)*INDEX(集計!G$64:G$71,MATCH($B16,集計!$A$64:$A$71,0)))</f>
        <v/>
      </c>
      <c r="K16" s="29" t="str">
        <f aca="false">IF($A16="","",IF(集計!H$52&lt;設定!$B$10,予測!$M20,予測!$N20)*INDEX(集計!H$64:H$71,MATCH($B16,集計!$A$64:$A$71,0)))</f>
        <v/>
      </c>
      <c r="L16" s="29" t="str">
        <f aca="false">IF($A16="","",IF(集計!I$52&lt;設定!$B$10,予測!$M20,予測!$N20)*INDEX(集計!I$64:I$71,MATCH($B16,集計!$A$64:$A$71,0)))</f>
        <v/>
      </c>
      <c r="M16" s="29" t="str">
        <f aca="false">IF($A16="","",IF(集計!J$52&lt;設定!$B$10,予測!$M20,予測!$N20)*INDEX(集計!J$64:J$71,MATCH($B16,集計!$A$64:$A$71,0)))</f>
        <v/>
      </c>
      <c r="N16" s="29" t="str">
        <f aca="false">IF($A16="","",IF(集計!K$52&lt;設定!$B$10,予測!$M20,予測!$N20)*INDEX(集計!K$64:K$71,MATCH($B16,集計!$A$64:$A$71,0)))</f>
        <v/>
      </c>
      <c r="O16" s="29" t="str">
        <f aca="false">IF($A16="","",IF(集計!L$52&lt;設定!$B$10,予測!$M20,予測!$N20)*INDEX(集計!L$64:L$71,MATCH($B16,集計!$A$64:$A$71,0)))</f>
        <v/>
      </c>
      <c r="P16" s="29" t="str">
        <f aca="false">IF($A16="","",IF(集計!M$52&lt;設定!$B$10,予測!$M20,予測!$N20)*INDEX(集計!M$64:M$71,MATCH($B16,集計!$A$64:$A$71,0)))</f>
        <v/>
      </c>
      <c r="Q16" s="29" t="str">
        <f aca="false">IF($A16="","",IF(集計!N$52&lt;設定!$B$10,予測!$M20,予測!$N20)*INDEX(集計!N$64:N$71,MATCH($B16,集計!$A$64:$A$71,0)))</f>
        <v/>
      </c>
    </row>
    <row r="17" customFormat="false" ht="15" hidden="false" customHeight="false" outlineLevel="0" collapsed="false">
      <c r="A17" s="16" t="str">
        <f aca="false">予測!A21</f>
        <v/>
      </c>
      <c r="B17" s="13" t="str">
        <f aca="false">予測!C21</f>
        <v/>
      </c>
      <c r="C17" s="28" t="str">
        <f aca="false">予測!E21</f>
        <v/>
      </c>
      <c r="D17" s="21" t="str">
        <f aca="false">予測!O21</f>
        <v/>
      </c>
      <c r="E17" s="29" t="str">
        <f aca="false">IF($A17="","",IF(集計!B$52&lt;設定!$B$10,予測!$M21,予測!$N21)*INDEX(集計!B$64:B$71,MATCH($B17,集計!$A$64:$A$71,0)))</f>
        <v/>
      </c>
      <c r="F17" s="29" t="str">
        <f aca="false">IF($A17="","",IF(集計!C$52&lt;設定!$B$10,予測!$M21,予測!$N21)*INDEX(集計!C$64:C$71,MATCH($B17,集計!$A$64:$A$71,0)))</f>
        <v/>
      </c>
      <c r="G17" s="29" t="str">
        <f aca="false">IF($A17="","",IF(集計!D$52&lt;設定!$B$10,予測!$M21,予測!$N21)*INDEX(集計!D$64:D$71,MATCH($B17,集計!$A$64:$A$71,0)))</f>
        <v/>
      </c>
      <c r="H17" s="29" t="str">
        <f aca="false">IF($A17="","",IF(集計!E$52&lt;設定!$B$10,予測!$M21,予測!$N21)*INDEX(集計!E$64:E$71,MATCH($B17,集計!$A$64:$A$71,0)))</f>
        <v/>
      </c>
      <c r="I17" s="29" t="str">
        <f aca="false">IF($A17="","",IF(集計!F$52&lt;設定!$B$10,予測!$M21,予測!$N21)*INDEX(集計!F$64:F$71,MATCH($B17,集計!$A$64:$A$71,0)))</f>
        <v/>
      </c>
      <c r="J17" s="29" t="str">
        <f aca="false">IF($A17="","",IF(集計!G$52&lt;設定!$B$10,予測!$M21,予測!$N21)*INDEX(集計!G$64:G$71,MATCH($B17,集計!$A$64:$A$71,0)))</f>
        <v/>
      </c>
      <c r="K17" s="29" t="str">
        <f aca="false">IF($A17="","",IF(集計!H$52&lt;設定!$B$10,予測!$M21,予測!$N21)*INDEX(集計!H$64:H$71,MATCH($B17,集計!$A$64:$A$71,0)))</f>
        <v/>
      </c>
      <c r="L17" s="29" t="str">
        <f aca="false">IF($A17="","",IF(集計!I$52&lt;設定!$B$10,予測!$M21,予測!$N21)*INDEX(集計!I$64:I$71,MATCH($B17,集計!$A$64:$A$71,0)))</f>
        <v/>
      </c>
      <c r="M17" s="29" t="str">
        <f aca="false">IF($A17="","",IF(集計!J$52&lt;設定!$B$10,予測!$M21,予測!$N21)*INDEX(集計!J$64:J$71,MATCH($B17,集計!$A$64:$A$71,0)))</f>
        <v/>
      </c>
      <c r="N17" s="29" t="str">
        <f aca="false">IF($A17="","",IF(集計!K$52&lt;設定!$B$10,予測!$M21,予測!$N21)*INDEX(集計!K$64:K$71,MATCH($B17,集計!$A$64:$A$71,0)))</f>
        <v/>
      </c>
      <c r="O17" s="29" t="str">
        <f aca="false">IF($A17="","",IF(集計!L$52&lt;設定!$B$10,予測!$M21,予測!$N21)*INDEX(集計!L$64:L$71,MATCH($B17,集計!$A$64:$A$71,0)))</f>
        <v/>
      </c>
      <c r="P17" s="29" t="str">
        <f aca="false">IF($A17="","",IF(集計!M$52&lt;設定!$B$10,予測!$M21,予測!$N21)*INDEX(集計!M$64:M$71,MATCH($B17,集計!$A$64:$A$71,0)))</f>
        <v/>
      </c>
      <c r="Q17" s="29" t="str">
        <f aca="false">IF($A17="","",IF(集計!N$52&lt;設定!$B$10,予測!$M21,予測!$N21)*INDEX(集計!N$64:N$71,MATCH($B17,集計!$A$64:$A$71,0)))</f>
        <v/>
      </c>
    </row>
    <row r="18" customFormat="false" ht="15" hidden="false" customHeight="false" outlineLevel="0" collapsed="false">
      <c r="A18" s="16" t="str">
        <f aca="false">予測!A22</f>
        <v/>
      </c>
      <c r="B18" s="13" t="str">
        <f aca="false">予測!C22</f>
        <v/>
      </c>
      <c r="C18" s="28" t="str">
        <f aca="false">予測!E22</f>
        <v/>
      </c>
      <c r="D18" s="21" t="str">
        <f aca="false">予測!O22</f>
        <v/>
      </c>
      <c r="E18" s="29" t="str">
        <f aca="false">IF($A18="","",IF(集計!B$52&lt;設定!$B$10,予測!$M22,予測!$N22)*INDEX(集計!B$64:B$71,MATCH($B18,集計!$A$64:$A$71,0)))</f>
        <v/>
      </c>
      <c r="F18" s="29" t="str">
        <f aca="false">IF($A18="","",IF(集計!C$52&lt;設定!$B$10,予測!$M22,予測!$N22)*INDEX(集計!C$64:C$71,MATCH($B18,集計!$A$64:$A$71,0)))</f>
        <v/>
      </c>
      <c r="G18" s="29" t="str">
        <f aca="false">IF($A18="","",IF(集計!D$52&lt;設定!$B$10,予測!$M22,予測!$N22)*INDEX(集計!D$64:D$71,MATCH($B18,集計!$A$64:$A$71,0)))</f>
        <v/>
      </c>
      <c r="H18" s="29" t="str">
        <f aca="false">IF($A18="","",IF(集計!E$52&lt;設定!$B$10,予測!$M22,予測!$N22)*INDEX(集計!E$64:E$71,MATCH($B18,集計!$A$64:$A$71,0)))</f>
        <v/>
      </c>
      <c r="I18" s="29" t="str">
        <f aca="false">IF($A18="","",IF(集計!F$52&lt;設定!$B$10,予測!$M22,予測!$N22)*INDEX(集計!F$64:F$71,MATCH($B18,集計!$A$64:$A$71,0)))</f>
        <v/>
      </c>
      <c r="J18" s="29" t="str">
        <f aca="false">IF($A18="","",IF(集計!G$52&lt;設定!$B$10,予測!$M22,予測!$N22)*INDEX(集計!G$64:G$71,MATCH($B18,集計!$A$64:$A$71,0)))</f>
        <v/>
      </c>
      <c r="K18" s="29" t="str">
        <f aca="false">IF($A18="","",IF(集計!H$52&lt;設定!$B$10,予測!$M22,予測!$N22)*INDEX(集計!H$64:H$71,MATCH($B18,集計!$A$64:$A$71,0)))</f>
        <v/>
      </c>
      <c r="L18" s="29" t="str">
        <f aca="false">IF($A18="","",IF(集計!I$52&lt;設定!$B$10,予測!$M22,予測!$N22)*INDEX(集計!I$64:I$71,MATCH($B18,集計!$A$64:$A$71,0)))</f>
        <v/>
      </c>
      <c r="M18" s="29" t="str">
        <f aca="false">IF($A18="","",IF(集計!J$52&lt;設定!$B$10,予測!$M22,予測!$N22)*INDEX(集計!J$64:J$71,MATCH($B18,集計!$A$64:$A$71,0)))</f>
        <v/>
      </c>
      <c r="N18" s="29" t="str">
        <f aca="false">IF($A18="","",IF(集計!K$52&lt;設定!$B$10,予測!$M22,予測!$N22)*INDEX(集計!K$64:K$71,MATCH($B18,集計!$A$64:$A$71,0)))</f>
        <v/>
      </c>
      <c r="O18" s="29" t="str">
        <f aca="false">IF($A18="","",IF(集計!L$52&lt;設定!$B$10,予測!$M22,予測!$N22)*INDEX(集計!L$64:L$71,MATCH($B18,集計!$A$64:$A$71,0)))</f>
        <v/>
      </c>
      <c r="P18" s="29" t="str">
        <f aca="false">IF($A18="","",IF(集計!M$52&lt;設定!$B$10,予測!$M22,予測!$N22)*INDEX(集計!M$64:M$71,MATCH($B18,集計!$A$64:$A$71,0)))</f>
        <v/>
      </c>
      <c r="Q18" s="29" t="str">
        <f aca="false">IF($A18="","",IF(集計!N$52&lt;設定!$B$10,予測!$M22,予測!$N22)*INDEX(集計!N$64:N$71,MATCH($B18,集計!$A$64:$A$71,0)))</f>
        <v/>
      </c>
    </row>
    <row r="19" customFormat="false" ht="15" hidden="false" customHeight="false" outlineLevel="0" collapsed="false">
      <c r="A19" s="16" t="str">
        <f aca="false">予測!A23</f>
        <v/>
      </c>
      <c r="B19" s="13" t="str">
        <f aca="false">予測!C23</f>
        <v/>
      </c>
      <c r="C19" s="28" t="str">
        <f aca="false">予測!E23</f>
        <v/>
      </c>
      <c r="D19" s="21" t="str">
        <f aca="false">予測!O23</f>
        <v/>
      </c>
      <c r="E19" s="29" t="str">
        <f aca="false">IF($A19="","",IF(集計!B$52&lt;設定!$B$10,予測!$M23,予測!$N23)*INDEX(集計!B$64:B$71,MATCH($B19,集計!$A$64:$A$71,0)))</f>
        <v/>
      </c>
      <c r="F19" s="29" t="str">
        <f aca="false">IF($A19="","",IF(集計!C$52&lt;設定!$B$10,予測!$M23,予測!$N23)*INDEX(集計!C$64:C$71,MATCH($B19,集計!$A$64:$A$71,0)))</f>
        <v/>
      </c>
      <c r="G19" s="29" t="str">
        <f aca="false">IF($A19="","",IF(集計!D$52&lt;設定!$B$10,予測!$M23,予測!$N23)*INDEX(集計!D$64:D$71,MATCH($B19,集計!$A$64:$A$71,0)))</f>
        <v/>
      </c>
      <c r="H19" s="29" t="str">
        <f aca="false">IF($A19="","",IF(集計!E$52&lt;設定!$B$10,予測!$M23,予測!$N23)*INDEX(集計!E$64:E$71,MATCH($B19,集計!$A$64:$A$71,0)))</f>
        <v/>
      </c>
      <c r="I19" s="29" t="str">
        <f aca="false">IF($A19="","",IF(集計!F$52&lt;設定!$B$10,予測!$M23,予測!$N23)*INDEX(集計!F$64:F$71,MATCH($B19,集計!$A$64:$A$71,0)))</f>
        <v/>
      </c>
      <c r="J19" s="29" t="str">
        <f aca="false">IF($A19="","",IF(集計!G$52&lt;設定!$B$10,予測!$M23,予測!$N23)*INDEX(集計!G$64:G$71,MATCH($B19,集計!$A$64:$A$71,0)))</f>
        <v/>
      </c>
      <c r="K19" s="29" t="str">
        <f aca="false">IF($A19="","",IF(集計!H$52&lt;設定!$B$10,予測!$M23,予測!$N23)*INDEX(集計!H$64:H$71,MATCH($B19,集計!$A$64:$A$71,0)))</f>
        <v/>
      </c>
      <c r="L19" s="29" t="str">
        <f aca="false">IF($A19="","",IF(集計!I$52&lt;設定!$B$10,予測!$M23,予測!$N23)*INDEX(集計!I$64:I$71,MATCH($B19,集計!$A$64:$A$71,0)))</f>
        <v/>
      </c>
      <c r="M19" s="29" t="str">
        <f aca="false">IF($A19="","",IF(集計!J$52&lt;設定!$B$10,予測!$M23,予測!$N23)*INDEX(集計!J$64:J$71,MATCH($B19,集計!$A$64:$A$71,0)))</f>
        <v/>
      </c>
      <c r="N19" s="29" t="str">
        <f aca="false">IF($A19="","",IF(集計!K$52&lt;設定!$B$10,予測!$M23,予測!$N23)*INDEX(集計!K$64:K$71,MATCH($B19,集計!$A$64:$A$71,0)))</f>
        <v/>
      </c>
      <c r="O19" s="29" t="str">
        <f aca="false">IF($A19="","",IF(集計!L$52&lt;設定!$B$10,予測!$M23,予測!$N23)*INDEX(集計!L$64:L$71,MATCH($B19,集計!$A$64:$A$71,0)))</f>
        <v/>
      </c>
      <c r="P19" s="29" t="str">
        <f aca="false">IF($A19="","",IF(集計!M$52&lt;設定!$B$10,予測!$M23,予測!$N23)*INDEX(集計!M$64:M$71,MATCH($B19,集計!$A$64:$A$71,0)))</f>
        <v/>
      </c>
      <c r="Q19" s="29" t="str">
        <f aca="false">IF($A19="","",IF(集計!N$52&lt;設定!$B$10,予測!$M23,予測!$N23)*INDEX(集計!N$64:N$71,MATCH($B19,集計!$A$64:$A$71,0)))</f>
        <v/>
      </c>
    </row>
    <row r="20" customFormat="false" ht="15" hidden="false" customHeight="false" outlineLevel="0" collapsed="false">
      <c r="A20" s="16" t="str">
        <f aca="false">予測!A24</f>
        <v/>
      </c>
      <c r="B20" s="13" t="str">
        <f aca="false">予測!C24</f>
        <v/>
      </c>
      <c r="C20" s="28" t="str">
        <f aca="false">予測!E24</f>
        <v/>
      </c>
      <c r="D20" s="21" t="str">
        <f aca="false">予測!O24</f>
        <v/>
      </c>
      <c r="E20" s="29" t="str">
        <f aca="false">IF($A20="","",IF(集計!B$52&lt;設定!$B$10,予測!$M24,予測!$N24)*INDEX(集計!B$64:B$71,MATCH($B20,集計!$A$64:$A$71,0)))</f>
        <v/>
      </c>
      <c r="F20" s="29" t="str">
        <f aca="false">IF($A20="","",IF(集計!C$52&lt;設定!$B$10,予測!$M24,予測!$N24)*INDEX(集計!C$64:C$71,MATCH($B20,集計!$A$64:$A$71,0)))</f>
        <v/>
      </c>
      <c r="G20" s="29" t="str">
        <f aca="false">IF($A20="","",IF(集計!D$52&lt;設定!$B$10,予測!$M24,予測!$N24)*INDEX(集計!D$64:D$71,MATCH($B20,集計!$A$64:$A$71,0)))</f>
        <v/>
      </c>
      <c r="H20" s="29" t="str">
        <f aca="false">IF($A20="","",IF(集計!E$52&lt;設定!$B$10,予測!$M24,予測!$N24)*INDEX(集計!E$64:E$71,MATCH($B20,集計!$A$64:$A$71,0)))</f>
        <v/>
      </c>
      <c r="I20" s="29" t="str">
        <f aca="false">IF($A20="","",IF(集計!F$52&lt;設定!$B$10,予測!$M24,予測!$N24)*INDEX(集計!F$64:F$71,MATCH($B20,集計!$A$64:$A$71,0)))</f>
        <v/>
      </c>
      <c r="J20" s="29" t="str">
        <f aca="false">IF($A20="","",IF(集計!G$52&lt;設定!$B$10,予測!$M24,予測!$N24)*INDEX(集計!G$64:G$71,MATCH($B20,集計!$A$64:$A$71,0)))</f>
        <v/>
      </c>
      <c r="K20" s="29" t="str">
        <f aca="false">IF($A20="","",IF(集計!H$52&lt;設定!$B$10,予測!$M24,予測!$N24)*INDEX(集計!H$64:H$71,MATCH($B20,集計!$A$64:$A$71,0)))</f>
        <v/>
      </c>
      <c r="L20" s="29" t="str">
        <f aca="false">IF($A20="","",IF(集計!I$52&lt;設定!$B$10,予測!$M24,予測!$N24)*INDEX(集計!I$64:I$71,MATCH($B20,集計!$A$64:$A$71,0)))</f>
        <v/>
      </c>
      <c r="M20" s="29" t="str">
        <f aca="false">IF($A20="","",IF(集計!J$52&lt;設定!$B$10,予測!$M24,予測!$N24)*INDEX(集計!J$64:J$71,MATCH($B20,集計!$A$64:$A$71,0)))</f>
        <v/>
      </c>
      <c r="N20" s="29" t="str">
        <f aca="false">IF($A20="","",IF(集計!K$52&lt;設定!$B$10,予測!$M24,予測!$N24)*INDEX(集計!K$64:K$71,MATCH($B20,集計!$A$64:$A$71,0)))</f>
        <v/>
      </c>
      <c r="O20" s="29" t="str">
        <f aca="false">IF($A20="","",IF(集計!L$52&lt;設定!$B$10,予測!$M24,予測!$N24)*INDEX(集計!L$64:L$71,MATCH($B20,集計!$A$64:$A$71,0)))</f>
        <v/>
      </c>
      <c r="P20" s="29" t="str">
        <f aca="false">IF($A20="","",IF(集計!M$52&lt;設定!$B$10,予測!$M24,予測!$N24)*INDEX(集計!M$64:M$71,MATCH($B20,集計!$A$64:$A$71,0)))</f>
        <v/>
      </c>
      <c r="Q20" s="29" t="str">
        <f aca="false">IF($A20="","",IF(集計!N$52&lt;設定!$B$10,予測!$M24,予測!$N24)*INDEX(集計!N$64:N$71,MATCH($B20,集計!$A$64:$A$71,0)))</f>
        <v/>
      </c>
    </row>
    <row r="21" customFormat="false" ht="15" hidden="false" customHeight="false" outlineLevel="0" collapsed="false">
      <c r="A21" s="16" t="str">
        <f aca="false">予測!A25</f>
        <v/>
      </c>
      <c r="B21" s="13" t="str">
        <f aca="false">予測!C25</f>
        <v/>
      </c>
      <c r="C21" s="28" t="str">
        <f aca="false">予測!E25</f>
        <v/>
      </c>
      <c r="D21" s="21" t="str">
        <f aca="false">予測!O25</f>
        <v/>
      </c>
      <c r="E21" s="29" t="str">
        <f aca="false">IF($A21="","",IF(集計!B$52&lt;設定!$B$10,予測!$M25,予測!$N25)*INDEX(集計!B$64:B$71,MATCH($B21,集計!$A$64:$A$71,0)))</f>
        <v/>
      </c>
      <c r="F21" s="29" t="str">
        <f aca="false">IF($A21="","",IF(集計!C$52&lt;設定!$B$10,予測!$M25,予測!$N25)*INDEX(集計!C$64:C$71,MATCH($B21,集計!$A$64:$A$71,0)))</f>
        <v/>
      </c>
      <c r="G21" s="29" t="str">
        <f aca="false">IF($A21="","",IF(集計!D$52&lt;設定!$B$10,予測!$M25,予測!$N25)*INDEX(集計!D$64:D$71,MATCH($B21,集計!$A$64:$A$71,0)))</f>
        <v/>
      </c>
      <c r="H21" s="29" t="str">
        <f aca="false">IF($A21="","",IF(集計!E$52&lt;設定!$B$10,予測!$M25,予測!$N25)*INDEX(集計!E$64:E$71,MATCH($B21,集計!$A$64:$A$71,0)))</f>
        <v/>
      </c>
      <c r="I21" s="29" t="str">
        <f aca="false">IF($A21="","",IF(集計!F$52&lt;設定!$B$10,予測!$M25,予測!$N25)*INDEX(集計!F$64:F$71,MATCH($B21,集計!$A$64:$A$71,0)))</f>
        <v/>
      </c>
      <c r="J21" s="29" t="str">
        <f aca="false">IF($A21="","",IF(集計!G$52&lt;設定!$B$10,予測!$M25,予測!$N25)*INDEX(集計!G$64:G$71,MATCH($B21,集計!$A$64:$A$71,0)))</f>
        <v/>
      </c>
      <c r="K21" s="29" t="str">
        <f aca="false">IF($A21="","",IF(集計!H$52&lt;設定!$B$10,予測!$M25,予測!$N25)*INDEX(集計!H$64:H$71,MATCH($B21,集計!$A$64:$A$71,0)))</f>
        <v/>
      </c>
      <c r="L21" s="29" t="str">
        <f aca="false">IF($A21="","",IF(集計!I$52&lt;設定!$B$10,予測!$M25,予測!$N25)*INDEX(集計!I$64:I$71,MATCH($B21,集計!$A$64:$A$71,0)))</f>
        <v/>
      </c>
      <c r="M21" s="29" t="str">
        <f aca="false">IF($A21="","",IF(集計!J$52&lt;設定!$B$10,予測!$M25,予測!$N25)*INDEX(集計!J$64:J$71,MATCH($B21,集計!$A$64:$A$71,0)))</f>
        <v/>
      </c>
      <c r="N21" s="29" t="str">
        <f aca="false">IF($A21="","",IF(集計!K$52&lt;設定!$B$10,予測!$M25,予測!$N25)*INDEX(集計!K$64:K$71,MATCH($B21,集計!$A$64:$A$71,0)))</f>
        <v/>
      </c>
      <c r="O21" s="29" t="str">
        <f aca="false">IF($A21="","",IF(集計!L$52&lt;設定!$B$10,予測!$M25,予測!$N25)*INDEX(集計!L$64:L$71,MATCH($B21,集計!$A$64:$A$71,0)))</f>
        <v/>
      </c>
      <c r="P21" s="29" t="str">
        <f aca="false">IF($A21="","",IF(集計!M$52&lt;設定!$B$10,予測!$M25,予測!$N25)*INDEX(集計!M$64:M$71,MATCH($B21,集計!$A$64:$A$71,0)))</f>
        <v/>
      </c>
      <c r="Q21" s="29" t="str">
        <f aca="false">IF($A21="","",IF(集計!N$52&lt;設定!$B$10,予測!$M25,予測!$N25)*INDEX(集計!N$64:N$71,MATCH($B21,集計!$A$64:$A$71,0)))</f>
        <v/>
      </c>
    </row>
    <row r="22" customFormat="false" ht="15" hidden="false" customHeight="false" outlineLevel="0" collapsed="false">
      <c r="A22" s="16" t="str">
        <f aca="false">予測!A26</f>
        <v/>
      </c>
      <c r="B22" s="13" t="str">
        <f aca="false">予測!C26</f>
        <v/>
      </c>
      <c r="C22" s="28" t="str">
        <f aca="false">予測!E26</f>
        <v/>
      </c>
      <c r="D22" s="21" t="str">
        <f aca="false">予測!O26</f>
        <v/>
      </c>
      <c r="E22" s="29" t="str">
        <f aca="false">IF($A22="","",IF(集計!B$52&lt;設定!$B$10,予測!$M26,予測!$N26)*INDEX(集計!B$64:B$71,MATCH($B22,集計!$A$64:$A$71,0)))</f>
        <v/>
      </c>
      <c r="F22" s="29" t="str">
        <f aca="false">IF($A22="","",IF(集計!C$52&lt;設定!$B$10,予測!$M26,予測!$N26)*INDEX(集計!C$64:C$71,MATCH($B22,集計!$A$64:$A$71,0)))</f>
        <v/>
      </c>
      <c r="G22" s="29" t="str">
        <f aca="false">IF($A22="","",IF(集計!D$52&lt;設定!$B$10,予測!$M26,予測!$N26)*INDEX(集計!D$64:D$71,MATCH($B22,集計!$A$64:$A$71,0)))</f>
        <v/>
      </c>
      <c r="H22" s="29" t="str">
        <f aca="false">IF($A22="","",IF(集計!E$52&lt;設定!$B$10,予測!$M26,予測!$N26)*INDEX(集計!E$64:E$71,MATCH($B22,集計!$A$64:$A$71,0)))</f>
        <v/>
      </c>
      <c r="I22" s="29" t="str">
        <f aca="false">IF($A22="","",IF(集計!F$52&lt;設定!$B$10,予測!$M26,予測!$N26)*INDEX(集計!F$64:F$71,MATCH($B22,集計!$A$64:$A$71,0)))</f>
        <v/>
      </c>
      <c r="J22" s="29" t="str">
        <f aca="false">IF($A22="","",IF(集計!G$52&lt;設定!$B$10,予測!$M26,予測!$N26)*INDEX(集計!G$64:G$71,MATCH($B22,集計!$A$64:$A$71,0)))</f>
        <v/>
      </c>
      <c r="K22" s="29" t="str">
        <f aca="false">IF($A22="","",IF(集計!H$52&lt;設定!$B$10,予測!$M26,予測!$N26)*INDEX(集計!H$64:H$71,MATCH($B22,集計!$A$64:$A$71,0)))</f>
        <v/>
      </c>
      <c r="L22" s="29" t="str">
        <f aca="false">IF($A22="","",IF(集計!I$52&lt;設定!$B$10,予測!$M26,予測!$N26)*INDEX(集計!I$64:I$71,MATCH($B22,集計!$A$64:$A$71,0)))</f>
        <v/>
      </c>
      <c r="M22" s="29" t="str">
        <f aca="false">IF($A22="","",IF(集計!J$52&lt;設定!$B$10,予測!$M26,予測!$N26)*INDEX(集計!J$64:J$71,MATCH($B22,集計!$A$64:$A$71,0)))</f>
        <v/>
      </c>
      <c r="N22" s="29" t="str">
        <f aca="false">IF($A22="","",IF(集計!K$52&lt;設定!$B$10,予測!$M26,予測!$N26)*INDEX(集計!K$64:K$71,MATCH($B22,集計!$A$64:$A$71,0)))</f>
        <v/>
      </c>
      <c r="O22" s="29" t="str">
        <f aca="false">IF($A22="","",IF(集計!L$52&lt;設定!$B$10,予測!$M26,予測!$N26)*INDEX(集計!L$64:L$71,MATCH($B22,集計!$A$64:$A$71,0)))</f>
        <v/>
      </c>
      <c r="P22" s="29" t="str">
        <f aca="false">IF($A22="","",IF(集計!M$52&lt;設定!$B$10,予測!$M26,予測!$N26)*INDEX(集計!M$64:M$71,MATCH($B22,集計!$A$64:$A$71,0)))</f>
        <v/>
      </c>
      <c r="Q22" s="29" t="str">
        <f aca="false">IF($A22="","",IF(集計!N$52&lt;設定!$B$10,予測!$M26,予測!$N26)*INDEX(集計!N$64:N$71,MATCH($B22,集計!$A$64:$A$71,0)))</f>
        <v/>
      </c>
    </row>
    <row r="23" customFormat="false" ht="15" hidden="false" customHeight="false" outlineLevel="0" collapsed="false">
      <c r="A23" s="16" t="str">
        <f aca="false">予測!A27</f>
        <v/>
      </c>
      <c r="B23" s="13" t="str">
        <f aca="false">予測!C27</f>
        <v/>
      </c>
      <c r="C23" s="28" t="str">
        <f aca="false">予測!E27</f>
        <v/>
      </c>
      <c r="D23" s="21" t="str">
        <f aca="false">予測!O27</f>
        <v/>
      </c>
      <c r="E23" s="29" t="str">
        <f aca="false">IF($A23="","",IF(集計!B$52&lt;設定!$B$10,予測!$M27,予測!$N27)*INDEX(集計!B$64:B$71,MATCH($B23,集計!$A$64:$A$71,0)))</f>
        <v/>
      </c>
      <c r="F23" s="29" t="str">
        <f aca="false">IF($A23="","",IF(集計!C$52&lt;設定!$B$10,予測!$M27,予測!$N27)*INDEX(集計!C$64:C$71,MATCH($B23,集計!$A$64:$A$71,0)))</f>
        <v/>
      </c>
      <c r="G23" s="29" t="str">
        <f aca="false">IF($A23="","",IF(集計!D$52&lt;設定!$B$10,予測!$M27,予測!$N27)*INDEX(集計!D$64:D$71,MATCH($B23,集計!$A$64:$A$71,0)))</f>
        <v/>
      </c>
      <c r="H23" s="29" t="str">
        <f aca="false">IF($A23="","",IF(集計!E$52&lt;設定!$B$10,予測!$M27,予測!$N27)*INDEX(集計!E$64:E$71,MATCH($B23,集計!$A$64:$A$71,0)))</f>
        <v/>
      </c>
      <c r="I23" s="29" t="str">
        <f aca="false">IF($A23="","",IF(集計!F$52&lt;設定!$B$10,予測!$M27,予測!$N27)*INDEX(集計!F$64:F$71,MATCH($B23,集計!$A$64:$A$71,0)))</f>
        <v/>
      </c>
      <c r="J23" s="29" t="str">
        <f aca="false">IF($A23="","",IF(集計!G$52&lt;設定!$B$10,予測!$M27,予測!$N27)*INDEX(集計!G$64:G$71,MATCH($B23,集計!$A$64:$A$71,0)))</f>
        <v/>
      </c>
      <c r="K23" s="29" t="str">
        <f aca="false">IF($A23="","",IF(集計!H$52&lt;設定!$B$10,予測!$M27,予測!$N27)*INDEX(集計!H$64:H$71,MATCH($B23,集計!$A$64:$A$71,0)))</f>
        <v/>
      </c>
      <c r="L23" s="29" t="str">
        <f aca="false">IF($A23="","",IF(集計!I$52&lt;設定!$B$10,予測!$M27,予測!$N27)*INDEX(集計!I$64:I$71,MATCH($B23,集計!$A$64:$A$71,0)))</f>
        <v/>
      </c>
      <c r="M23" s="29" t="str">
        <f aca="false">IF($A23="","",IF(集計!J$52&lt;設定!$B$10,予測!$M27,予測!$N27)*INDEX(集計!J$64:J$71,MATCH($B23,集計!$A$64:$A$71,0)))</f>
        <v/>
      </c>
      <c r="N23" s="29" t="str">
        <f aca="false">IF($A23="","",IF(集計!K$52&lt;設定!$B$10,予測!$M27,予測!$N27)*INDEX(集計!K$64:K$71,MATCH($B23,集計!$A$64:$A$71,0)))</f>
        <v/>
      </c>
      <c r="O23" s="29" t="str">
        <f aca="false">IF($A23="","",IF(集計!L$52&lt;設定!$B$10,予測!$M27,予測!$N27)*INDEX(集計!L$64:L$71,MATCH($B23,集計!$A$64:$A$71,0)))</f>
        <v/>
      </c>
      <c r="P23" s="29" t="str">
        <f aca="false">IF($A23="","",IF(集計!M$52&lt;設定!$B$10,予測!$M27,予測!$N27)*INDEX(集計!M$64:M$71,MATCH($B23,集計!$A$64:$A$71,0)))</f>
        <v/>
      </c>
      <c r="Q23" s="29" t="str">
        <f aca="false">IF($A23="","",IF(集計!N$52&lt;設定!$B$10,予測!$M27,予測!$N27)*INDEX(集計!N$64:N$71,MATCH($B23,集計!$A$64:$A$71,0)))</f>
        <v/>
      </c>
    </row>
    <row r="24" customFormat="false" ht="15" hidden="false" customHeight="false" outlineLevel="0" collapsed="false">
      <c r="A24" s="16" t="str">
        <f aca="false">予測!A28</f>
        <v/>
      </c>
      <c r="B24" s="13" t="str">
        <f aca="false">予測!C28</f>
        <v/>
      </c>
      <c r="C24" s="28" t="str">
        <f aca="false">予測!E28</f>
        <v/>
      </c>
      <c r="D24" s="21" t="str">
        <f aca="false">予測!O28</f>
        <v/>
      </c>
      <c r="E24" s="29" t="str">
        <f aca="false">IF($A24="","",IF(集計!B$52&lt;設定!$B$10,予測!$M28,予測!$N28)*INDEX(集計!B$64:B$71,MATCH($B24,集計!$A$64:$A$71,0)))</f>
        <v/>
      </c>
      <c r="F24" s="29" t="str">
        <f aca="false">IF($A24="","",IF(集計!C$52&lt;設定!$B$10,予測!$M28,予測!$N28)*INDEX(集計!C$64:C$71,MATCH($B24,集計!$A$64:$A$71,0)))</f>
        <v/>
      </c>
      <c r="G24" s="29" t="str">
        <f aca="false">IF($A24="","",IF(集計!D$52&lt;設定!$B$10,予測!$M28,予測!$N28)*INDEX(集計!D$64:D$71,MATCH($B24,集計!$A$64:$A$71,0)))</f>
        <v/>
      </c>
      <c r="H24" s="29" t="str">
        <f aca="false">IF($A24="","",IF(集計!E$52&lt;設定!$B$10,予測!$M28,予測!$N28)*INDEX(集計!E$64:E$71,MATCH($B24,集計!$A$64:$A$71,0)))</f>
        <v/>
      </c>
      <c r="I24" s="29" t="str">
        <f aca="false">IF($A24="","",IF(集計!F$52&lt;設定!$B$10,予測!$M28,予測!$N28)*INDEX(集計!F$64:F$71,MATCH($B24,集計!$A$64:$A$71,0)))</f>
        <v/>
      </c>
      <c r="J24" s="29" t="str">
        <f aca="false">IF($A24="","",IF(集計!G$52&lt;設定!$B$10,予測!$M28,予測!$N28)*INDEX(集計!G$64:G$71,MATCH($B24,集計!$A$64:$A$71,0)))</f>
        <v/>
      </c>
      <c r="K24" s="29" t="str">
        <f aca="false">IF($A24="","",IF(集計!H$52&lt;設定!$B$10,予測!$M28,予測!$N28)*INDEX(集計!H$64:H$71,MATCH($B24,集計!$A$64:$A$71,0)))</f>
        <v/>
      </c>
      <c r="L24" s="29" t="str">
        <f aca="false">IF($A24="","",IF(集計!I$52&lt;設定!$B$10,予測!$M28,予測!$N28)*INDEX(集計!I$64:I$71,MATCH($B24,集計!$A$64:$A$71,0)))</f>
        <v/>
      </c>
      <c r="M24" s="29" t="str">
        <f aca="false">IF($A24="","",IF(集計!J$52&lt;設定!$B$10,予測!$M28,予測!$N28)*INDEX(集計!J$64:J$71,MATCH($B24,集計!$A$64:$A$71,0)))</f>
        <v/>
      </c>
      <c r="N24" s="29" t="str">
        <f aca="false">IF($A24="","",IF(集計!K$52&lt;設定!$B$10,予測!$M28,予測!$N28)*INDEX(集計!K$64:K$71,MATCH($B24,集計!$A$64:$A$71,0)))</f>
        <v/>
      </c>
      <c r="O24" s="29" t="str">
        <f aca="false">IF($A24="","",IF(集計!L$52&lt;設定!$B$10,予測!$M28,予測!$N28)*INDEX(集計!L$64:L$71,MATCH($B24,集計!$A$64:$A$71,0)))</f>
        <v/>
      </c>
      <c r="P24" s="29" t="str">
        <f aca="false">IF($A24="","",IF(集計!M$52&lt;設定!$B$10,予測!$M28,予測!$N28)*INDEX(集計!M$64:M$71,MATCH($B24,集計!$A$64:$A$71,0)))</f>
        <v/>
      </c>
      <c r="Q24" s="29" t="str">
        <f aca="false">IF($A24="","",IF(集計!N$52&lt;設定!$B$10,予測!$M28,予測!$N28)*INDEX(集計!N$64:N$71,MATCH($B24,集計!$A$64:$A$71,0)))</f>
        <v/>
      </c>
    </row>
    <row r="25" customFormat="false" ht="15" hidden="false" customHeight="false" outlineLevel="0" collapsed="false">
      <c r="A25" s="16" t="str">
        <f aca="false">予測!A29</f>
        <v/>
      </c>
      <c r="B25" s="13" t="str">
        <f aca="false">予測!C29</f>
        <v/>
      </c>
      <c r="C25" s="28" t="str">
        <f aca="false">予測!E29</f>
        <v/>
      </c>
      <c r="D25" s="21" t="str">
        <f aca="false">予測!O29</f>
        <v/>
      </c>
      <c r="E25" s="29" t="str">
        <f aca="false">IF($A25="","",IF(集計!B$52&lt;設定!$B$10,予測!$M29,予測!$N29)*INDEX(集計!B$64:B$71,MATCH($B25,集計!$A$64:$A$71,0)))</f>
        <v/>
      </c>
      <c r="F25" s="29" t="str">
        <f aca="false">IF($A25="","",IF(集計!C$52&lt;設定!$B$10,予測!$M29,予測!$N29)*INDEX(集計!C$64:C$71,MATCH($B25,集計!$A$64:$A$71,0)))</f>
        <v/>
      </c>
      <c r="G25" s="29" t="str">
        <f aca="false">IF($A25="","",IF(集計!D$52&lt;設定!$B$10,予測!$M29,予測!$N29)*INDEX(集計!D$64:D$71,MATCH($B25,集計!$A$64:$A$71,0)))</f>
        <v/>
      </c>
      <c r="H25" s="29" t="str">
        <f aca="false">IF($A25="","",IF(集計!E$52&lt;設定!$B$10,予測!$M29,予測!$N29)*INDEX(集計!E$64:E$71,MATCH($B25,集計!$A$64:$A$71,0)))</f>
        <v/>
      </c>
      <c r="I25" s="29" t="str">
        <f aca="false">IF($A25="","",IF(集計!F$52&lt;設定!$B$10,予測!$M29,予測!$N29)*INDEX(集計!F$64:F$71,MATCH($B25,集計!$A$64:$A$71,0)))</f>
        <v/>
      </c>
      <c r="J25" s="29" t="str">
        <f aca="false">IF($A25="","",IF(集計!G$52&lt;設定!$B$10,予測!$M29,予測!$N29)*INDEX(集計!G$64:G$71,MATCH($B25,集計!$A$64:$A$71,0)))</f>
        <v/>
      </c>
      <c r="K25" s="29" t="str">
        <f aca="false">IF($A25="","",IF(集計!H$52&lt;設定!$B$10,予測!$M29,予測!$N29)*INDEX(集計!H$64:H$71,MATCH($B25,集計!$A$64:$A$71,0)))</f>
        <v/>
      </c>
      <c r="L25" s="29" t="str">
        <f aca="false">IF($A25="","",IF(集計!I$52&lt;設定!$B$10,予測!$M29,予測!$N29)*INDEX(集計!I$64:I$71,MATCH($B25,集計!$A$64:$A$71,0)))</f>
        <v/>
      </c>
      <c r="M25" s="29" t="str">
        <f aca="false">IF($A25="","",IF(集計!J$52&lt;設定!$B$10,予測!$M29,予測!$N29)*INDEX(集計!J$64:J$71,MATCH($B25,集計!$A$64:$A$71,0)))</f>
        <v/>
      </c>
      <c r="N25" s="29" t="str">
        <f aca="false">IF($A25="","",IF(集計!K$52&lt;設定!$B$10,予測!$M29,予測!$N29)*INDEX(集計!K$64:K$71,MATCH($B25,集計!$A$64:$A$71,0)))</f>
        <v/>
      </c>
      <c r="O25" s="29" t="str">
        <f aca="false">IF($A25="","",IF(集計!L$52&lt;設定!$B$10,予測!$M29,予測!$N29)*INDEX(集計!L$64:L$71,MATCH($B25,集計!$A$64:$A$71,0)))</f>
        <v/>
      </c>
      <c r="P25" s="29" t="str">
        <f aca="false">IF($A25="","",IF(集計!M$52&lt;設定!$B$10,予測!$M29,予測!$N29)*INDEX(集計!M$64:M$71,MATCH($B25,集計!$A$64:$A$71,0)))</f>
        <v/>
      </c>
      <c r="Q25" s="29" t="str">
        <f aca="false">IF($A25="","",IF(集計!N$52&lt;設定!$B$10,予測!$M29,予測!$N29)*INDEX(集計!N$64:N$71,MATCH($B25,集計!$A$64:$A$71,0)))</f>
        <v/>
      </c>
    </row>
    <row r="26" customFormat="false" ht="15" hidden="false" customHeight="false" outlineLevel="0" collapsed="false">
      <c r="A26" s="16" t="str">
        <f aca="false">予測!A30</f>
        <v/>
      </c>
      <c r="B26" s="13" t="str">
        <f aca="false">予測!C30</f>
        <v/>
      </c>
      <c r="C26" s="28" t="str">
        <f aca="false">予測!E30</f>
        <v/>
      </c>
      <c r="D26" s="21" t="str">
        <f aca="false">予測!O30</f>
        <v/>
      </c>
      <c r="E26" s="29" t="str">
        <f aca="false">IF($A26="","",IF(集計!B$52&lt;設定!$B$10,予測!$M30,予測!$N30)*INDEX(集計!B$64:B$71,MATCH($B26,集計!$A$64:$A$71,0)))</f>
        <v/>
      </c>
      <c r="F26" s="29" t="str">
        <f aca="false">IF($A26="","",IF(集計!C$52&lt;設定!$B$10,予測!$M30,予測!$N30)*INDEX(集計!C$64:C$71,MATCH($B26,集計!$A$64:$A$71,0)))</f>
        <v/>
      </c>
      <c r="G26" s="29" t="str">
        <f aca="false">IF($A26="","",IF(集計!D$52&lt;設定!$B$10,予測!$M30,予測!$N30)*INDEX(集計!D$64:D$71,MATCH($B26,集計!$A$64:$A$71,0)))</f>
        <v/>
      </c>
      <c r="H26" s="29" t="str">
        <f aca="false">IF($A26="","",IF(集計!E$52&lt;設定!$B$10,予測!$M30,予測!$N30)*INDEX(集計!E$64:E$71,MATCH($B26,集計!$A$64:$A$71,0)))</f>
        <v/>
      </c>
      <c r="I26" s="29" t="str">
        <f aca="false">IF($A26="","",IF(集計!F$52&lt;設定!$B$10,予測!$M30,予測!$N30)*INDEX(集計!F$64:F$71,MATCH($B26,集計!$A$64:$A$71,0)))</f>
        <v/>
      </c>
      <c r="J26" s="29" t="str">
        <f aca="false">IF($A26="","",IF(集計!G$52&lt;設定!$B$10,予測!$M30,予測!$N30)*INDEX(集計!G$64:G$71,MATCH($B26,集計!$A$64:$A$71,0)))</f>
        <v/>
      </c>
      <c r="K26" s="29" t="str">
        <f aca="false">IF($A26="","",IF(集計!H$52&lt;設定!$B$10,予測!$M30,予測!$N30)*INDEX(集計!H$64:H$71,MATCH($B26,集計!$A$64:$A$71,0)))</f>
        <v/>
      </c>
      <c r="L26" s="29" t="str">
        <f aca="false">IF($A26="","",IF(集計!I$52&lt;設定!$B$10,予測!$M30,予測!$N30)*INDEX(集計!I$64:I$71,MATCH($B26,集計!$A$64:$A$71,0)))</f>
        <v/>
      </c>
      <c r="M26" s="29" t="str">
        <f aca="false">IF($A26="","",IF(集計!J$52&lt;設定!$B$10,予測!$M30,予測!$N30)*INDEX(集計!J$64:J$71,MATCH($B26,集計!$A$64:$A$71,0)))</f>
        <v/>
      </c>
      <c r="N26" s="29" t="str">
        <f aca="false">IF($A26="","",IF(集計!K$52&lt;設定!$B$10,予測!$M30,予測!$N30)*INDEX(集計!K$64:K$71,MATCH($B26,集計!$A$64:$A$71,0)))</f>
        <v/>
      </c>
      <c r="O26" s="29" t="str">
        <f aca="false">IF($A26="","",IF(集計!L$52&lt;設定!$B$10,予測!$M30,予測!$N30)*INDEX(集計!L$64:L$71,MATCH($B26,集計!$A$64:$A$71,0)))</f>
        <v/>
      </c>
      <c r="P26" s="29" t="str">
        <f aca="false">IF($A26="","",IF(集計!M$52&lt;設定!$B$10,予測!$M30,予測!$N30)*INDEX(集計!M$64:M$71,MATCH($B26,集計!$A$64:$A$71,0)))</f>
        <v/>
      </c>
      <c r="Q26" s="29" t="str">
        <f aca="false">IF($A26="","",IF(集計!N$52&lt;設定!$B$10,予測!$M30,予測!$N30)*INDEX(集計!N$64:N$71,MATCH($B26,集計!$A$64:$A$71,0)))</f>
        <v/>
      </c>
    </row>
    <row r="27" customFormat="false" ht="15" hidden="false" customHeight="false" outlineLevel="0" collapsed="false">
      <c r="A27" s="16" t="str">
        <f aca="false">予測!A31</f>
        <v/>
      </c>
      <c r="B27" s="13" t="str">
        <f aca="false">予測!C31</f>
        <v/>
      </c>
      <c r="C27" s="28" t="str">
        <f aca="false">予測!E31</f>
        <v/>
      </c>
      <c r="D27" s="21" t="str">
        <f aca="false">予測!O31</f>
        <v/>
      </c>
      <c r="E27" s="29" t="str">
        <f aca="false">IF($A27="","",IF(集計!B$52&lt;設定!$B$10,予測!$M31,予測!$N31)*INDEX(集計!B$64:B$71,MATCH($B27,集計!$A$64:$A$71,0)))</f>
        <v/>
      </c>
      <c r="F27" s="29" t="str">
        <f aca="false">IF($A27="","",IF(集計!C$52&lt;設定!$B$10,予測!$M31,予測!$N31)*INDEX(集計!C$64:C$71,MATCH($B27,集計!$A$64:$A$71,0)))</f>
        <v/>
      </c>
      <c r="G27" s="29" t="str">
        <f aca="false">IF($A27="","",IF(集計!D$52&lt;設定!$B$10,予測!$M31,予測!$N31)*INDEX(集計!D$64:D$71,MATCH($B27,集計!$A$64:$A$71,0)))</f>
        <v/>
      </c>
      <c r="H27" s="29" t="str">
        <f aca="false">IF($A27="","",IF(集計!E$52&lt;設定!$B$10,予測!$M31,予測!$N31)*INDEX(集計!E$64:E$71,MATCH($B27,集計!$A$64:$A$71,0)))</f>
        <v/>
      </c>
      <c r="I27" s="29" t="str">
        <f aca="false">IF($A27="","",IF(集計!F$52&lt;設定!$B$10,予測!$M31,予測!$N31)*INDEX(集計!F$64:F$71,MATCH($B27,集計!$A$64:$A$71,0)))</f>
        <v/>
      </c>
      <c r="J27" s="29" t="str">
        <f aca="false">IF($A27="","",IF(集計!G$52&lt;設定!$B$10,予測!$M31,予測!$N31)*INDEX(集計!G$64:G$71,MATCH($B27,集計!$A$64:$A$71,0)))</f>
        <v/>
      </c>
      <c r="K27" s="29" t="str">
        <f aca="false">IF($A27="","",IF(集計!H$52&lt;設定!$B$10,予測!$M31,予測!$N31)*INDEX(集計!H$64:H$71,MATCH($B27,集計!$A$64:$A$71,0)))</f>
        <v/>
      </c>
      <c r="L27" s="29" t="str">
        <f aca="false">IF($A27="","",IF(集計!I$52&lt;設定!$B$10,予測!$M31,予測!$N31)*INDEX(集計!I$64:I$71,MATCH($B27,集計!$A$64:$A$71,0)))</f>
        <v/>
      </c>
      <c r="M27" s="29" t="str">
        <f aca="false">IF($A27="","",IF(集計!J$52&lt;設定!$B$10,予測!$M31,予測!$N31)*INDEX(集計!J$64:J$71,MATCH($B27,集計!$A$64:$A$71,0)))</f>
        <v/>
      </c>
      <c r="N27" s="29" t="str">
        <f aca="false">IF($A27="","",IF(集計!K$52&lt;設定!$B$10,予測!$M31,予測!$N31)*INDEX(集計!K$64:K$71,MATCH($B27,集計!$A$64:$A$71,0)))</f>
        <v/>
      </c>
      <c r="O27" s="29" t="str">
        <f aca="false">IF($A27="","",IF(集計!L$52&lt;設定!$B$10,予測!$M31,予測!$N31)*INDEX(集計!L$64:L$71,MATCH($B27,集計!$A$64:$A$71,0)))</f>
        <v/>
      </c>
      <c r="P27" s="29" t="str">
        <f aca="false">IF($A27="","",IF(集計!M$52&lt;設定!$B$10,予測!$M31,予測!$N31)*INDEX(集計!M$64:M$71,MATCH($B27,集計!$A$64:$A$71,0)))</f>
        <v/>
      </c>
      <c r="Q27" s="29" t="str">
        <f aca="false">IF($A27="","",IF(集計!N$52&lt;設定!$B$10,予測!$M31,予測!$N31)*INDEX(集計!N$64:N$71,MATCH($B27,集計!$A$64:$A$71,0)))</f>
        <v/>
      </c>
    </row>
    <row r="28" customFormat="false" ht="15" hidden="false" customHeight="false" outlineLevel="0" collapsed="false">
      <c r="A28" s="16" t="str">
        <f aca="false">予測!A32</f>
        <v/>
      </c>
      <c r="B28" s="13" t="str">
        <f aca="false">予測!C32</f>
        <v/>
      </c>
      <c r="C28" s="28" t="str">
        <f aca="false">予測!E32</f>
        <v/>
      </c>
      <c r="D28" s="21" t="str">
        <f aca="false">予測!O32</f>
        <v/>
      </c>
      <c r="E28" s="29" t="str">
        <f aca="false">IF($A28="","",IF(集計!B$52&lt;設定!$B$10,予測!$M32,予測!$N32)*INDEX(集計!B$64:B$71,MATCH($B28,集計!$A$64:$A$71,0)))</f>
        <v/>
      </c>
      <c r="F28" s="29" t="str">
        <f aca="false">IF($A28="","",IF(集計!C$52&lt;設定!$B$10,予測!$M32,予測!$N32)*INDEX(集計!C$64:C$71,MATCH($B28,集計!$A$64:$A$71,0)))</f>
        <v/>
      </c>
      <c r="G28" s="29" t="str">
        <f aca="false">IF($A28="","",IF(集計!D$52&lt;設定!$B$10,予測!$M32,予測!$N32)*INDEX(集計!D$64:D$71,MATCH($B28,集計!$A$64:$A$71,0)))</f>
        <v/>
      </c>
      <c r="H28" s="29" t="str">
        <f aca="false">IF($A28="","",IF(集計!E$52&lt;設定!$B$10,予測!$M32,予測!$N32)*INDEX(集計!E$64:E$71,MATCH($B28,集計!$A$64:$A$71,0)))</f>
        <v/>
      </c>
      <c r="I28" s="29" t="str">
        <f aca="false">IF($A28="","",IF(集計!F$52&lt;設定!$B$10,予測!$M32,予測!$N32)*INDEX(集計!F$64:F$71,MATCH($B28,集計!$A$64:$A$71,0)))</f>
        <v/>
      </c>
      <c r="J28" s="29" t="str">
        <f aca="false">IF($A28="","",IF(集計!G$52&lt;設定!$B$10,予測!$M32,予測!$N32)*INDEX(集計!G$64:G$71,MATCH($B28,集計!$A$64:$A$71,0)))</f>
        <v/>
      </c>
      <c r="K28" s="29" t="str">
        <f aca="false">IF($A28="","",IF(集計!H$52&lt;設定!$B$10,予測!$M32,予測!$N32)*INDEX(集計!H$64:H$71,MATCH($B28,集計!$A$64:$A$71,0)))</f>
        <v/>
      </c>
      <c r="L28" s="29" t="str">
        <f aca="false">IF($A28="","",IF(集計!I$52&lt;設定!$B$10,予測!$M32,予測!$N32)*INDEX(集計!I$64:I$71,MATCH($B28,集計!$A$64:$A$71,0)))</f>
        <v/>
      </c>
      <c r="M28" s="29" t="str">
        <f aca="false">IF($A28="","",IF(集計!J$52&lt;設定!$B$10,予測!$M32,予測!$N32)*INDEX(集計!J$64:J$71,MATCH($B28,集計!$A$64:$A$71,0)))</f>
        <v/>
      </c>
      <c r="N28" s="29" t="str">
        <f aca="false">IF($A28="","",IF(集計!K$52&lt;設定!$B$10,予測!$M32,予測!$N32)*INDEX(集計!K$64:K$71,MATCH($B28,集計!$A$64:$A$71,0)))</f>
        <v/>
      </c>
      <c r="O28" s="29" t="str">
        <f aca="false">IF($A28="","",IF(集計!L$52&lt;設定!$B$10,予測!$M32,予測!$N32)*INDEX(集計!L$64:L$71,MATCH($B28,集計!$A$64:$A$71,0)))</f>
        <v/>
      </c>
      <c r="P28" s="29" t="str">
        <f aca="false">IF($A28="","",IF(集計!M$52&lt;設定!$B$10,予測!$M32,予測!$N32)*INDEX(集計!M$64:M$71,MATCH($B28,集計!$A$64:$A$71,0)))</f>
        <v/>
      </c>
      <c r="Q28" s="29" t="str">
        <f aca="false">IF($A28="","",IF(集計!N$52&lt;設定!$B$10,予測!$M32,予測!$N32)*INDEX(集計!N$64:N$71,MATCH($B28,集計!$A$64:$A$71,0)))</f>
        <v/>
      </c>
    </row>
    <row r="29" customFormat="false" ht="15" hidden="false" customHeight="false" outlineLevel="0" collapsed="false">
      <c r="A29" s="16" t="str">
        <f aca="false">予測!A33</f>
        <v/>
      </c>
      <c r="B29" s="13" t="str">
        <f aca="false">予測!C33</f>
        <v/>
      </c>
      <c r="C29" s="28" t="str">
        <f aca="false">予測!E33</f>
        <v/>
      </c>
      <c r="D29" s="21" t="str">
        <f aca="false">予測!O33</f>
        <v/>
      </c>
      <c r="E29" s="29" t="str">
        <f aca="false">IF($A29="","",IF(集計!B$52&lt;設定!$B$10,予測!$M33,予測!$N33)*INDEX(集計!B$64:B$71,MATCH($B29,集計!$A$64:$A$71,0)))</f>
        <v/>
      </c>
      <c r="F29" s="29" t="str">
        <f aca="false">IF($A29="","",IF(集計!C$52&lt;設定!$B$10,予測!$M33,予測!$N33)*INDEX(集計!C$64:C$71,MATCH($B29,集計!$A$64:$A$71,0)))</f>
        <v/>
      </c>
      <c r="G29" s="29" t="str">
        <f aca="false">IF($A29="","",IF(集計!D$52&lt;設定!$B$10,予測!$M33,予測!$N33)*INDEX(集計!D$64:D$71,MATCH($B29,集計!$A$64:$A$71,0)))</f>
        <v/>
      </c>
      <c r="H29" s="29" t="str">
        <f aca="false">IF($A29="","",IF(集計!E$52&lt;設定!$B$10,予測!$M33,予測!$N33)*INDEX(集計!E$64:E$71,MATCH($B29,集計!$A$64:$A$71,0)))</f>
        <v/>
      </c>
      <c r="I29" s="29" t="str">
        <f aca="false">IF($A29="","",IF(集計!F$52&lt;設定!$B$10,予測!$M33,予測!$N33)*INDEX(集計!F$64:F$71,MATCH($B29,集計!$A$64:$A$71,0)))</f>
        <v/>
      </c>
      <c r="J29" s="29" t="str">
        <f aca="false">IF($A29="","",IF(集計!G$52&lt;設定!$B$10,予測!$M33,予測!$N33)*INDEX(集計!G$64:G$71,MATCH($B29,集計!$A$64:$A$71,0)))</f>
        <v/>
      </c>
      <c r="K29" s="29" t="str">
        <f aca="false">IF($A29="","",IF(集計!H$52&lt;設定!$B$10,予測!$M33,予測!$N33)*INDEX(集計!H$64:H$71,MATCH($B29,集計!$A$64:$A$71,0)))</f>
        <v/>
      </c>
      <c r="L29" s="29" t="str">
        <f aca="false">IF($A29="","",IF(集計!I$52&lt;設定!$B$10,予測!$M33,予測!$N33)*INDEX(集計!I$64:I$71,MATCH($B29,集計!$A$64:$A$71,0)))</f>
        <v/>
      </c>
      <c r="M29" s="29" t="str">
        <f aca="false">IF($A29="","",IF(集計!J$52&lt;設定!$B$10,予測!$M33,予測!$N33)*INDEX(集計!J$64:J$71,MATCH($B29,集計!$A$64:$A$71,0)))</f>
        <v/>
      </c>
      <c r="N29" s="29" t="str">
        <f aca="false">IF($A29="","",IF(集計!K$52&lt;設定!$B$10,予測!$M33,予測!$N33)*INDEX(集計!K$64:K$71,MATCH($B29,集計!$A$64:$A$71,0)))</f>
        <v/>
      </c>
      <c r="O29" s="29" t="str">
        <f aca="false">IF($A29="","",IF(集計!L$52&lt;設定!$B$10,予測!$M33,予測!$N33)*INDEX(集計!L$64:L$71,MATCH($B29,集計!$A$64:$A$71,0)))</f>
        <v/>
      </c>
      <c r="P29" s="29" t="str">
        <f aca="false">IF($A29="","",IF(集計!M$52&lt;設定!$B$10,予測!$M33,予測!$N33)*INDEX(集計!M$64:M$71,MATCH($B29,集計!$A$64:$A$71,0)))</f>
        <v/>
      </c>
      <c r="Q29" s="29" t="str">
        <f aca="false">IF($A29="","",IF(集計!N$52&lt;設定!$B$10,予測!$M33,予測!$N33)*INDEX(集計!N$64:N$71,MATCH($B29,集計!$A$64:$A$71,0)))</f>
        <v/>
      </c>
    </row>
    <row r="30" customFormat="false" ht="15" hidden="false" customHeight="false" outlineLevel="0" collapsed="false">
      <c r="A30" s="16" t="str">
        <f aca="false">予測!A34</f>
        <v/>
      </c>
      <c r="B30" s="13" t="str">
        <f aca="false">予測!C34</f>
        <v/>
      </c>
      <c r="C30" s="28" t="str">
        <f aca="false">予測!E34</f>
        <v/>
      </c>
      <c r="D30" s="21" t="str">
        <f aca="false">予測!O34</f>
        <v/>
      </c>
      <c r="E30" s="29" t="str">
        <f aca="false">IF($A30="","",IF(集計!B$52&lt;設定!$B$10,予測!$M34,予測!$N34)*INDEX(集計!B$64:B$71,MATCH($B30,集計!$A$64:$A$71,0)))</f>
        <v/>
      </c>
      <c r="F30" s="29" t="str">
        <f aca="false">IF($A30="","",IF(集計!C$52&lt;設定!$B$10,予測!$M34,予測!$N34)*INDEX(集計!C$64:C$71,MATCH($B30,集計!$A$64:$A$71,0)))</f>
        <v/>
      </c>
      <c r="G30" s="29" t="str">
        <f aca="false">IF($A30="","",IF(集計!D$52&lt;設定!$B$10,予測!$M34,予測!$N34)*INDEX(集計!D$64:D$71,MATCH($B30,集計!$A$64:$A$71,0)))</f>
        <v/>
      </c>
      <c r="H30" s="29" t="str">
        <f aca="false">IF($A30="","",IF(集計!E$52&lt;設定!$B$10,予測!$M34,予測!$N34)*INDEX(集計!E$64:E$71,MATCH($B30,集計!$A$64:$A$71,0)))</f>
        <v/>
      </c>
      <c r="I30" s="29" t="str">
        <f aca="false">IF($A30="","",IF(集計!F$52&lt;設定!$B$10,予測!$M34,予測!$N34)*INDEX(集計!F$64:F$71,MATCH($B30,集計!$A$64:$A$71,0)))</f>
        <v/>
      </c>
      <c r="J30" s="29" t="str">
        <f aca="false">IF($A30="","",IF(集計!G$52&lt;設定!$B$10,予測!$M34,予測!$N34)*INDEX(集計!G$64:G$71,MATCH($B30,集計!$A$64:$A$71,0)))</f>
        <v/>
      </c>
      <c r="K30" s="29" t="str">
        <f aca="false">IF($A30="","",IF(集計!H$52&lt;設定!$B$10,予測!$M34,予測!$N34)*INDEX(集計!H$64:H$71,MATCH($B30,集計!$A$64:$A$71,0)))</f>
        <v/>
      </c>
      <c r="L30" s="29" t="str">
        <f aca="false">IF($A30="","",IF(集計!I$52&lt;設定!$B$10,予測!$M34,予測!$N34)*INDEX(集計!I$64:I$71,MATCH($B30,集計!$A$64:$A$71,0)))</f>
        <v/>
      </c>
      <c r="M30" s="29" t="str">
        <f aca="false">IF($A30="","",IF(集計!J$52&lt;設定!$B$10,予測!$M34,予測!$N34)*INDEX(集計!J$64:J$71,MATCH($B30,集計!$A$64:$A$71,0)))</f>
        <v/>
      </c>
      <c r="N30" s="29" t="str">
        <f aca="false">IF($A30="","",IF(集計!K$52&lt;設定!$B$10,予測!$M34,予測!$N34)*INDEX(集計!K$64:K$71,MATCH($B30,集計!$A$64:$A$71,0)))</f>
        <v/>
      </c>
      <c r="O30" s="29" t="str">
        <f aca="false">IF($A30="","",IF(集計!L$52&lt;設定!$B$10,予測!$M34,予測!$N34)*INDEX(集計!L$64:L$71,MATCH($B30,集計!$A$64:$A$71,0)))</f>
        <v/>
      </c>
      <c r="P30" s="29" t="str">
        <f aca="false">IF($A30="","",IF(集計!M$52&lt;設定!$B$10,予測!$M34,予測!$N34)*INDEX(集計!M$64:M$71,MATCH($B30,集計!$A$64:$A$71,0)))</f>
        <v/>
      </c>
      <c r="Q30" s="29" t="str">
        <f aca="false">IF($A30="","",IF(集計!N$52&lt;設定!$B$10,予測!$M34,予測!$N34)*INDEX(集計!N$64:N$71,MATCH($B30,集計!$A$64:$A$71,0)))</f>
        <v/>
      </c>
    </row>
    <row r="31" customFormat="false" ht="15" hidden="false" customHeight="false" outlineLevel="0" collapsed="false">
      <c r="A31" s="16" t="str">
        <f aca="false">予測!A35</f>
        <v/>
      </c>
      <c r="B31" s="13" t="str">
        <f aca="false">予測!C35</f>
        <v/>
      </c>
      <c r="C31" s="28" t="str">
        <f aca="false">予測!E35</f>
        <v/>
      </c>
      <c r="D31" s="21" t="str">
        <f aca="false">予測!O35</f>
        <v/>
      </c>
      <c r="E31" s="29" t="str">
        <f aca="false">IF($A31="","",IF(集計!B$52&lt;設定!$B$10,予測!$M35,予測!$N35)*INDEX(集計!B$64:B$71,MATCH($B31,集計!$A$64:$A$71,0)))</f>
        <v/>
      </c>
      <c r="F31" s="29" t="str">
        <f aca="false">IF($A31="","",IF(集計!C$52&lt;設定!$B$10,予測!$M35,予測!$N35)*INDEX(集計!C$64:C$71,MATCH($B31,集計!$A$64:$A$71,0)))</f>
        <v/>
      </c>
      <c r="G31" s="29" t="str">
        <f aca="false">IF($A31="","",IF(集計!D$52&lt;設定!$B$10,予測!$M35,予測!$N35)*INDEX(集計!D$64:D$71,MATCH($B31,集計!$A$64:$A$71,0)))</f>
        <v/>
      </c>
      <c r="H31" s="29" t="str">
        <f aca="false">IF($A31="","",IF(集計!E$52&lt;設定!$B$10,予測!$M35,予測!$N35)*INDEX(集計!E$64:E$71,MATCH($B31,集計!$A$64:$A$71,0)))</f>
        <v/>
      </c>
      <c r="I31" s="29" t="str">
        <f aca="false">IF($A31="","",IF(集計!F$52&lt;設定!$B$10,予測!$M35,予測!$N35)*INDEX(集計!F$64:F$71,MATCH($B31,集計!$A$64:$A$71,0)))</f>
        <v/>
      </c>
      <c r="J31" s="29" t="str">
        <f aca="false">IF($A31="","",IF(集計!G$52&lt;設定!$B$10,予測!$M35,予測!$N35)*INDEX(集計!G$64:G$71,MATCH($B31,集計!$A$64:$A$71,0)))</f>
        <v/>
      </c>
      <c r="K31" s="29" t="str">
        <f aca="false">IF($A31="","",IF(集計!H$52&lt;設定!$B$10,予測!$M35,予測!$N35)*INDEX(集計!H$64:H$71,MATCH($B31,集計!$A$64:$A$71,0)))</f>
        <v/>
      </c>
      <c r="L31" s="29" t="str">
        <f aca="false">IF($A31="","",IF(集計!I$52&lt;設定!$B$10,予測!$M35,予測!$N35)*INDEX(集計!I$64:I$71,MATCH($B31,集計!$A$64:$A$71,0)))</f>
        <v/>
      </c>
      <c r="M31" s="29" t="str">
        <f aca="false">IF($A31="","",IF(集計!J$52&lt;設定!$B$10,予測!$M35,予測!$N35)*INDEX(集計!J$64:J$71,MATCH($B31,集計!$A$64:$A$71,0)))</f>
        <v/>
      </c>
      <c r="N31" s="29" t="str">
        <f aca="false">IF($A31="","",IF(集計!K$52&lt;設定!$B$10,予測!$M35,予測!$N35)*INDEX(集計!K$64:K$71,MATCH($B31,集計!$A$64:$A$71,0)))</f>
        <v/>
      </c>
      <c r="O31" s="29" t="str">
        <f aca="false">IF($A31="","",IF(集計!L$52&lt;設定!$B$10,予測!$M35,予測!$N35)*INDEX(集計!L$64:L$71,MATCH($B31,集計!$A$64:$A$71,0)))</f>
        <v/>
      </c>
      <c r="P31" s="29" t="str">
        <f aca="false">IF($A31="","",IF(集計!M$52&lt;設定!$B$10,予測!$M35,予測!$N35)*INDEX(集計!M$64:M$71,MATCH($B31,集計!$A$64:$A$71,0)))</f>
        <v/>
      </c>
      <c r="Q31" s="29" t="str">
        <f aca="false">IF($A31="","",IF(集計!N$52&lt;設定!$B$10,予測!$M35,予測!$N35)*INDEX(集計!N$64:N$71,MATCH($B31,集計!$A$64:$A$71,0)))</f>
        <v/>
      </c>
    </row>
    <row r="32" customFormat="false" ht="15" hidden="false" customHeight="false" outlineLevel="0" collapsed="false">
      <c r="A32" s="16" t="str">
        <f aca="false">予測!A36</f>
        <v/>
      </c>
      <c r="B32" s="13" t="str">
        <f aca="false">予測!C36</f>
        <v/>
      </c>
      <c r="C32" s="28" t="str">
        <f aca="false">予測!E36</f>
        <v/>
      </c>
      <c r="D32" s="21" t="str">
        <f aca="false">予測!O36</f>
        <v/>
      </c>
      <c r="E32" s="29" t="str">
        <f aca="false">IF($A32="","",IF(集計!B$52&lt;設定!$B$10,予測!$M36,予測!$N36)*INDEX(集計!B$64:B$71,MATCH($B32,集計!$A$64:$A$71,0)))</f>
        <v/>
      </c>
      <c r="F32" s="29" t="str">
        <f aca="false">IF($A32="","",IF(集計!C$52&lt;設定!$B$10,予測!$M36,予測!$N36)*INDEX(集計!C$64:C$71,MATCH($B32,集計!$A$64:$A$71,0)))</f>
        <v/>
      </c>
      <c r="G32" s="29" t="str">
        <f aca="false">IF($A32="","",IF(集計!D$52&lt;設定!$B$10,予測!$M36,予測!$N36)*INDEX(集計!D$64:D$71,MATCH($B32,集計!$A$64:$A$71,0)))</f>
        <v/>
      </c>
      <c r="H32" s="29" t="str">
        <f aca="false">IF($A32="","",IF(集計!E$52&lt;設定!$B$10,予測!$M36,予測!$N36)*INDEX(集計!E$64:E$71,MATCH($B32,集計!$A$64:$A$71,0)))</f>
        <v/>
      </c>
      <c r="I32" s="29" t="str">
        <f aca="false">IF($A32="","",IF(集計!F$52&lt;設定!$B$10,予測!$M36,予測!$N36)*INDEX(集計!F$64:F$71,MATCH($B32,集計!$A$64:$A$71,0)))</f>
        <v/>
      </c>
      <c r="J32" s="29" t="str">
        <f aca="false">IF($A32="","",IF(集計!G$52&lt;設定!$B$10,予測!$M36,予測!$N36)*INDEX(集計!G$64:G$71,MATCH($B32,集計!$A$64:$A$71,0)))</f>
        <v/>
      </c>
      <c r="K32" s="29" t="str">
        <f aca="false">IF($A32="","",IF(集計!H$52&lt;設定!$B$10,予測!$M36,予測!$N36)*INDEX(集計!H$64:H$71,MATCH($B32,集計!$A$64:$A$71,0)))</f>
        <v/>
      </c>
      <c r="L32" s="29" t="str">
        <f aca="false">IF($A32="","",IF(集計!I$52&lt;設定!$B$10,予測!$M36,予測!$N36)*INDEX(集計!I$64:I$71,MATCH($B32,集計!$A$64:$A$71,0)))</f>
        <v/>
      </c>
      <c r="M32" s="29" t="str">
        <f aca="false">IF($A32="","",IF(集計!J$52&lt;設定!$B$10,予測!$M36,予測!$N36)*INDEX(集計!J$64:J$71,MATCH($B32,集計!$A$64:$A$71,0)))</f>
        <v/>
      </c>
      <c r="N32" s="29" t="str">
        <f aca="false">IF($A32="","",IF(集計!K$52&lt;設定!$B$10,予測!$M36,予測!$N36)*INDEX(集計!K$64:K$71,MATCH($B32,集計!$A$64:$A$71,0)))</f>
        <v/>
      </c>
      <c r="O32" s="29" t="str">
        <f aca="false">IF($A32="","",IF(集計!L$52&lt;設定!$B$10,予測!$M36,予測!$N36)*INDEX(集計!L$64:L$71,MATCH($B32,集計!$A$64:$A$71,0)))</f>
        <v/>
      </c>
      <c r="P32" s="29" t="str">
        <f aca="false">IF($A32="","",IF(集計!M$52&lt;設定!$B$10,予測!$M36,予測!$N36)*INDEX(集計!M$64:M$71,MATCH($B32,集計!$A$64:$A$71,0)))</f>
        <v/>
      </c>
      <c r="Q32" s="29" t="str">
        <f aca="false">IF($A32="","",IF(集計!N$52&lt;設定!$B$10,予測!$M36,予測!$N36)*INDEX(集計!N$64:N$71,MATCH($B32,集計!$A$64:$A$71,0)))</f>
        <v/>
      </c>
    </row>
    <row r="33" customFormat="false" ht="15" hidden="false" customHeight="false" outlineLevel="0" collapsed="false">
      <c r="A33" s="16" t="str">
        <f aca="false">予測!A37</f>
        <v/>
      </c>
      <c r="B33" s="13" t="str">
        <f aca="false">予測!C37</f>
        <v/>
      </c>
      <c r="C33" s="28" t="str">
        <f aca="false">予測!E37</f>
        <v/>
      </c>
      <c r="D33" s="21" t="str">
        <f aca="false">予測!O37</f>
        <v/>
      </c>
      <c r="E33" s="29" t="str">
        <f aca="false">IF($A33="","",IF(集計!B$52&lt;設定!$B$10,予測!$M37,予測!$N37)*INDEX(集計!B$64:B$71,MATCH($B33,集計!$A$64:$A$71,0)))</f>
        <v/>
      </c>
      <c r="F33" s="29" t="str">
        <f aca="false">IF($A33="","",IF(集計!C$52&lt;設定!$B$10,予測!$M37,予測!$N37)*INDEX(集計!C$64:C$71,MATCH($B33,集計!$A$64:$A$71,0)))</f>
        <v/>
      </c>
      <c r="G33" s="29" t="str">
        <f aca="false">IF($A33="","",IF(集計!D$52&lt;設定!$B$10,予測!$M37,予測!$N37)*INDEX(集計!D$64:D$71,MATCH($B33,集計!$A$64:$A$71,0)))</f>
        <v/>
      </c>
      <c r="H33" s="29" t="str">
        <f aca="false">IF($A33="","",IF(集計!E$52&lt;設定!$B$10,予測!$M37,予測!$N37)*INDEX(集計!E$64:E$71,MATCH($B33,集計!$A$64:$A$71,0)))</f>
        <v/>
      </c>
      <c r="I33" s="29" t="str">
        <f aca="false">IF($A33="","",IF(集計!F$52&lt;設定!$B$10,予測!$M37,予測!$N37)*INDEX(集計!F$64:F$71,MATCH($B33,集計!$A$64:$A$71,0)))</f>
        <v/>
      </c>
      <c r="J33" s="29" t="str">
        <f aca="false">IF($A33="","",IF(集計!G$52&lt;設定!$B$10,予測!$M37,予測!$N37)*INDEX(集計!G$64:G$71,MATCH($B33,集計!$A$64:$A$71,0)))</f>
        <v/>
      </c>
      <c r="K33" s="29" t="str">
        <f aca="false">IF($A33="","",IF(集計!H$52&lt;設定!$B$10,予測!$M37,予測!$N37)*INDEX(集計!H$64:H$71,MATCH($B33,集計!$A$64:$A$71,0)))</f>
        <v/>
      </c>
      <c r="L33" s="29" t="str">
        <f aca="false">IF($A33="","",IF(集計!I$52&lt;設定!$B$10,予測!$M37,予測!$N37)*INDEX(集計!I$64:I$71,MATCH($B33,集計!$A$64:$A$71,0)))</f>
        <v/>
      </c>
      <c r="M33" s="29" t="str">
        <f aca="false">IF($A33="","",IF(集計!J$52&lt;設定!$B$10,予測!$M37,予測!$N37)*INDEX(集計!J$64:J$71,MATCH($B33,集計!$A$64:$A$71,0)))</f>
        <v/>
      </c>
      <c r="N33" s="29" t="str">
        <f aca="false">IF($A33="","",IF(集計!K$52&lt;設定!$B$10,予測!$M37,予測!$N37)*INDEX(集計!K$64:K$71,MATCH($B33,集計!$A$64:$A$71,0)))</f>
        <v/>
      </c>
      <c r="O33" s="29" t="str">
        <f aca="false">IF($A33="","",IF(集計!L$52&lt;設定!$B$10,予測!$M37,予測!$N37)*INDEX(集計!L$64:L$71,MATCH($B33,集計!$A$64:$A$71,0)))</f>
        <v/>
      </c>
      <c r="P33" s="29" t="str">
        <f aca="false">IF($A33="","",IF(集計!M$52&lt;設定!$B$10,予測!$M37,予測!$N37)*INDEX(集計!M$64:M$71,MATCH($B33,集計!$A$64:$A$71,0)))</f>
        <v/>
      </c>
      <c r="Q33" s="29" t="str">
        <f aca="false">IF($A33="","",IF(集計!N$52&lt;設定!$B$10,予測!$M37,予測!$N37)*INDEX(集計!N$64:N$71,MATCH($B33,集計!$A$64:$A$71,0)))</f>
        <v/>
      </c>
    </row>
    <row r="34" customFormat="false" ht="15" hidden="false" customHeight="false" outlineLevel="0" collapsed="false">
      <c r="A34" s="16" t="str">
        <f aca="false">予測!A38</f>
        <v/>
      </c>
      <c r="B34" s="13" t="str">
        <f aca="false">予測!C38</f>
        <v/>
      </c>
      <c r="C34" s="28" t="str">
        <f aca="false">予測!E38</f>
        <v/>
      </c>
      <c r="D34" s="21" t="str">
        <f aca="false">予測!O38</f>
        <v/>
      </c>
      <c r="E34" s="29" t="str">
        <f aca="false">IF($A34="","",IF(集計!B$52&lt;設定!$B$10,予測!$M38,予測!$N38)*INDEX(集計!B$64:B$71,MATCH($B34,集計!$A$64:$A$71,0)))</f>
        <v/>
      </c>
      <c r="F34" s="29" t="str">
        <f aca="false">IF($A34="","",IF(集計!C$52&lt;設定!$B$10,予測!$M38,予測!$N38)*INDEX(集計!C$64:C$71,MATCH($B34,集計!$A$64:$A$71,0)))</f>
        <v/>
      </c>
      <c r="G34" s="29" t="str">
        <f aca="false">IF($A34="","",IF(集計!D$52&lt;設定!$B$10,予測!$M38,予測!$N38)*INDEX(集計!D$64:D$71,MATCH($B34,集計!$A$64:$A$71,0)))</f>
        <v/>
      </c>
      <c r="H34" s="29" t="str">
        <f aca="false">IF($A34="","",IF(集計!E$52&lt;設定!$B$10,予測!$M38,予測!$N38)*INDEX(集計!E$64:E$71,MATCH($B34,集計!$A$64:$A$71,0)))</f>
        <v/>
      </c>
      <c r="I34" s="29" t="str">
        <f aca="false">IF($A34="","",IF(集計!F$52&lt;設定!$B$10,予測!$M38,予測!$N38)*INDEX(集計!F$64:F$71,MATCH($B34,集計!$A$64:$A$71,0)))</f>
        <v/>
      </c>
      <c r="J34" s="29" t="str">
        <f aca="false">IF($A34="","",IF(集計!G$52&lt;設定!$B$10,予測!$M38,予測!$N38)*INDEX(集計!G$64:G$71,MATCH($B34,集計!$A$64:$A$71,0)))</f>
        <v/>
      </c>
      <c r="K34" s="29" t="str">
        <f aca="false">IF($A34="","",IF(集計!H$52&lt;設定!$B$10,予測!$M38,予測!$N38)*INDEX(集計!H$64:H$71,MATCH($B34,集計!$A$64:$A$71,0)))</f>
        <v/>
      </c>
      <c r="L34" s="29" t="str">
        <f aca="false">IF($A34="","",IF(集計!I$52&lt;設定!$B$10,予測!$M38,予測!$N38)*INDEX(集計!I$64:I$71,MATCH($B34,集計!$A$64:$A$71,0)))</f>
        <v/>
      </c>
      <c r="M34" s="29" t="str">
        <f aca="false">IF($A34="","",IF(集計!J$52&lt;設定!$B$10,予測!$M38,予測!$N38)*INDEX(集計!J$64:J$71,MATCH($B34,集計!$A$64:$A$71,0)))</f>
        <v/>
      </c>
      <c r="N34" s="29" t="str">
        <f aca="false">IF($A34="","",IF(集計!K$52&lt;設定!$B$10,予測!$M38,予測!$N38)*INDEX(集計!K$64:K$71,MATCH($B34,集計!$A$64:$A$71,0)))</f>
        <v/>
      </c>
      <c r="O34" s="29" t="str">
        <f aca="false">IF($A34="","",IF(集計!L$52&lt;設定!$B$10,予測!$M38,予測!$N38)*INDEX(集計!L$64:L$71,MATCH($B34,集計!$A$64:$A$71,0)))</f>
        <v/>
      </c>
      <c r="P34" s="29" t="str">
        <f aca="false">IF($A34="","",IF(集計!M$52&lt;設定!$B$10,予測!$M38,予測!$N38)*INDEX(集計!M$64:M$71,MATCH($B34,集計!$A$64:$A$71,0)))</f>
        <v/>
      </c>
      <c r="Q34" s="29" t="str">
        <f aca="false">IF($A34="","",IF(集計!N$52&lt;設定!$B$10,予測!$M38,予測!$N38)*INDEX(集計!N$64:N$71,MATCH($B34,集計!$A$64:$A$71,0)))</f>
        <v/>
      </c>
    </row>
    <row r="35" customFormat="false" ht="15" hidden="false" customHeight="false" outlineLevel="0" collapsed="false">
      <c r="A35" s="16" t="str">
        <f aca="false">予測!A39</f>
        <v/>
      </c>
      <c r="B35" s="13" t="str">
        <f aca="false">予測!C39</f>
        <v/>
      </c>
      <c r="C35" s="28" t="str">
        <f aca="false">予測!E39</f>
        <v/>
      </c>
      <c r="D35" s="21" t="str">
        <f aca="false">予測!O39</f>
        <v/>
      </c>
      <c r="E35" s="29" t="str">
        <f aca="false">IF($A35="","",IF(集計!B$52&lt;設定!$B$10,予測!$M39,予測!$N39)*INDEX(集計!B$64:B$71,MATCH($B35,集計!$A$64:$A$71,0)))</f>
        <v/>
      </c>
      <c r="F35" s="29" t="str">
        <f aca="false">IF($A35="","",IF(集計!C$52&lt;設定!$B$10,予測!$M39,予測!$N39)*INDEX(集計!C$64:C$71,MATCH($B35,集計!$A$64:$A$71,0)))</f>
        <v/>
      </c>
      <c r="G35" s="29" t="str">
        <f aca="false">IF($A35="","",IF(集計!D$52&lt;設定!$B$10,予測!$M39,予測!$N39)*INDEX(集計!D$64:D$71,MATCH($B35,集計!$A$64:$A$71,0)))</f>
        <v/>
      </c>
      <c r="H35" s="29" t="str">
        <f aca="false">IF($A35="","",IF(集計!E$52&lt;設定!$B$10,予測!$M39,予測!$N39)*INDEX(集計!E$64:E$71,MATCH($B35,集計!$A$64:$A$71,0)))</f>
        <v/>
      </c>
      <c r="I35" s="29" t="str">
        <f aca="false">IF($A35="","",IF(集計!F$52&lt;設定!$B$10,予測!$M39,予測!$N39)*INDEX(集計!F$64:F$71,MATCH($B35,集計!$A$64:$A$71,0)))</f>
        <v/>
      </c>
      <c r="J35" s="29" t="str">
        <f aca="false">IF($A35="","",IF(集計!G$52&lt;設定!$B$10,予測!$M39,予測!$N39)*INDEX(集計!G$64:G$71,MATCH($B35,集計!$A$64:$A$71,0)))</f>
        <v/>
      </c>
      <c r="K35" s="29" t="str">
        <f aca="false">IF($A35="","",IF(集計!H$52&lt;設定!$B$10,予測!$M39,予測!$N39)*INDEX(集計!H$64:H$71,MATCH($B35,集計!$A$64:$A$71,0)))</f>
        <v/>
      </c>
      <c r="L35" s="29" t="str">
        <f aca="false">IF($A35="","",IF(集計!I$52&lt;設定!$B$10,予測!$M39,予測!$N39)*INDEX(集計!I$64:I$71,MATCH($B35,集計!$A$64:$A$71,0)))</f>
        <v/>
      </c>
      <c r="M35" s="29" t="str">
        <f aca="false">IF($A35="","",IF(集計!J$52&lt;設定!$B$10,予測!$M39,予測!$N39)*INDEX(集計!J$64:J$71,MATCH($B35,集計!$A$64:$A$71,0)))</f>
        <v/>
      </c>
      <c r="N35" s="29" t="str">
        <f aca="false">IF($A35="","",IF(集計!K$52&lt;設定!$B$10,予測!$M39,予測!$N39)*INDEX(集計!K$64:K$71,MATCH($B35,集計!$A$64:$A$71,0)))</f>
        <v/>
      </c>
      <c r="O35" s="29" t="str">
        <f aca="false">IF($A35="","",IF(集計!L$52&lt;設定!$B$10,予測!$M39,予測!$N39)*INDEX(集計!L$64:L$71,MATCH($B35,集計!$A$64:$A$71,0)))</f>
        <v/>
      </c>
      <c r="P35" s="29" t="str">
        <f aca="false">IF($A35="","",IF(集計!M$52&lt;設定!$B$10,予測!$M39,予測!$N39)*INDEX(集計!M$64:M$71,MATCH($B35,集計!$A$64:$A$71,0)))</f>
        <v/>
      </c>
      <c r="Q35" s="29" t="str">
        <f aca="false">IF($A35="","",IF(集計!N$52&lt;設定!$B$10,予測!$M39,予測!$N39)*INDEX(集計!N$64:N$71,MATCH($B35,集計!$A$64:$A$71,0)))</f>
        <v/>
      </c>
    </row>
  </sheetData>
  <conditionalFormatting sqref="E5:Q35">
    <cfRule type="colorScale" priority="2">
      <colorScale>
        <cfvo type="num" val="0"/>
        <cfvo type="max" val="0"/>
        <color rgb="FFFFFFFF"/>
        <color rgb="FFF4B183"/>
      </colorScale>
    </cfRule>
  </conditionalFormatting>
  <conditionalFormatting sqref="A5:B35">
    <cfRule type="expression" priority="3" aboveAverage="0" equalAverage="0" bottom="0" percent="0" rank="0" text="" dxfId="0">
      <formula>$B5="土"</formula>
    </cfRule>
    <cfRule type="expression" priority="4" aboveAverage="0" equalAverage="0" bottom="0" percent="0" rank="0" text="" dxfId="1">
      <formula>OR($B5="日",$B5="祝")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V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5" min="4" style="0" width="5"/>
    <col collapsed="false" customWidth="true" hidden="false" outlineLevel="0" max="13" min="6" style="0" width="7"/>
    <col collapsed="false" customWidth="true" hidden="false" outlineLevel="0" max="15" min="14" style="0" width="11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7"/>
    <col collapsed="false" customWidth="true" hidden="false" outlineLevel="0" max="19" min="19" style="0" width="12"/>
    <col collapsed="false" customWidth="true" hidden="false" outlineLevel="0" max="20" min="20" style="0" width="8"/>
    <col collapsed="false" customWidth="true" hidden="false" outlineLevel="0" max="22" min="22" style="0" width="70"/>
  </cols>
  <sheetData>
    <row r="1" customFormat="false" ht="17.35" hidden="false" customHeight="false" outlineLevel="0" collapsed="false">
      <c r="A1" s="5" t="str">
        <f aca="false">IF(設定!$B$7="","売上予測 貼り付け用",TEXT(設定!$B$7,"yyyy年m月")&amp;"　売上予測 貼り付け用")</f>
        <v>売上予測 貼り付け用</v>
      </c>
    </row>
    <row r="2" customFormat="false" ht="15" hidden="false" customHeight="false" outlineLevel="0" collapsed="false">
      <c r="A2" s="30" t="s">
        <v>67</v>
      </c>
      <c r="B2" s="30" t="s">
        <v>68</v>
      </c>
      <c r="C2" s="30"/>
      <c r="D2" s="30" t="s">
        <v>67</v>
      </c>
      <c r="E2" s="30" t="s">
        <v>69</v>
      </c>
      <c r="F2" s="31" t="s">
        <v>70</v>
      </c>
      <c r="G2" s="31"/>
      <c r="H2" s="31"/>
      <c r="I2" s="31"/>
      <c r="J2" s="31" t="s">
        <v>71</v>
      </c>
      <c r="K2" s="31"/>
      <c r="L2" s="31"/>
      <c r="M2" s="31"/>
      <c r="N2" s="30" t="s">
        <v>72</v>
      </c>
      <c r="O2" s="30"/>
      <c r="P2" s="30"/>
      <c r="Q2" s="30"/>
      <c r="R2" s="30" t="s">
        <v>73</v>
      </c>
      <c r="S2" s="30" t="s">
        <v>74</v>
      </c>
      <c r="T2" s="30" t="s">
        <v>70</v>
      </c>
      <c r="V2" s="32" t="s">
        <v>75</v>
      </c>
    </row>
    <row r="3" customFormat="false" ht="15" hidden="false" customHeight="false" outlineLevel="0" collapsed="false">
      <c r="A3" s="30"/>
      <c r="B3" s="30" t="s">
        <v>73</v>
      </c>
      <c r="C3" s="30" t="s">
        <v>74</v>
      </c>
      <c r="D3" s="30"/>
      <c r="E3" s="30"/>
      <c r="F3" s="31" t="s">
        <v>76</v>
      </c>
      <c r="G3" s="31" t="s">
        <v>77</v>
      </c>
      <c r="H3" s="31" t="s">
        <v>78</v>
      </c>
      <c r="I3" s="31" t="s">
        <v>79</v>
      </c>
      <c r="J3" s="31" t="s">
        <v>76</v>
      </c>
      <c r="K3" s="31" t="s">
        <v>77</v>
      </c>
      <c r="L3" s="31" t="s">
        <v>78</v>
      </c>
      <c r="M3" s="31" t="s">
        <v>79</v>
      </c>
      <c r="N3" s="30" t="s">
        <v>76</v>
      </c>
      <c r="O3" s="30" t="s">
        <v>77</v>
      </c>
      <c r="P3" s="30" t="s">
        <v>78</v>
      </c>
      <c r="Q3" s="30" t="s">
        <v>79</v>
      </c>
      <c r="R3" s="30"/>
      <c r="S3" s="30"/>
      <c r="T3" s="30"/>
      <c r="V3" s="6" t="s">
        <v>80</v>
      </c>
    </row>
    <row r="4" customFormat="false" ht="15" hidden="false" customHeight="false" outlineLevel="0" collapsed="false">
      <c r="A4" s="33" t="str">
        <f aca="false">IF(予測!$A$9="","",IF(COUNTIF(前年当月データ!$A:$A,予測!$A$9-364)&gt;0,DAY(予測!$A$9-364),""))</f>
        <v/>
      </c>
      <c r="B4" s="17" t="str">
        <f aca="false">IF(A4="","",SUMIFS(前年当月データ!$Q:$Q,前年当月データ!$A:$A,予測!$A$9-364))</f>
        <v/>
      </c>
      <c r="C4" s="17" t="str">
        <f aca="false">IF(A4="","",SUMIFS(前年当月データ!$L:$L,前年当月データ!$A:$A,予測!$A$9-364))</f>
        <v/>
      </c>
      <c r="D4" s="33" t="str">
        <f aca="false">IF(予測!$A$9="","",DAY(予測!$A$9))</f>
        <v/>
      </c>
      <c r="E4" s="33" t="str">
        <f aca="false">IF(予測!$A$9="","",CHOOSE(WEEKDAY(予測!$A$9,2),"月","火","水","木","金","土","日"))</f>
        <v/>
      </c>
      <c r="F4" s="34" t="n">
        <f aca="false">IF(OR(予測!$A$9="",J4=0),0,ROUND(INDEX(集計!$D$77:$D$84,MATCH(予測!$C$9,集計!$A$77:$A$84,0))*設定!$B$26*設定!$B$24,-1))</f>
        <v>0</v>
      </c>
      <c r="G4" s="34" t="n">
        <f aca="false">IF(OR(予測!$A$9="",K4=0),0,ROUND(INDEX(集計!$G$77:$G$84,MATCH(予測!$C$9,集計!$A$77:$A$84,0))*設定!$B$26*設定!$B$24,-1))</f>
        <v>0</v>
      </c>
      <c r="H4" s="34" t="n">
        <f aca="false">IF(OR(予測!$A$9="",L4=0),0,ROUND(INDEX(集計!$J$77:$J$84,MATCH(予測!$C$9,集計!$A$77:$A$84,0))*設定!$B$26*設定!$B$24,-1))</f>
        <v>0</v>
      </c>
      <c r="I4" s="34" t="n">
        <f aca="false">IF(OR(予測!$A$9="",M4=0),0,ROUND(INDEX(集計!$M$77:$M$84,MATCH(予測!$C$9,集計!$A$77:$A$84,0))*設定!$B$26*設定!$B$24,-1))</f>
        <v>0</v>
      </c>
      <c r="J4" s="34" t="n">
        <f aca="false">IF(予測!$A$9="",0,ROUND(SUMIF(時間帯別予測!$E$3:$Q$3,"ランチ",時間帯別予測!$E$5:$Q$5),0))</f>
        <v>0</v>
      </c>
      <c r="K4" s="34" t="n">
        <f aca="false">IF(予測!$A$9="",0,ROUND(SUMIF(時間帯別予測!$E$3:$Q$3,"アイドル",時間帯別予測!$E$5:$Q$5),0))</f>
        <v>0</v>
      </c>
      <c r="L4" s="34" t="n">
        <f aca="false">IF(予測!$A$9="",0,MAX(0,予測!$O$9-J4-K4-M4))</f>
        <v>0</v>
      </c>
      <c r="M4" s="34" t="n">
        <f aca="false">IF(予測!$A$9="",0,ROUND(SUMIF(時間帯別予測!$E$3:$Q$3,"ナイト",時間帯別予測!$E$5:$Q$5),0))</f>
        <v>0</v>
      </c>
      <c r="N4" s="17" t="n">
        <f aca="false">F4*J4</f>
        <v>0</v>
      </c>
      <c r="O4" s="17" t="n">
        <f aca="false">G4*K4</f>
        <v>0</v>
      </c>
      <c r="P4" s="17" t="n">
        <f aca="false">H4*L4</f>
        <v>0</v>
      </c>
      <c r="Q4" s="17" t="n">
        <f aca="false">I4*M4</f>
        <v>0</v>
      </c>
      <c r="R4" s="21" t="n">
        <f aca="false">SUM(J4:M4)</f>
        <v>0</v>
      </c>
      <c r="S4" s="21" t="n">
        <f aca="false">SUM(N4:Q4)</f>
        <v>0</v>
      </c>
      <c r="T4" s="17" t="str">
        <f aca="false">IFERROR(S4/R4,"")</f>
        <v/>
      </c>
      <c r="V4" s="6" t="s">
        <v>81</v>
      </c>
    </row>
    <row r="5" customFormat="false" ht="15" hidden="false" customHeight="false" outlineLevel="0" collapsed="false">
      <c r="A5" s="33" t="str">
        <f aca="false">IF(予測!$A$10="","",IF(COUNTIF(前年当月データ!$A:$A,予測!$A$10-364)&gt;0,DAY(予測!$A$10-364),""))</f>
        <v/>
      </c>
      <c r="B5" s="17" t="str">
        <f aca="false">IF(A5="","",SUMIFS(前年当月データ!$Q:$Q,前年当月データ!$A:$A,予測!$A$10-364))</f>
        <v/>
      </c>
      <c r="C5" s="17" t="str">
        <f aca="false">IF(A5="","",SUMIFS(前年当月データ!$L:$L,前年当月データ!$A:$A,予測!$A$10-364))</f>
        <v/>
      </c>
      <c r="D5" s="33" t="str">
        <f aca="false">IF(予測!$A$10="","",DAY(予測!$A$10))</f>
        <v/>
      </c>
      <c r="E5" s="33" t="str">
        <f aca="false">IF(予測!$A$10="","",CHOOSE(WEEKDAY(予測!$A$10,2),"月","火","水","木","金","土","日"))</f>
        <v/>
      </c>
      <c r="F5" s="34" t="n">
        <f aca="false">IF(OR(予測!$A$10="",J5=0),0,ROUND(INDEX(集計!$D$77:$D$84,MATCH(予測!$C$10,集計!$A$77:$A$84,0))*設定!$B$26*設定!$B$24,-1))</f>
        <v>0</v>
      </c>
      <c r="G5" s="34" t="n">
        <f aca="false">IF(OR(予測!$A$10="",K5=0),0,ROUND(INDEX(集計!$G$77:$G$84,MATCH(予測!$C$10,集計!$A$77:$A$84,0))*設定!$B$26*設定!$B$24,-1))</f>
        <v>0</v>
      </c>
      <c r="H5" s="34" t="n">
        <f aca="false">IF(OR(予測!$A$10="",L5=0),0,ROUND(INDEX(集計!$J$77:$J$84,MATCH(予測!$C$10,集計!$A$77:$A$84,0))*設定!$B$26*設定!$B$24,-1))</f>
        <v>0</v>
      </c>
      <c r="I5" s="34" t="n">
        <f aca="false">IF(OR(予測!$A$10="",M5=0),0,ROUND(INDEX(集計!$M$77:$M$84,MATCH(予測!$C$10,集計!$A$77:$A$84,0))*設定!$B$26*設定!$B$24,-1))</f>
        <v>0</v>
      </c>
      <c r="J5" s="34" t="n">
        <f aca="false">IF(予測!$A$10="",0,ROUND(SUMIF(時間帯別予測!$E$3:$Q$3,"ランチ",時間帯別予測!$E$6:$Q$6),0))</f>
        <v>0</v>
      </c>
      <c r="K5" s="34" t="n">
        <f aca="false">IF(予測!$A$10="",0,ROUND(SUMIF(時間帯別予測!$E$3:$Q$3,"アイドル",時間帯別予測!$E$6:$Q$6),0))</f>
        <v>0</v>
      </c>
      <c r="L5" s="34" t="n">
        <f aca="false">IF(予測!$A$10="",0,MAX(0,予測!$O$10-J5-K5-M5))</f>
        <v>0</v>
      </c>
      <c r="M5" s="34" t="n">
        <f aca="false">IF(予測!$A$10="",0,ROUND(SUMIF(時間帯別予測!$E$3:$Q$3,"ナイト",時間帯別予測!$E$6:$Q$6),0))</f>
        <v>0</v>
      </c>
      <c r="N5" s="17" t="n">
        <f aca="false">F5*J5</f>
        <v>0</v>
      </c>
      <c r="O5" s="17" t="n">
        <f aca="false">G5*K5</f>
        <v>0</v>
      </c>
      <c r="P5" s="17" t="n">
        <f aca="false">H5*L5</f>
        <v>0</v>
      </c>
      <c r="Q5" s="17" t="n">
        <f aca="false">I5*M5</f>
        <v>0</v>
      </c>
      <c r="R5" s="21" t="n">
        <f aca="false">SUM(J5:M5)</f>
        <v>0</v>
      </c>
      <c r="S5" s="21" t="n">
        <f aca="false">SUM(N5:Q5)</f>
        <v>0</v>
      </c>
      <c r="T5" s="17" t="str">
        <f aca="false">IFERROR(S5/R5,"")</f>
        <v/>
      </c>
      <c r="V5" s="6" t="s">
        <v>82</v>
      </c>
    </row>
    <row r="6" customFormat="false" ht="15" hidden="false" customHeight="false" outlineLevel="0" collapsed="false">
      <c r="A6" s="33" t="str">
        <f aca="false">IF(予測!$A$11="","",IF(COUNTIF(前年当月データ!$A:$A,予測!$A$11-364)&gt;0,DAY(予測!$A$11-364),""))</f>
        <v/>
      </c>
      <c r="B6" s="17" t="str">
        <f aca="false">IF(A6="","",SUMIFS(前年当月データ!$Q:$Q,前年当月データ!$A:$A,予測!$A$11-364))</f>
        <v/>
      </c>
      <c r="C6" s="17" t="str">
        <f aca="false">IF(A6="","",SUMIFS(前年当月データ!$L:$L,前年当月データ!$A:$A,予測!$A$11-364))</f>
        <v/>
      </c>
      <c r="D6" s="33" t="str">
        <f aca="false">IF(予測!$A$11="","",DAY(予測!$A$11))</f>
        <v/>
      </c>
      <c r="E6" s="33" t="str">
        <f aca="false">IF(予測!$A$11="","",CHOOSE(WEEKDAY(予測!$A$11,2),"月","火","水","木","金","土","日"))</f>
        <v/>
      </c>
      <c r="F6" s="34" t="n">
        <f aca="false">IF(OR(予測!$A$11="",J6=0),0,ROUND(INDEX(集計!$D$77:$D$84,MATCH(予測!$C$11,集計!$A$77:$A$84,0))*設定!$B$26*設定!$B$24,-1))</f>
        <v>0</v>
      </c>
      <c r="G6" s="34" t="n">
        <f aca="false">IF(OR(予測!$A$11="",K6=0),0,ROUND(INDEX(集計!$G$77:$G$84,MATCH(予測!$C$11,集計!$A$77:$A$84,0))*設定!$B$26*設定!$B$24,-1))</f>
        <v>0</v>
      </c>
      <c r="H6" s="34" t="n">
        <f aca="false">IF(OR(予測!$A$11="",L6=0),0,ROUND(INDEX(集計!$J$77:$J$84,MATCH(予測!$C$11,集計!$A$77:$A$84,0))*設定!$B$26*設定!$B$24,-1))</f>
        <v>0</v>
      </c>
      <c r="I6" s="34" t="n">
        <f aca="false">IF(OR(予測!$A$11="",M6=0),0,ROUND(INDEX(集計!$M$77:$M$84,MATCH(予測!$C$11,集計!$A$77:$A$84,0))*設定!$B$26*設定!$B$24,-1))</f>
        <v>0</v>
      </c>
      <c r="J6" s="34" t="n">
        <f aca="false">IF(予測!$A$11="",0,ROUND(SUMIF(時間帯別予測!$E$3:$Q$3,"ランチ",時間帯別予測!$E$7:$Q$7),0))</f>
        <v>0</v>
      </c>
      <c r="K6" s="34" t="n">
        <f aca="false">IF(予測!$A$11="",0,ROUND(SUMIF(時間帯別予測!$E$3:$Q$3,"アイドル",時間帯別予測!$E$7:$Q$7),0))</f>
        <v>0</v>
      </c>
      <c r="L6" s="34" t="n">
        <f aca="false">IF(予測!$A$11="",0,MAX(0,予測!$O$11-J6-K6-M6))</f>
        <v>0</v>
      </c>
      <c r="M6" s="34" t="n">
        <f aca="false">IF(予測!$A$11="",0,ROUND(SUMIF(時間帯別予測!$E$3:$Q$3,"ナイト",時間帯別予測!$E$7:$Q$7),0))</f>
        <v>0</v>
      </c>
      <c r="N6" s="17" t="n">
        <f aca="false">F6*J6</f>
        <v>0</v>
      </c>
      <c r="O6" s="17" t="n">
        <f aca="false">G6*K6</f>
        <v>0</v>
      </c>
      <c r="P6" s="17" t="n">
        <f aca="false">H6*L6</f>
        <v>0</v>
      </c>
      <c r="Q6" s="17" t="n">
        <f aca="false">I6*M6</f>
        <v>0</v>
      </c>
      <c r="R6" s="21" t="n">
        <f aca="false">SUM(J6:M6)</f>
        <v>0</v>
      </c>
      <c r="S6" s="21" t="n">
        <f aca="false">SUM(N6:Q6)</f>
        <v>0</v>
      </c>
      <c r="T6" s="17" t="str">
        <f aca="false">IFERROR(S6/R6,"")</f>
        <v/>
      </c>
      <c r="V6" s="6"/>
    </row>
    <row r="7" customFormat="false" ht="15" hidden="false" customHeight="false" outlineLevel="0" collapsed="false">
      <c r="A7" s="33" t="str">
        <f aca="false">IF(予測!$A$12="","",IF(COUNTIF(前年当月データ!$A:$A,予測!$A$12-364)&gt;0,DAY(予測!$A$12-364),""))</f>
        <v/>
      </c>
      <c r="B7" s="17" t="str">
        <f aca="false">IF(A7="","",SUMIFS(前年当月データ!$Q:$Q,前年当月データ!$A:$A,予測!$A$12-364))</f>
        <v/>
      </c>
      <c r="C7" s="17" t="str">
        <f aca="false">IF(A7="","",SUMIFS(前年当月データ!$L:$L,前年当月データ!$A:$A,予測!$A$12-364))</f>
        <v/>
      </c>
      <c r="D7" s="33" t="str">
        <f aca="false">IF(予測!$A$12="","",DAY(予測!$A$12))</f>
        <v/>
      </c>
      <c r="E7" s="33" t="str">
        <f aca="false">IF(予測!$A$12="","",CHOOSE(WEEKDAY(予測!$A$12,2),"月","火","水","木","金","土","日"))</f>
        <v/>
      </c>
      <c r="F7" s="34" t="n">
        <f aca="false">IF(OR(予測!$A$12="",J7=0),0,ROUND(INDEX(集計!$D$77:$D$84,MATCH(予測!$C$12,集計!$A$77:$A$84,0))*設定!$B$26*設定!$B$24,-1))</f>
        <v>0</v>
      </c>
      <c r="G7" s="34" t="n">
        <f aca="false">IF(OR(予測!$A$12="",K7=0),0,ROUND(INDEX(集計!$G$77:$G$84,MATCH(予測!$C$12,集計!$A$77:$A$84,0))*設定!$B$26*設定!$B$24,-1))</f>
        <v>0</v>
      </c>
      <c r="H7" s="34" t="n">
        <f aca="false">IF(OR(予測!$A$12="",L7=0),0,ROUND(INDEX(集計!$J$77:$J$84,MATCH(予測!$C$12,集計!$A$77:$A$84,0))*設定!$B$26*設定!$B$24,-1))</f>
        <v>0</v>
      </c>
      <c r="I7" s="34" t="n">
        <f aca="false">IF(OR(予測!$A$12="",M7=0),0,ROUND(INDEX(集計!$M$77:$M$84,MATCH(予測!$C$12,集計!$A$77:$A$84,0))*設定!$B$26*設定!$B$24,-1))</f>
        <v>0</v>
      </c>
      <c r="J7" s="34" t="n">
        <f aca="false">IF(予測!$A$12="",0,ROUND(SUMIF(時間帯別予測!$E$3:$Q$3,"ランチ",時間帯別予測!$E$8:$Q$8),0))</f>
        <v>0</v>
      </c>
      <c r="K7" s="34" t="n">
        <f aca="false">IF(予測!$A$12="",0,ROUND(SUMIF(時間帯別予測!$E$3:$Q$3,"アイドル",時間帯別予測!$E$8:$Q$8),0))</f>
        <v>0</v>
      </c>
      <c r="L7" s="34" t="n">
        <f aca="false">IF(予測!$A$12="",0,MAX(0,予測!$O$12-J7-K7-M7))</f>
        <v>0</v>
      </c>
      <c r="M7" s="34" t="n">
        <f aca="false">IF(予測!$A$12="",0,ROUND(SUMIF(時間帯別予測!$E$3:$Q$3,"ナイト",時間帯別予測!$E$8:$Q$8),0))</f>
        <v>0</v>
      </c>
      <c r="N7" s="17" t="n">
        <f aca="false">F7*J7</f>
        <v>0</v>
      </c>
      <c r="O7" s="17" t="n">
        <f aca="false">G7*K7</f>
        <v>0</v>
      </c>
      <c r="P7" s="17" t="n">
        <f aca="false">H7*L7</f>
        <v>0</v>
      </c>
      <c r="Q7" s="17" t="n">
        <f aca="false">I7*M7</f>
        <v>0</v>
      </c>
      <c r="R7" s="21" t="n">
        <f aca="false">SUM(J7:M7)</f>
        <v>0</v>
      </c>
      <c r="S7" s="21" t="n">
        <f aca="false">SUM(N7:Q7)</f>
        <v>0</v>
      </c>
      <c r="T7" s="17" t="str">
        <f aca="false">IFERROR(S7/R7,"")</f>
        <v/>
      </c>
      <c r="V7" s="6" t="s">
        <v>83</v>
      </c>
    </row>
    <row r="8" customFormat="false" ht="15" hidden="false" customHeight="false" outlineLevel="0" collapsed="false">
      <c r="A8" s="33" t="str">
        <f aca="false">IF(予測!$A$13="","",IF(COUNTIF(前年当月データ!$A:$A,予測!$A$13-364)&gt;0,DAY(予測!$A$13-364),""))</f>
        <v/>
      </c>
      <c r="B8" s="17" t="str">
        <f aca="false">IF(A8="","",SUMIFS(前年当月データ!$Q:$Q,前年当月データ!$A:$A,予測!$A$13-364))</f>
        <v/>
      </c>
      <c r="C8" s="17" t="str">
        <f aca="false">IF(A8="","",SUMIFS(前年当月データ!$L:$L,前年当月データ!$A:$A,予測!$A$13-364))</f>
        <v/>
      </c>
      <c r="D8" s="33" t="str">
        <f aca="false">IF(予測!$A$13="","",DAY(予測!$A$13))</f>
        <v/>
      </c>
      <c r="E8" s="33" t="str">
        <f aca="false">IF(予測!$A$13="","",CHOOSE(WEEKDAY(予測!$A$13,2),"月","火","水","木","金","土","日"))</f>
        <v/>
      </c>
      <c r="F8" s="34" t="n">
        <f aca="false">IF(OR(予測!$A$13="",J8=0),0,ROUND(INDEX(集計!$D$77:$D$84,MATCH(予測!$C$13,集計!$A$77:$A$84,0))*設定!$B$26*設定!$B$24,-1))</f>
        <v>0</v>
      </c>
      <c r="G8" s="34" t="n">
        <f aca="false">IF(OR(予測!$A$13="",K8=0),0,ROUND(INDEX(集計!$G$77:$G$84,MATCH(予測!$C$13,集計!$A$77:$A$84,0))*設定!$B$26*設定!$B$24,-1))</f>
        <v>0</v>
      </c>
      <c r="H8" s="34" t="n">
        <f aca="false">IF(OR(予測!$A$13="",L8=0),0,ROUND(INDEX(集計!$J$77:$J$84,MATCH(予測!$C$13,集計!$A$77:$A$84,0))*設定!$B$26*設定!$B$24,-1))</f>
        <v>0</v>
      </c>
      <c r="I8" s="34" t="n">
        <f aca="false">IF(OR(予測!$A$13="",M8=0),0,ROUND(INDEX(集計!$M$77:$M$84,MATCH(予測!$C$13,集計!$A$77:$A$84,0))*設定!$B$26*設定!$B$24,-1))</f>
        <v>0</v>
      </c>
      <c r="J8" s="34" t="n">
        <f aca="false">IF(予測!$A$13="",0,ROUND(SUMIF(時間帯別予測!$E$3:$Q$3,"ランチ",時間帯別予測!$E$9:$Q$9),0))</f>
        <v>0</v>
      </c>
      <c r="K8" s="34" t="n">
        <f aca="false">IF(予測!$A$13="",0,ROUND(SUMIF(時間帯別予測!$E$3:$Q$3,"アイドル",時間帯別予測!$E$9:$Q$9),0))</f>
        <v>0</v>
      </c>
      <c r="L8" s="34" t="n">
        <f aca="false">IF(予測!$A$13="",0,MAX(0,予測!$O$13-J8-K8-M8))</f>
        <v>0</v>
      </c>
      <c r="M8" s="34" t="n">
        <f aca="false">IF(予測!$A$13="",0,ROUND(SUMIF(時間帯別予測!$E$3:$Q$3,"ナイト",時間帯別予測!$E$9:$Q$9),0))</f>
        <v>0</v>
      </c>
      <c r="N8" s="17" t="n">
        <f aca="false">F8*J8</f>
        <v>0</v>
      </c>
      <c r="O8" s="17" t="n">
        <f aca="false">G8*K8</f>
        <v>0</v>
      </c>
      <c r="P8" s="17" t="n">
        <f aca="false">H8*L8</f>
        <v>0</v>
      </c>
      <c r="Q8" s="17" t="n">
        <f aca="false">I8*M8</f>
        <v>0</v>
      </c>
      <c r="R8" s="21" t="n">
        <f aca="false">SUM(J8:M8)</f>
        <v>0</v>
      </c>
      <c r="S8" s="21" t="n">
        <f aca="false">SUM(N8:Q8)</f>
        <v>0</v>
      </c>
      <c r="T8" s="17" t="str">
        <f aca="false">IFERROR(S8/R8,"")</f>
        <v/>
      </c>
      <c r="V8" s="6" t="s">
        <v>84</v>
      </c>
    </row>
    <row r="9" customFormat="false" ht="15" hidden="false" customHeight="false" outlineLevel="0" collapsed="false">
      <c r="A9" s="33" t="str">
        <f aca="false">IF(予測!$A$14="","",IF(COUNTIF(前年当月データ!$A:$A,予測!$A$14-364)&gt;0,DAY(予測!$A$14-364),""))</f>
        <v/>
      </c>
      <c r="B9" s="17" t="str">
        <f aca="false">IF(A9="","",SUMIFS(前年当月データ!$Q:$Q,前年当月データ!$A:$A,予測!$A$14-364))</f>
        <v/>
      </c>
      <c r="C9" s="17" t="str">
        <f aca="false">IF(A9="","",SUMIFS(前年当月データ!$L:$L,前年当月データ!$A:$A,予測!$A$14-364))</f>
        <v/>
      </c>
      <c r="D9" s="33" t="str">
        <f aca="false">IF(予測!$A$14="","",DAY(予測!$A$14))</f>
        <v/>
      </c>
      <c r="E9" s="33" t="str">
        <f aca="false">IF(予測!$A$14="","",CHOOSE(WEEKDAY(予測!$A$14,2),"月","火","水","木","金","土","日"))</f>
        <v/>
      </c>
      <c r="F9" s="34" t="n">
        <f aca="false">IF(OR(予測!$A$14="",J9=0),0,ROUND(INDEX(集計!$D$77:$D$84,MATCH(予測!$C$14,集計!$A$77:$A$84,0))*設定!$B$26*設定!$B$24,-1))</f>
        <v>0</v>
      </c>
      <c r="G9" s="34" t="n">
        <f aca="false">IF(OR(予測!$A$14="",K9=0),0,ROUND(INDEX(集計!$G$77:$G$84,MATCH(予測!$C$14,集計!$A$77:$A$84,0))*設定!$B$26*設定!$B$24,-1))</f>
        <v>0</v>
      </c>
      <c r="H9" s="34" t="n">
        <f aca="false">IF(OR(予測!$A$14="",L9=0),0,ROUND(INDEX(集計!$J$77:$J$84,MATCH(予測!$C$14,集計!$A$77:$A$84,0))*設定!$B$26*設定!$B$24,-1))</f>
        <v>0</v>
      </c>
      <c r="I9" s="34" t="n">
        <f aca="false">IF(OR(予測!$A$14="",M9=0),0,ROUND(INDEX(集計!$M$77:$M$84,MATCH(予測!$C$14,集計!$A$77:$A$84,0))*設定!$B$26*設定!$B$24,-1))</f>
        <v>0</v>
      </c>
      <c r="J9" s="34" t="n">
        <f aca="false">IF(予測!$A$14="",0,ROUND(SUMIF(時間帯別予測!$E$3:$Q$3,"ランチ",時間帯別予測!$E$10:$Q$10),0))</f>
        <v>0</v>
      </c>
      <c r="K9" s="34" t="n">
        <f aca="false">IF(予測!$A$14="",0,ROUND(SUMIF(時間帯別予測!$E$3:$Q$3,"アイドル",時間帯別予測!$E$10:$Q$10),0))</f>
        <v>0</v>
      </c>
      <c r="L9" s="34" t="n">
        <f aca="false">IF(予測!$A$14="",0,MAX(0,予測!$O$14-J9-K9-M9))</f>
        <v>0</v>
      </c>
      <c r="M9" s="34" t="n">
        <f aca="false">IF(予測!$A$14="",0,ROUND(SUMIF(時間帯別予測!$E$3:$Q$3,"ナイト",時間帯別予測!$E$10:$Q$10),0))</f>
        <v>0</v>
      </c>
      <c r="N9" s="17" t="n">
        <f aca="false">F9*J9</f>
        <v>0</v>
      </c>
      <c r="O9" s="17" t="n">
        <f aca="false">G9*K9</f>
        <v>0</v>
      </c>
      <c r="P9" s="17" t="n">
        <f aca="false">H9*L9</f>
        <v>0</v>
      </c>
      <c r="Q9" s="17" t="n">
        <f aca="false">I9*M9</f>
        <v>0</v>
      </c>
      <c r="R9" s="21" t="n">
        <f aca="false">SUM(J9:M9)</f>
        <v>0</v>
      </c>
      <c r="S9" s="21" t="n">
        <f aca="false">SUM(N9:Q9)</f>
        <v>0</v>
      </c>
      <c r="T9" s="17" t="str">
        <f aca="false">IFERROR(S9/R9,"")</f>
        <v/>
      </c>
      <c r="V9" s="6" t="s">
        <v>85</v>
      </c>
    </row>
    <row r="10" customFormat="false" ht="15" hidden="false" customHeight="false" outlineLevel="0" collapsed="false">
      <c r="A10" s="33" t="str">
        <f aca="false">IF(予測!$A$15="","",IF(COUNTIF(前年当月データ!$A:$A,予測!$A$15-364)&gt;0,DAY(予測!$A$15-364),""))</f>
        <v/>
      </c>
      <c r="B10" s="17" t="str">
        <f aca="false">IF(A10="","",SUMIFS(前年当月データ!$Q:$Q,前年当月データ!$A:$A,予測!$A$15-364))</f>
        <v/>
      </c>
      <c r="C10" s="17" t="str">
        <f aca="false">IF(A10="","",SUMIFS(前年当月データ!$L:$L,前年当月データ!$A:$A,予測!$A$15-364))</f>
        <v/>
      </c>
      <c r="D10" s="33" t="str">
        <f aca="false">IF(予測!$A$15="","",DAY(予測!$A$15))</f>
        <v/>
      </c>
      <c r="E10" s="33" t="str">
        <f aca="false">IF(予測!$A$15="","",CHOOSE(WEEKDAY(予測!$A$15,2),"月","火","水","木","金","土","日"))</f>
        <v/>
      </c>
      <c r="F10" s="34" t="n">
        <f aca="false">IF(OR(予測!$A$15="",J10=0),0,ROUND(INDEX(集計!$D$77:$D$84,MATCH(予測!$C$15,集計!$A$77:$A$84,0))*設定!$B$26*設定!$B$24,-1))</f>
        <v>0</v>
      </c>
      <c r="G10" s="34" t="n">
        <f aca="false">IF(OR(予測!$A$15="",K10=0),0,ROUND(INDEX(集計!$G$77:$G$84,MATCH(予測!$C$15,集計!$A$77:$A$84,0))*設定!$B$26*設定!$B$24,-1))</f>
        <v>0</v>
      </c>
      <c r="H10" s="34" t="n">
        <f aca="false">IF(OR(予測!$A$15="",L10=0),0,ROUND(INDEX(集計!$J$77:$J$84,MATCH(予測!$C$15,集計!$A$77:$A$84,0))*設定!$B$26*設定!$B$24,-1))</f>
        <v>0</v>
      </c>
      <c r="I10" s="34" t="n">
        <f aca="false">IF(OR(予測!$A$15="",M10=0),0,ROUND(INDEX(集計!$M$77:$M$84,MATCH(予測!$C$15,集計!$A$77:$A$84,0))*設定!$B$26*設定!$B$24,-1))</f>
        <v>0</v>
      </c>
      <c r="J10" s="34" t="n">
        <f aca="false">IF(予測!$A$15="",0,ROUND(SUMIF(時間帯別予測!$E$3:$Q$3,"ランチ",時間帯別予測!$E$11:$Q$11),0))</f>
        <v>0</v>
      </c>
      <c r="K10" s="34" t="n">
        <f aca="false">IF(予測!$A$15="",0,ROUND(SUMIF(時間帯別予測!$E$3:$Q$3,"アイドル",時間帯別予測!$E$11:$Q$11),0))</f>
        <v>0</v>
      </c>
      <c r="L10" s="34" t="n">
        <f aca="false">IF(予測!$A$15="",0,MAX(0,予測!$O$15-J10-K10-M10))</f>
        <v>0</v>
      </c>
      <c r="M10" s="34" t="n">
        <f aca="false">IF(予測!$A$15="",0,ROUND(SUMIF(時間帯別予測!$E$3:$Q$3,"ナイト",時間帯別予測!$E$11:$Q$11),0))</f>
        <v>0</v>
      </c>
      <c r="N10" s="17" t="n">
        <f aca="false">F10*J10</f>
        <v>0</v>
      </c>
      <c r="O10" s="17" t="n">
        <f aca="false">G10*K10</f>
        <v>0</v>
      </c>
      <c r="P10" s="17" t="n">
        <f aca="false">H10*L10</f>
        <v>0</v>
      </c>
      <c r="Q10" s="17" t="n">
        <f aca="false">I10*M10</f>
        <v>0</v>
      </c>
      <c r="R10" s="21" t="n">
        <f aca="false">SUM(J10:M10)</f>
        <v>0</v>
      </c>
      <c r="S10" s="21" t="n">
        <f aca="false">SUM(N10:Q10)</f>
        <v>0</v>
      </c>
      <c r="T10" s="17" t="str">
        <f aca="false">IFERROR(S10/R10,"")</f>
        <v/>
      </c>
      <c r="V10" s="6" t="s">
        <v>86</v>
      </c>
    </row>
    <row r="11" customFormat="false" ht="15" hidden="false" customHeight="false" outlineLevel="0" collapsed="false">
      <c r="A11" s="33" t="str">
        <f aca="false">IF(予測!$A$16="","",IF(COUNTIF(前年当月データ!$A:$A,予測!$A$16-364)&gt;0,DAY(予測!$A$16-364),""))</f>
        <v/>
      </c>
      <c r="B11" s="17" t="str">
        <f aca="false">IF(A11="","",SUMIFS(前年当月データ!$Q:$Q,前年当月データ!$A:$A,予測!$A$16-364))</f>
        <v/>
      </c>
      <c r="C11" s="17" t="str">
        <f aca="false">IF(A11="","",SUMIFS(前年当月データ!$L:$L,前年当月データ!$A:$A,予測!$A$16-364))</f>
        <v/>
      </c>
      <c r="D11" s="33" t="str">
        <f aca="false">IF(予測!$A$16="","",DAY(予測!$A$16))</f>
        <v/>
      </c>
      <c r="E11" s="33" t="str">
        <f aca="false">IF(予測!$A$16="","",CHOOSE(WEEKDAY(予測!$A$16,2),"月","火","水","木","金","土","日"))</f>
        <v/>
      </c>
      <c r="F11" s="34" t="n">
        <f aca="false">IF(OR(予測!$A$16="",J11=0),0,ROUND(INDEX(集計!$D$77:$D$84,MATCH(予測!$C$16,集計!$A$77:$A$84,0))*設定!$B$26*設定!$B$24,-1))</f>
        <v>0</v>
      </c>
      <c r="G11" s="34" t="n">
        <f aca="false">IF(OR(予測!$A$16="",K11=0),0,ROUND(INDEX(集計!$G$77:$G$84,MATCH(予測!$C$16,集計!$A$77:$A$84,0))*設定!$B$26*設定!$B$24,-1))</f>
        <v>0</v>
      </c>
      <c r="H11" s="34" t="n">
        <f aca="false">IF(OR(予測!$A$16="",L11=0),0,ROUND(INDEX(集計!$J$77:$J$84,MATCH(予測!$C$16,集計!$A$77:$A$84,0))*設定!$B$26*設定!$B$24,-1))</f>
        <v>0</v>
      </c>
      <c r="I11" s="34" t="n">
        <f aca="false">IF(OR(予測!$A$16="",M11=0),0,ROUND(INDEX(集計!$M$77:$M$84,MATCH(予測!$C$16,集計!$A$77:$A$84,0))*設定!$B$26*設定!$B$24,-1))</f>
        <v>0</v>
      </c>
      <c r="J11" s="34" t="n">
        <f aca="false">IF(予測!$A$16="",0,ROUND(SUMIF(時間帯別予測!$E$3:$Q$3,"ランチ",時間帯別予測!$E$12:$Q$12),0))</f>
        <v>0</v>
      </c>
      <c r="K11" s="34" t="n">
        <f aca="false">IF(予測!$A$16="",0,ROUND(SUMIF(時間帯別予測!$E$3:$Q$3,"アイドル",時間帯別予測!$E$12:$Q$12),0))</f>
        <v>0</v>
      </c>
      <c r="L11" s="34" t="n">
        <f aca="false">IF(予測!$A$16="",0,MAX(0,予測!$O$16-J11-K11-M11))</f>
        <v>0</v>
      </c>
      <c r="M11" s="34" t="n">
        <f aca="false">IF(予測!$A$16="",0,ROUND(SUMIF(時間帯別予測!$E$3:$Q$3,"ナイト",時間帯別予測!$E$12:$Q$12),0))</f>
        <v>0</v>
      </c>
      <c r="N11" s="17" t="n">
        <f aca="false">F11*J11</f>
        <v>0</v>
      </c>
      <c r="O11" s="17" t="n">
        <f aca="false">G11*K11</f>
        <v>0</v>
      </c>
      <c r="P11" s="17" t="n">
        <f aca="false">H11*L11</f>
        <v>0</v>
      </c>
      <c r="Q11" s="17" t="n">
        <f aca="false">I11*M11</f>
        <v>0</v>
      </c>
      <c r="R11" s="21" t="n">
        <f aca="false">SUM(J11:M11)</f>
        <v>0</v>
      </c>
      <c r="S11" s="21" t="n">
        <f aca="false">SUM(N11:Q11)</f>
        <v>0</v>
      </c>
      <c r="T11" s="17" t="str">
        <f aca="false">IFERROR(S11/R11,"")</f>
        <v/>
      </c>
    </row>
    <row r="12" customFormat="false" ht="15" hidden="false" customHeight="false" outlineLevel="0" collapsed="false">
      <c r="A12" s="33" t="str">
        <f aca="false">IF(予測!$A$17="","",IF(COUNTIF(前年当月データ!$A:$A,予測!$A$17-364)&gt;0,DAY(予測!$A$17-364),""))</f>
        <v/>
      </c>
      <c r="B12" s="17" t="str">
        <f aca="false">IF(A12="","",SUMIFS(前年当月データ!$Q:$Q,前年当月データ!$A:$A,予測!$A$17-364))</f>
        <v/>
      </c>
      <c r="C12" s="17" t="str">
        <f aca="false">IF(A12="","",SUMIFS(前年当月データ!$L:$L,前年当月データ!$A:$A,予測!$A$17-364))</f>
        <v/>
      </c>
      <c r="D12" s="33" t="str">
        <f aca="false">IF(予測!$A$17="","",DAY(予測!$A$17))</f>
        <v/>
      </c>
      <c r="E12" s="33" t="str">
        <f aca="false">IF(予測!$A$17="","",CHOOSE(WEEKDAY(予測!$A$17,2),"月","火","水","木","金","土","日"))</f>
        <v/>
      </c>
      <c r="F12" s="34" t="n">
        <f aca="false">IF(OR(予測!$A$17="",J12=0),0,ROUND(INDEX(集計!$D$77:$D$84,MATCH(予測!$C$17,集計!$A$77:$A$84,0))*設定!$B$26*設定!$B$24,-1))</f>
        <v>0</v>
      </c>
      <c r="G12" s="34" t="n">
        <f aca="false">IF(OR(予測!$A$17="",K12=0),0,ROUND(INDEX(集計!$G$77:$G$84,MATCH(予測!$C$17,集計!$A$77:$A$84,0))*設定!$B$26*設定!$B$24,-1))</f>
        <v>0</v>
      </c>
      <c r="H12" s="34" t="n">
        <f aca="false">IF(OR(予測!$A$17="",L12=0),0,ROUND(INDEX(集計!$J$77:$J$84,MATCH(予測!$C$17,集計!$A$77:$A$84,0))*設定!$B$26*設定!$B$24,-1))</f>
        <v>0</v>
      </c>
      <c r="I12" s="34" t="n">
        <f aca="false">IF(OR(予測!$A$17="",M12=0),0,ROUND(INDEX(集計!$M$77:$M$84,MATCH(予測!$C$17,集計!$A$77:$A$84,0))*設定!$B$26*設定!$B$24,-1))</f>
        <v>0</v>
      </c>
      <c r="J12" s="34" t="n">
        <f aca="false">IF(予測!$A$17="",0,ROUND(SUMIF(時間帯別予測!$E$3:$Q$3,"ランチ",時間帯別予測!$E$13:$Q$13),0))</f>
        <v>0</v>
      </c>
      <c r="K12" s="34" t="n">
        <f aca="false">IF(予測!$A$17="",0,ROUND(SUMIF(時間帯別予測!$E$3:$Q$3,"アイドル",時間帯別予測!$E$13:$Q$13),0))</f>
        <v>0</v>
      </c>
      <c r="L12" s="34" t="n">
        <f aca="false">IF(予測!$A$17="",0,MAX(0,予測!$O$17-J12-K12-M12))</f>
        <v>0</v>
      </c>
      <c r="M12" s="34" t="n">
        <f aca="false">IF(予測!$A$17="",0,ROUND(SUMIF(時間帯別予測!$E$3:$Q$3,"ナイト",時間帯別予測!$E$13:$Q$13),0))</f>
        <v>0</v>
      </c>
      <c r="N12" s="17" t="n">
        <f aca="false">F12*J12</f>
        <v>0</v>
      </c>
      <c r="O12" s="17" t="n">
        <f aca="false">G12*K12</f>
        <v>0</v>
      </c>
      <c r="P12" s="17" t="n">
        <f aca="false">H12*L12</f>
        <v>0</v>
      </c>
      <c r="Q12" s="17" t="n">
        <f aca="false">I12*M12</f>
        <v>0</v>
      </c>
      <c r="R12" s="21" t="n">
        <f aca="false">SUM(J12:M12)</f>
        <v>0</v>
      </c>
      <c r="S12" s="21" t="n">
        <f aca="false">SUM(N12:Q12)</f>
        <v>0</v>
      </c>
      <c r="T12" s="17" t="str">
        <f aca="false">IFERROR(S12/R12,"")</f>
        <v/>
      </c>
    </row>
    <row r="13" customFormat="false" ht="15" hidden="false" customHeight="false" outlineLevel="0" collapsed="false">
      <c r="A13" s="33" t="str">
        <f aca="false">IF(予測!$A$18="","",IF(COUNTIF(前年当月データ!$A:$A,予測!$A$18-364)&gt;0,DAY(予測!$A$18-364),""))</f>
        <v/>
      </c>
      <c r="B13" s="17" t="str">
        <f aca="false">IF(A13="","",SUMIFS(前年当月データ!$Q:$Q,前年当月データ!$A:$A,予測!$A$18-364))</f>
        <v/>
      </c>
      <c r="C13" s="17" t="str">
        <f aca="false">IF(A13="","",SUMIFS(前年当月データ!$L:$L,前年当月データ!$A:$A,予測!$A$18-364))</f>
        <v/>
      </c>
      <c r="D13" s="33" t="str">
        <f aca="false">IF(予測!$A$18="","",DAY(予測!$A$18))</f>
        <v/>
      </c>
      <c r="E13" s="33" t="str">
        <f aca="false">IF(予測!$A$18="","",CHOOSE(WEEKDAY(予測!$A$18,2),"月","火","水","木","金","土","日"))</f>
        <v/>
      </c>
      <c r="F13" s="34" t="n">
        <f aca="false">IF(OR(予測!$A$18="",J13=0),0,ROUND(INDEX(集計!$D$77:$D$84,MATCH(予測!$C$18,集計!$A$77:$A$84,0))*設定!$B$26*設定!$B$24,-1))</f>
        <v>0</v>
      </c>
      <c r="G13" s="34" t="n">
        <f aca="false">IF(OR(予測!$A$18="",K13=0),0,ROUND(INDEX(集計!$G$77:$G$84,MATCH(予測!$C$18,集計!$A$77:$A$84,0))*設定!$B$26*設定!$B$24,-1))</f>
        <v>0</v>
      </c>
      <c r="H13" s="34" t="n">
        <f aca="false">IF(OR(予測!$A$18="",L13=0),0,ROUND(INDEX(集計!$J$77:$J$84,MATCH(予測!$C$18,集計!$A$77:$A$84,0))*設定!$B$26*設定!$B$24,-1))</f>
        <v>0</v>
      </c>
      <c r="I13" s="34" t="n">
        <f aca="false">IF(OR(予測!$A$18="",M13=0),0,ROUND(INDEX(集計!$M$77:$M$84,MATCH(予測!$C$18,集計!$A$77:$A$84,0))*設定!$B$26*設定!$B$24,-1))</f>
        <v>0</v>
      </c>
      <c r="J13" s="34" t="n">
        <f aca="false">IF(予測!$A$18="",0,ROUND(SUMIF(時間帯別予測!$E$3:$Q$3,"ランチ",時間帯別予測!$E$14:$Q$14),0))</f>
        <v>0</v>
      </c>
      <c r="K13" s="34" t="n">
        <f aca="false">IF(予測!$A$18="",0,ROUND(SUMIF(時間帯別予測!$E$3:$Q$3,"アイドル",時間帯別予測!$E$14:$Q$14),0))</f>
        <v>0</v>
      </c>
      <c r="L13" s="34" t="n">
        <f aca="false">IF(予測!$A$18="",0,MAX(0,予測!$O$18-J13-K13-M13))</f>
        <v>0</v>
      </c>
      <c r="M13" s="34" t="n">
        <f aca="false">IF(予測!$A$18="",0,ROUND(SUMIF(時間帯別予測!$E$3:$Q$3,"ナイト",時間帯別予測!$E$14:$Q$14),0))</f>
        <v>0</v>
      </c>
      <c r="N13" s="17" t="n">
        <f aca="false">F13*J13</f>
        <v>0</v>
      </c>
      <c r="O13" s="17" t="n">
        <f aca="false">G13*K13</f>
        <v>0</v>
      </c>
      <c r="P13" s="17" t="n">
        <f aca="false">H13*L13</f>
        <v>0</v>
      </c>
      <c r="Q13" s="17" t="n">
        <f aca="false">I13*M13</f>
        <v>0</v>
      </c>
      <c r="R13" s="21" t="n">
        <f aca="false">SUM(J13:M13)</f>
        <v>0</v>
      </c>
      <c r="S13" s="21" t="n">
        <f aca="false">SUM(N13:Q13)</f>
        <v>0</v>
      </c>
      <c r="T13" s="17" t="str">
        <f aca="false">IFERROR(S13/R13,"")</f>
        <v/>
      </c>
    </row>
    <row r="14" customFormat="false" ht="15" hidden="false" customHeight="false" outlineLevel="0" collapsed="false">
      <c r="A14" s="33" t="str">
        <f aca="false">IF(予測!$A$19="","",IF(COUNTIF(前年当月データ!$A:$A,予測!$A$19-364)&gt;0,DAY(予測!$A$19-364),""))</f>
        <v/>
      </c>
      <c r="B14" s="17" t="str">
        <f aca="false">IF(A14="","",SUMIFS(前年当月データ!$Q:$Q,前年当月データ!$A:$A,予測!$A$19-364))</f>
        <v/>
      </c>
      <c r="C14" s="17" t="str">
        <f aca="false">IF(A14="","",SUMIFS(前年当月データ!$L:$L,前年当月データ!$A:$A,予測!$A$19-364))</f>
        <v/>
      </c>
      <c r="D14" s="33" t="str">
        <f aca="false">IF(予測!$A$19="","",DAY(予測!$A$19))</f>
        <v/>
      </c>
      <c r="E14" s="33" t="str">
        <f aca="false">IF(予測!$A$19="","",CHOOSE(WEEKDAY(予測!$A$19,2),"月","火","水","木","金","土","日"))</f>
        <v/>
      </c>
      <c r="F14" s="34" t="n">
        <f aca="false">IF(OR(予測!$A$19="",J14=0),0,ROUND(INDEX(集計!$D$77:$D$84,MATCH(予測!$C$19,集計!$A$77:$A$84,0))*設定!$B$26*設定!$B$24,-1))</f>
        <v>0</v>
      </c>
      <c r="G14" s="34" t="n">
        <f aca="false">IF(OR(予測!$A$19="",K14=0),0,ROUND(INDEX(集計!$G$77:$G$84,MATCH(予測!$C$19,集計!$A$77:$A$84,0))*設定!$B$26*設定!$B$24,-1))</f>
        <v>0</v>
      </c>
      <c r="H14" s="34" t="n">
        <f aca="false">IF(OR(予測!$A$19="",L14=0),0,ROUND(INDEX(集計!$J$77:$J$84,MATCH(予測!$C$19,集計!$A$77:$A$84,0))*設定!$B$26*設定!$B$24,-1))</f>
        <v>0</v>
      </c>
      <c r="I14" s="34" t="n">
        <f aca="false">IF(OR(予測!$A$19="",M14=0),0,ROUND(INDEX(集計!$M$77:$M$84,MATCH(予測!$C$19,集計!$A$77:$A$84,0))*設定!$B$26*設定!$B$24,-1))</f>
        <v>0</v>
      </c>
      <c r="J14" s="34" t="n">
        <f aca="false">IF(予測!$A$19="",0,ROUND(SUMIF(時間帯別予測!$E$3:$Q$3,"ランチ",時間帯別予測!$E$15:$Q$15),0))</f>
        <v>0</v>
      </c>
      <c r="K14" s="34" t="n">
        <f aca="false">IF(予測!$A$19="",0,ROUND(SUMIF(時間帯別予測!$E$3:$Q$3,"アイドル",時間帯別予測!$E$15:$Q$15),0))</f>
        <v>0</v>
      </c>
      <c r="L14" s="34" t="n">
        <f aca="false">IF(予測!$A$19="",0,MAX(0,予測!$O$19-J14-K14-M14))</f>
        <v>0</v>
      </c>
      <c r="M14" s="34" t="n">
        <f aca="false">IF(予測!$A$19="",0,ROUND(SUMIF(時間帯別予測!$E$3:$Q$3,"ナイト",時間帯別予測!$E$15:$Q$15),0))</f>
        <v>0</v>
      </c>
      <c r="N14" s="17" t="n">
        <f aca="false">F14*J14</f>
        <v>0</v>
      </c>
      <c r="O14" s="17" t="n">
        <f aca="false">G14*K14</f>
        <v>0</v>
      </c>
      <c r="P14" s="17" t="n">
        <f aca="false">H14*L14</f>
        <v>0</v>
      </c>
      <c r="Q14" s="17" t="n">
        <f aca="false">I14*M14</f>
        <v>0</v>
      </c>
      <c r="R14" s="21" t="n">
        <f aca="false">SUM(J14:M14)</f>
        <v>0</v>
      </c>
      <c r="S14" s="21" t="n">
        <f aca="false">SUM(N14:Q14)</f>
        <v>0</v>
      </c>
      <c r="T14" s="17" t="str">
        <f aca="false">IFERROR(S14/R14,"")</f>
        <v/>
      </c>
    </row>
    <row r="15" customFormat="false" ht="15" hidden="false" customHeight="false" outlineLevel="0" collapsed="false">
      <c r="A15" s="33" t="str">
        <f aca="false">IF(予測!$A$20="","",IF(COUNTIF(前年当月データ!$A:$A,予測!$A$20-364)&gt;0,DAY(予測!$A$20-364),""))</f>
        <v/>
      </c>
      <c r="B15" s="17" t="str">
        <f aca="false">IF(A15="","",SUMIFS(前年当月データ!$Q:$Q,前年当月データ!$A:$A,予測!$A$20-364))</f>
        <v/>
      </c>
      <c r="C15" s="17" t="str">
        <f aca="false">IF(A15="","",SUMIFS(前年当月データ!$L:$L,前年当月データ!$A:$A,予測!$A$20-364))</f>
        <v/>
      </c>
      <c r="D15" s="33" t="str">
        <f aca="false">IF(予測!$A$20="","",DAY(予測!$A$20))</f>
        <v/>
      </c>
      <c r="E15" s="33" t="str">
        <f aca="false">IF(予測!$A$20="","",CHOOSE(WEEKDAY(予測!$A$20,2),"月","火","水","木","金","土","日"))</f>
        <v/>
      </c>
      <c r="F15" s="34" t="n">
        <f aca="false">IF(OR(予測!$A$20="",J15=0),0,ROUND(INDEX(集計!$D$77:$D$84,MATCH(予測!$C$20,集計!$A$77:$A$84,0))*設定!$B$26*設定!$B$24,-1))</f>
        <v>0</v>
      </c>
      <c r="G15" s="34" t="n">
        <f aca="false">IF(OR(予測!$A$20="",K15=0),0,ROUND(INDEX(集計!$G$77:$G$84,MATCH(予測!$C$20,集計!$A$77:$A$84,0))*設定!$B$26*設定!$B$24,-1))</f>
        <v>0</v>
      </c>
      <c r="H15" s="34" t="n">
        <f aca="false">IF(OR(予測!$A$20="",L15=0),0,ROUND(INDEX(集計!$J$77:$J$84,MATCH(予測!$C$20,集計!$A$77:$A$84,0))*設定!$B$26*設定!$B$24,-1))</f>
        <v>0</v>
      </c>
      <c r="I15" s="34" t="n">
        <f aca="false">IF(OR(予測!$A$20="",M15=0),0,ROUND(INDEX(集計!$M$77:$M$84,MATCH(予測!$C$20,集計!$A$77:$A$84,0))*設定!$B$26*設定!$B$24,-1))</f>
        <v>0</v>
      </c>
      <c r="J15" s="34" t="n">
        <f aca="false">IF(予測!$A$20="",0,ROUND(SUMIF(時間帯別予測!$E$3:$Q$3,"ランチ",時間帯別予測!$E$16:$Q$16),0))</f>
        <v>0</v>
      </c>
      <c r="K15" s="34" t="n">
        <f aca="false">IF(予測!$A$20="",0,ROUND(SUMIF(時間帯別予測!$E$3:$Q$3,"アイドル",時間帯別予測!$E$16:$Q$16),0))</f>
        <v>0</v>
      </c>
      <c r="L15" s="34" t="n">
        <f aca="false">IF(予測!$A$20="",0,MAX(0,予測!$O$20-J15-K15-M15))</f>
        <v>0</v>
      </c>
      <c r="M15" s="34" t="n">
        <f aca="false">IF(予測!$A$20="",0,ROUND(SUMIF(時間帯別予測!$E$3:$Q$3,"ナイト",時間帯別予測!$E$16:$Q$16),0))</f>
        <v>0</v>
      </c>
      <c r="N15" s="17" t="n">
        <f aca="false">F15*J15</f>
        <v>0</v>
      </c>
      <c r="O15" s="17" t="n">
        <f aca="false">G15*K15</f>
        <v>0</v>
      </c>
      <c r="P15" s="17" t="n">
        <f aca="false">H15*L15</f>
        <v>0</v>
      </c>
      <c r="Q15" s="17" t="n">
        <f aca="false">I15*M15</f>
        <v>0</v>
      </c>
      <c r="R15" s="21" t="n">
        <f aca="false">SUM(J15:M15)</f>
        <v>0</v>
      </c>
      <c r="S15" s="21" t="n">
        <f aca="false">SUM(N15:Q15)</f>
        <v>0</v>
      </c>
      <c r="T15" s="17" t="str">
        <f aca="false">IFERROR(S15/R15,"")</f>
        <v/>
      </c>
    </row>
    <row r="16" customFormat="false" ht="15" hidden="false" customHeight="false" outlineLevel="0" collapsed="false">
      <c r="A16" s="33" t="str">
        <f aca="false">IF(予測!$A$21="","",IF(COUNTIF(前年当月データ!$A:$A,予測!$A$21-364)&gt;0,DAY(予測!$A$21-364),""))</f>
        <v/>
      </c>
      <c r="B16" s="17" t="str">
        <f aca="false">IF(A16="","",SUMIFS(前年当月データ!$Q:$Q,前年当月データ!$A:$A,予測!$A$21-364))</f>
        <v/>
      </c>
      <c r="C16" s="17" t="str">
        <f aca="false">IF(A16="","",SUMIFS(前年当月データ!$L:$L,前年当月データ!$A:$A,予測!$A$21-364))</f>
        <v/>
      </c>
      <c r="D16" s="33" t="str">
        <f aca="false">IF(予測!$A$21="","",DAY(予測!$A$21))</f>
        <v/>
      </c>
      <c r="E16" s="33" t="str">
        <f aca="false">IF(予測!$A$21="","",CHOOSE(WEEKDAY(予測!$A$21,2),"月","火","水","木","金","土","日"))</f>
        <v/>
      </c>
      <c r="F16" s="34" t="n">
        <f aca="false">IF(OR(予測!$A$21="",J16=0),0,ROUND(INDEX(集計!$D$77:$D$84,MATCH(予測!$C$21,集計!$A$77:$A$84,0))*設定!$B$26*設定!$B$24,-1))</f>
        <v>0</v>
      </c>
      <c r="G16" s="34" t="n">
        <f aca="false">IF(OR(予測!$A$21="",K16=0),0,ROUND(INDEX(集計!$G$77:$G$84,MATCH(予測!$C$21,集計!$A$77:$A$84,0))*設定!$B$26*設定!$B$24,-1))</f>
        <v>0</v>
      </c>
      <c r="H16" s="34" t="n">
        <f aca="false">IF(OR(予測!$A$21="",L16=0),0,ROUND(INDEX(集計!$J$77:$J$84,MATCH(予測!$C$21,集計!$A$77:$A$84,0))*設定!$B$26*設定!$B$24,-1))</f>
        <v>0</v>
      </c>
      <c r="I16" s="34" t="n">
        <f aca="false">IF(OR(予測!$A$21="",M16=0),0,ROUND(INDEX(集計!$M$77:$M$84,MATCH(予測!$C$21,集計!$A$77:$A$84,0))*設定!$B$26*設定!$B$24,-1))</f>
        <v>0</v>
      </c>
      <c r="J16" s="34" t="n">
        <f aca="false">IF(予測!$A$21="",0,ROUND(SUMIF(時間帯別予測!$E$3:$Q$3,"ランチ",時間帯別予測!$E$17:$Q$17),0))</f>
        <v>0</v>
      </c>
      <c r="K16" s="34" t="n">
        <f aca="false">IF(予測!$A$21="",0,ROUND(SUMIF(時間帯別予測!$E$3:$Q$3,"アイドル",時間帯別予測!$E$17:$Q$17),0))</f>
        <v>0</v>
      </c>
      <c r="L16" s="34" t="n">
        <f aca="false">IF(予測!$A$21="",0,MAX(0,予測!$O$21-J16-K16-M16))</f>
        <v>0</v>
      </c>
      <c r="M16" s="34" t="n">
        <f aca="false">IF(予測!$A$21="",0,ROUND(SUMIF(時間帯別予測!$E$3:$Q$3,"ナイト",時間帯別予測!$E$17:$Q$17),0))</f>
        <v>0</v>
      </c>
      <c r="N16" s="17" t="n">
        <f aca="false">F16*J16</f>
        <v>0</v>
      </c>
      <c r="O16" s="17" t="n">
        <f aca="false">G16*K16</f>
        <v>0</v>
      </c>
      <c r="P16" s="17" t="n">
        <f aca="false">H16*L16</f>
        <v>0</v>
      </c>
      <c r="Q16" s="17" t="n">
        <f aca="false">I16*M16</f>
        <v>0</v>
      </c>
      <c r="R16" s="21" t="n">
        <f aca="false">SUM(J16:M16)</f>
        <v>0</v>
      </c>
      <c r="S16" s="21" t="n">
        <f aca="false">SUM(N16:Q16)</f>
        <v>0</v>
      </c>
      <c r="T16" s="17" t="str">
        <f aca="false">IFERROR(S16/R16,"")</f>
        <v/>
      </c>
    </row>
    <row r="17" customFormat="false" ht="15" hidden="false" customHeight="false" outlineLevel="0" collapsed="false">
      <c r="A17" s="33" t="str">
        <f aca="false">IF(予測!$A$22="","",IF(COUNTIF(前年当月データ!$A:$A,予測!$A$22-364)&gt;0,DAY(予測!$A$22-364),""))</f>
        <v/>
      </c>
      <c r="B17" s="17" t="str">
        <f aca="false">IF(A17="","",SUMIFS(前年当月データ!$Q:$Q,前年当月データ!$A:$A,予測!$A$22-364))</f>
        <v/>
      </c>
      <c r="C17" s="17" t="str">
        <f aca="false">IF(A17="","",SUMIFS(前年当月データ!$L:$L,前年当月データ!$A:$A,予測!$A$22-364))</f>
        <v/>
      </c>
      <c r="D17" s="33" t="str">
        <f aca="false">IF(予測!$A$22="","",DAY(予測!$A$22))</f>
        <v/>
      </c>
      <c r="E17" s="33" t="str">
        <f aca="false">IF(予測!$A$22="","",CHOOSE(WEEKDAY(予測!$A$22,2),"月","火","水","木","金","土","日"))</f>
        <v/>
      </c>
      <c r="F17" s="34" t="n">
        <f aca="false">IF(OR(予測!$A$22="",J17=0),0,ROUND(INDEX(集計!$D$77:$D$84,MATCH(予測!$C$22,集計!$A$77:$A$84,0))*設定!$B$26*設定!$B$24,-1))</f>
        <v>0</v>
      </c>
      <c r="G17" s="34" t="n">
        <f aca="false">IF(OR(予測!$A$22="",K17=0),0,ROUND(INDEX(集計!$G$77:$G$84,MATCH(予測!$C$22,集計!$A$77:$A$84,0))*設定!$B$26*設定!$B$24,-1))</f>
        <v>0</v>
      </c>
      <c r="H17" s="34" t="n">
        <f aca="false">IF(OR(予測!$A$22="",L17=0),0,ROUND(INDEX(集計!$J$77:$J$84,MATCH(予測!$C$22,集計!$A$77:$A$84,0))*設定!$B$26*設定!$B$24,-1))</f>
        <v>0</v>
      </c>
      <c r="I17" s="34" t="n">
        <f aca="false">IF(OR(予測!$A$22="",M17=0),0,ROUND(INDEX(集計!$M$77:$M$84,MATCH(予測!$C$22,集計!$A$77:$A$84,0))*設定!$B$26*設定!$B$24,-1))</f>
        <v>0</v>
      </c>
      <c r="J17" s="34" t="n">
        <f aca="false">IF(予測!$A$22="",0,ROUND(SUMIF(時間帯別予測!$E$3:$Q$3,"ランチ",時間帯別予測!$E$18:$Q$18),0))</f>
        <v>0</v>
      </c>
      <c r="K17" s="34" t="n">
        <f aca="false">IF(予測!$A$22="",0,ROUND(SUMIF(時間帯別予測!$E$3:$Q$3,"アイドル",時間帯別予測!$E$18:$Q$18),0))</f>
        <v>0</v>
      </c>
      <c r="L17" s="34" t="n">
        <f aca="false">IF(予測!$A$22="",0,MAX(0,予測!$O$22-J17-K17-M17))</f>
        <v>0</v>
      </c>
      <c r="M17" s="34" t="n">
        <f aca="false">IF(予測!$A$22="",0,ROUND(SUMIF(時間帯別予測!$E$3:$Q$3,"ナイト",時間帯別予測!$E$18:$Q$18),0))</f>
        <v>0</v>
      </c>
      <c r="N17" s="17" t="n">
        <f aca="false">F17*J17</f>
        <v>0</v>
      </c>
      <c r="O17" s="17" t="n">
        <f aca="false">G17*K17</f>
        <v>0</v>
      </c>
      <c r="P17" s="17" t="n">
        <f aca="false">H17*L17</f>
        <v>0</v>
      </c>
      <c r="Q17" s="17" t="n">
        <f aca="false">I17*M17</f>
        <v>0</v>
      </c>
      <c r="R17" s="21" t="n">
        <f aca="false">SUM(J17:M17)</f>
        <v>0</v>
      </c>
      <c r="S17" s="21" t="n">
        <f aca="false">SUM(N17:Q17)</f>
        <v>0</v>
      </c>
      <c r="T17" s="17" t="str">
        <f aca="false">IFERROR(S17/R17,"")</f>
        <v/>
      </c>
    </row>
    <row r="18" customFormat="false" ht="15" hidden="false" customHeight="false" outlineLevel="0" collapsed="false">
      <c r="A18" s="33" t="str">
        <f aca="false">IF(予測!$A$23="","",IF(COUNTIF(前年当月データ!$A:$A,予測!$A$23-364)&gt;0,DAY(予測!$A$23-364),""))</f>
        <v/>
      </c>
      <c r="B18" s="17" t="str">
        <f aca="false">IF(A18="","",SUMIFS(前年当月データ!$Q:$Q,前年当月データ!$A:$A,予測!$A$23-364))</f>
        <v/>
      </c>
      <c r="C18" s="17" t="str">
        <f aca="false">IF(A18="","",SUMIFS(前年当月データ!$L:$L,前年当月データ!$A:$A,予測!$A$23-364))</f>
        <v/>
      </c>
      <c r="D18" s="33" t="str">
        <f aca="false">IF(予測!$A$23="","",DAY(予測!$A$23))</f>
        <v/>
      </c>
      <c r="E18" s="33" t="str">
        <f aca="false">IF(予測!$A$23="","",CHOOSE(WEEKDAY(予測!$A$23,2),"月","火","水","木","金","土","日"))</f>
        <v/>
      </c>
      <c r="F18" s="34" t="n">
        <f aca="false">IF(OR(予測!$A$23="",J18=0),0,ROUND(INDEX(集計!$D$77:$D$84,MATCH(予測!$C$23,集計!$A$77:$A$84,0))*設定!$B$26*設定!$B$24,-1))</f>
        <v>0</v>
      </c>
      <c r="G18" s="34" t="n">
        <f aca="false">IF(OR(予測!$A$23="",K18=0),0,ROUND(INDEX(集計!$G$77:$G$84,MATCH(予測!$C$23,集計!$A$77:$A$84,0))*設定!$B$26*設定!$B$24,-1))</f>
        <v>0</v>
      </c>
      <c r="H18" s="34" t="n">
        <f aca="false">IF(OR(予測!$A$23="",L18=0),0,ROUND(INDEX(集計!$J$77:$J$84,MATCH(予測!$C$23,集計!$A$77:$A$84,0))*設定!$B$26*設定!$B$24,-1))</f>
        <v>0</v>
      </c>
      <c r="I18" s="34" t="n">
        <f aca="false">IF(OR(予測!$A$23="",M18=0),0,ROUND(INDEX(集計!$M$77:$M$84,MATCH(予測!$C$23,集計!$A$77:$A$84,0))*設定!$B$26*設定!$B$24,-1))</f>
        <v>0</v>
      </c>
      <c r="J18" s="34" t="n">
        <f aca="false">IF(予測!$A$23="",0,ROUND(SUMIF(時間帯別予測!$E$3:$Q$3,"ランチ",時間帯別予測!$E$19:$Q$19),0))</f>
        <v>0</v>
      </c>
      <c r="K18" s="34" t="n">
        <f aca="false">IF(予測!$A$23="",0,ROUND(SUMIF(時間帯別予測!$E$3:$Q$3,"アイドル",時間帯別予測!$E$19:$Q$19),0))</f>
        <v>0</v>
      </c>
      <c r="L18" s="34" t="n">
        <f aca="false">IF(予測!$A$23="",0,MAX(0,予測!$O$23-J18-K18-M18))</f>
        <v>0</v>
      </c>
      <c r="M18" s="34" t="n">
        <f aca="false">IF(予測!$A$23="",0,ROUND(SUMIF(時間帯別予測!$E$3:$Q$3,"ナイト",時間帯別予測!$E$19:$Q$19),0))</f>
        <v>0</v>
      </c>
      <c r="N18" s="17" t="n">
        <f aca="false">F18*J18</f>
        <v>0</v>
      </c>
      <c r="O18" s="17" t="n">
        <f aca="false">G18*K18</f>
        <v>0</v>
      </c>
      <c r="P18" s="17" t="n">
        <f aca="false">H18*L18</f>
        <v>0</v>
      </c>
      <c r="Q18" s="17" t="n">
        <f aca="false">I18*M18</f>
        <v>0</v>
      </c>
      <c r="R18" s="21" t="n">
        <f aca="false">SUM(J18:M18)</f>
        <v>0</v>
      </c>
      <c r="S18" s="21" t="n">
        <f aca="false">SUM(N18:Q18)</f>
        <v>0</v>
      </c>
      <c r="T18" s="17" t="str">
        <f aca="false">IFERROR(S18/R18,"")</f>
        <v/>
      </c>
    </row>
    <row r="19" customFormat="false" ht="15" hidden="false" customHeight="false" outlineLevel="0" collapsed="false">
      <c r="A19" s="33" t="str">
        <f aca="false">IF(予測!$A$24="","",IF(COUNTIF(前年当月データ!$A:$A,予測!$A$24-364)&gt;0,DAY(予測!$A$24-364),""))</f>
        <v/>
      </c>
      <c r="B19" s="17" t="str">
        <f aca="false">IF(A19="","",SUMIFS(前年当月データ!$Q:$Q,前年当月データ!$A:$A,予測!$A$24-364))</f>
        <v/>
      </c>
      <c r="C19" s="17" t="str">
        <f aca="false">IF(A19="","",SUMIFS(前年当月データ!$L:$L,前年当月データ!$A:$A,予測!$A$24-364))</f>
        <v/>
      </c>
      <c r="D19" s="33" t="str">
        <f aca="false">IF(予測!$A$24="","",DAY(予測!$A$24))</f>
        <v/>
      </c>
      <c r="E19" s="33" t="str">
        <f aca="false">IF(予測!$A$24="","",CHOOSE(WEEKDAY(予測!$A$24,2),"月","火","水","木","金","土","日"))</f>
        <v/>
      </c>
      <c r="F19" s="34" t="n">
        <f aca="false">IF(OR(予測!$A$24="",J19=0),0,ROUND(INDEX(集計!$D$77:$D$84,MATCH(予測!$C$24,集計!$A$77:$A$84,0))*設定!$B$26*設定!$B$24,-1))</f>
        <v>0</v>
      </c>
      <c r="G19" s="34" t="n">
        <f aca="false">IF(OR(予測!$A$24="",K19=0),0,ROUND(INDEX(集計!$G$77:$G$84,MATCH(予測!$C$24,集計!$A$77:$A$84,0))*設定!$B$26*設定!$B$24,-1))</f>
        <v>0</v>
      </c>
      <c r="H19" s="34" t="n">
        <f aca="false">IF(OR(予測!$A$24="",L19=0),0,ROUND(INDEX(集計!$J$77:$J$84,MATCH(予測!$C$24,集計!$A$77:$A$84,0))*設定!$B$26*設定!$B$24,-1))</f>
        <v>0</v>
      </c>
      <c r="I19" s="34" t="n">
        <f aca="false">IF(OR(予測!$A$24="",M19=0),0,ROUND(INDEX(集計!$M$77:$M$84,MATCH(予測!$C$24,集計!$A$77:$A$84,0))*設定!$B$26*設定!$B$24,-1))</f>
        <v>0</v>
      </c>
      <c r="J19" s="34" t="n">
        <f aca="false">IF(予測!$A$24="",0,ROUND(SUMIF(時間帯別予測!$E$3:$Q$3,"ランチ",時間帯別予測!$E$20:$Q$20),0))</f>
        <v>0</v>
      </c>
      <c r="K19" s="34" t="n">
        <f aca="false">IF(予測!$A$24="",0,ROUND(SUMIF(時間帯別予測!$E$3:$Q$3,"アイドル",時間帯別予測!$E$20:$Q$20),0))</f>
        <v>0</v>
      </c>
      <c r="L19" s="34" t="n">
        <f aca="false">IF(予測!$A$24="",0,MAX(0,予測!$O$24-J19-K19-M19))</f>
        <v>0</v>
      </c>
      <c r="M19" s="34" t="n">
        <f aca="false">IF(予測!$A$24="",0,ROUND(SUMIF(時間帯別予測!$E$3:$Q$3,"ナイト",時間帯別予測!$E$20:$Q$20),0))</f>
        <v>0</v>
      </c>
      <c r="N19" s="17" t="n">
        <f aca="false">F19*J19</f>
        <v>0</v>
      </c>
      <c r="O19" s="17" t="n">
        <f aca="false">G19*K19</f>
        <v>0</v>
      </c>
      <c r="P19" s="17" t="n">
        <f aca="false">H19*L19</f>
        <v>0</v>
      </c>
      <c r="Q19" s="17" t="n">
        <f aca="false">I19*M19</f>
        <v>0</v>
      </c>
      <c r="R19" s="21" t="n">
        <f aca="false">SUM(J19:M19)</f>
        <v>0</v>
      </c>
      <c r="S19" s="21" t="n">
        <f aca="false">SUM(N19:Q19)</f>
        <v>0</v>
      </c>
      <c r="T19" s="17" t="str">
        <f aca="false">IFERROR(S19/R19,"")</f>
        <v/>
      </c>
    </row>
    <row r="20" customFormat="false" ht="15" hidden="false" customHeight="false" outlineLevel="0" collapsed="false">
      <c r="A20" s="33" t="str">
        <f aca="false">IF(予測!$A$25="","",IF(COUNTIF(前年当月データ!$A:$A,予測!$A$25-364)&gt;0,DAY(予測!$A$25-364),""))</f>
        <v/>
      </c>
      <c r="B20" s="17" t="str">
        <f aca="false">IF(A20="","",SUMIFS(前年当月データ!$Q:$Q,前年当月データ!$A:$A,予測!$A$25-364))</f>
        <v/>
      </c>
      <c r="C20" s="17" t="str">
        <f aca="false">IF(A20="","",SUMIFS(前年当月データ!$L:$L,前年当月データ!$A:$A,予測!$A$25-364))</f>
        <v/>
      </c>
      <c r="D20" s="33" t="str">
        <f aca="false">IF(予測!$A$25="","",DAY(予測!$A$25))</f>
        <v/>
      </c>
      <c r="E20" s="33" t="str">
        <f aca="false">IF(予測!$A$25="","",CHOOSE(WEEKDAY(予測!$A$25,2),"月","火","水","木","金","土","日"))</f>
        <v/>
      </c>
      <c r="F20" s="34" t="n">
        <f aca="false">IF(OR(予測!$A$25="",J20=0),0,ROUND(INDEX(集計!$D$77:$D$84,MATCH(予測!$C$25,集計!$A$77:$A$84,0))*設定!$B$26*設定!$B$24,-1))</f>
        <v>0</v>
      </c>
      <c r="G20" s="34" t="n">
        <f aca="false">IF(OR(予測!$A$25="",K20=0),0,ROUND(INDEX(集計!$G$77:$G$84,MATCH(予測!$C$25,集計!$A$77:$A$84,0))*設定!$B$26*設定!$B$24,-1))</f>
        <v>0</v>
      </c>
      <c r="H20" s="34" t="n">
        <f aca="false">IF(OR(予測!$A$25="",L20=0),0,ROUND(INDEX(集計!$J$77:$J$84,MATCH(予測!$C$25,集計!$A$77:$A$84,0))*設定!$B$26*設定!$B$24,-1))</f>
        <v>0</v>
      </c>
      <c r="I20" s="34" t="n">
        <f aca="false">IF(OR(予測!$A$25="",M20=0),0,ROUND(INDEX(集計!$M$77:$M$84,MATCH(予測!$C$25,集計!$A$77:$A$84,0))*設定!$B$26*設定!$B$24,-1))</f>
        <v>0</v>
      </c>
      <c r="J20" s="34" t="n">
        <f aca="false">IF(予測!$A$25="",0,ROUND(SUMIF(時間帯別予測!$E$3:$Q$3,"ランチ",時間帯別予測!$E$21:$Q$21),0))</f>
        <v>0</v>
      </c>
      <c r="K20" s="34" t="n">
        <f aca="false">IF(予測!$A$25="",0,ROUND(SUMIF(時間帯別予測!$E$3:$Q$3,"アイドル",時間帯別予測!$E$21:$Q$21),0))</f>
        <v>0</v>
      </c>
      <c r="L20" s="34" t="n">
        <f aca="false">IF(予測!$A$25="",0,MAX(0,予測!$O$25-J20-K20-M20))</f>
        <v>0</v>
      </c>
      <c r="M20" s="34" t="n">
        <f aca="false">IF(予測!$A$25="",0,ROUND(SUMIF(時間帯別予測!$E$3:$Q$3,"ナイト",時間帯別予測!$E$21:$Q$21),0))</f>
        <v>0</v>
      </c>
      <c r="N20" s="17" t="n">
        <f aca="false">F20*J20</f>
        <v>0</v>
      </c>
      <c r="O20" s="17" t="n">
        <f aca="false">G20*K20</f>
        <v>0</v>
      </c>
      <c r="P20" s="17" t="n">
        <f aca="false">H20*L20</f>
        <v>0</v>
      </c>
      <c r="Q20" s="17" t="n">
        <f aca="false">I20*M20</f>
        <v>0</v>
      </c>
      <c r="R20" s="21" t="n">
        <f aca="false">SUM(J20:M20)</f>
        <v>0</v>
      </c>
      <c r="S20" s="21" t="n">
        <f aca="false">SUM(N20:Q20)</f>
        <v>0</v>
      </c>
      <c r="T20" s="17" t="str">
        <f aca="false">IFERROR(S20/R20,"")</f>
        <v/>
      </c>
    </row>
    <row r="21" customFormat="false" ht="15" hidden="false" customHeight="false" outlineLevel="0" collapsed="false">
      <c r="A21" s="33" t="str">
        <f aca="false">IF(予測!$A$26="","",IF(COUNTIF(前年当月データ!$A:$A,予測!$A$26-364)&gt;0,DAY(予測!$A$26-364),""))</f>
        <v/>
      </c>
      <c r="B21" s="17" t="str">
        <f aca="false">IF(A21="","",SUMIFS(前年当月データ!$Q:$Q,前年当月データ!$A:$A,予測!$A$26-364))</f>
        <v/>
      </c>
      <c r="C21" s="17" t="str">
        <f aca="false">IF(A21="","",SUMIFS(前年当月データ!$L:$L,前年当月データ!$A:$A,予測!$A$26-364))</f>
        <v/>
      </c>
      <c r="D21" s="33" t="str">
        <f aca="false">IF(予測!$A$26="","",DAY(予測!$A$26))</f>
        <v/>
      </c>
      <c r="E21" s="33" t="str">
        <f aca="false">IF(予測!$A$26="","",CHOOSE(WEEKDAY(予測!$A$26,2),"月","火","水","木","金","土","日"))</f>
        <v/>
      </c>
      <c r="F21" s="34" t="n">
        <f aca="false">IF(OR(予測!$A$26="",J21=0),0,ROUND(INDEX(集計!$D$77:$D$84,MATCH(予測!$C$26,集計!$A$77:$A$84,0))*設定!$B$26*設定!$B$24,-1))</f>
        <v>0</v>
      </c>
      <c r="G21" s="34" t="n">
        <f aca="false">IF(OR(予測!$A$26="",K21=0),0,ROUND(INDEX(集計!$G$77:$G$84,MATCH(予測!$C$26,集計!$A$77:$A$84,0))*設定!$B$26*設定!$B$24,-1))</f>
        <v>0</v>
      </c>
      <c r="H21" s="34" t="n">
        <f aca="false">IF(OR(予測!$A$26="",L21=0),0,ROUND(INDEX(集計!$J$77:$J$84,MATCH(予測!$C$26,集計!$A$77:$A$84,0))*設定!$B$26*設定!$B$24,-1))</f>
        <v>0</v>
      </c>
      <c r="I21" s="34" t="n">
        <f aca="false">IF(OR(予測!$A$26="",M21=0),0,ROUND(INDEX(集計!$M$77:$M$84,MATCH(予測!$C$26,集計!$A$77:$A$84,0))*設定!$B$26*設定!$B$24,-1))</f>
        <v>0</v>
      </c>
      <c r="J21" s="34" t="n">
        <f aca="false">IF(予測!$A$26="",0,ROUND(SUMIF(時間帯別予測!$E$3:$Q$3,"ランチ",時間帯別予測!$E$22:$Q$22),0))</f>
        <v>0</v>
      </c>
      <c r="K21" s="34" t="n">
        <f aca="false">IF(予測!$A$26="",0,ROUND(SUMIF(時間帯別予測!$E$3:$Q$3,"アイドル",時間帯別予測!$E$22:$Q$22),0))</f>
        <v>0</v>
      </c>
      <c r="L21" s="34" t="n">
        <f aca="false">IF(予測!$A$26="",0,MAX(0,予測!$O$26-J21-K21-M21))</f>
        <v>0</v>
      </c>
      <c r="M21" s="34" t="n">
        <f aca="false">IF(予測!$A$26="",0,ROUND(SUMIF(時間帯別予測!$E$3:$Q$3,"ナイト",時間帯別予測!$E$22:$Q$22),0))</f>
        <v>0</v>
      </c>
      <c r="N21" s="17" t="n">
        <f aca="false">F21*J21</f>
        <v>0</v>
      </c>
      <c r="O21" s="17" t="n">
        <f aca="false">G21*K21</f>
        <v>0</v>
      </c>
      <c r="P21" s="17" t="n">
        <f aca="false">H21*L21</f>
        <v>0</v>
      </c>
      <c r="Q21" s="17" t="n">
        <f aca="false">I21*M21</f>
        <v>0</v>
      </c>
      <c r="R21" s="21" t="n">
        <f aca="false">SUM(J21:M21)</f>
        <v>0</v>
      </c>
      <c r="S21" s="21" t="n">
        <f aca="false">SUM(N21:Q21)</f>
        <v>0</v>
      </c>
      <c r="T21" s="17" t="str">
        <f aca="false">IFERROR(S21/R21,"")</f>
        <v/>
      </c>
    </row>
    <row r="22" customFormat="false" ht="15" hidden="false" customHeight="false" outlineLevel="0" collapsed="false">
      <c r="A22" s="33" t="str">
        <f aca="false">IF(予測!$A$27="","",IF(COUNTIF(前年当月データ!$A:$A,予測!$A$27-364)&gt;0,DAY(予測!$A$27-364),""))</f>
        <v/>
      </c>
      <c r="B22" s="17" t="str">
        <f aca="false">IF(A22="","",SUMIFS(前年当月データ!$Q:$Q,前年当月データ!$A:$A,予測!$A$27-364))</f>
        <v/>
      </c>
      <c r="C22" s="17" t="str">
        <f aca="false">IF(A22="","",SUMIFS(前年当月データ!$L:$L,前年当月データ!$A:$A,予測!$A$27-364))</f>
        <v/>
      </c>
      <c r="D22" s="33" t="str">
        <f aca="false">IF(予測!$A$27="","",DAY(予測!$A$27))</f>
        <v/>
      </c>
      <c r="E22" s="33" t="str">
        <f aca="false">IF(予測!$A$27="","",CHOOSE(WEEKDAY(予測!$A$27,2),"月","火","水","木","金","土","日"))</f>
        <v/>
      </c>
      <c r="F22" s="34" t="n">
        <f aca="false">IF(OR(予測!$A$27="",J22=0),0,ROUND(INDEX(集計!$D$77:$D$84,MATCH(予測!$C$27,集計!$A$77:$A$84,0))*設定!$B$26*設定!$B$24,-1))</f>
        <v>0</v>
      </c>
      <c r="G22" s="34" t="n">
        <f aca="false">IF(OR(予測!$A$27="",K22=0),0,ROUND(INDEX(集計!$G$77:$G$84,MATCH(予測!$C$27,集計!$A$77:$A$84,0))*設定!$B$26*設定!$B$24,-1))</f>
        <v>0</v>
      </c>
      <c r="H22" s="34" t="n">
        <f aca="false">IF(OR(予測!$A$27="",L22=0),0,ROUND(INDEX(集計!$J$77:$J$84,MATCH(予測!$C$27,集計!$A$77:$A$84,0))*設定!$B$26*設定!$B$24,-1))</f>
        <v>0</v>
      </c>
      <c r="I22" s="34" t="n">
        <f aca="false">IF(OR(予測!$A$27="",M22=0),0,ROUND(INDEX(集計!$M$77:$M$84,MATCH(予測!$C$27,集計!$A$77:$A$84,0))*設定!$B$26*設定!$B$24,-1))</f>
        <v>0</v>
      </c>
      <c r="J22" s="34" t="n">
        <f aca="false">IF(予測!$A$27="",0,ROUND(SUMIF(時間帯別予測!$E$3:$Q$3,"ランチ",時間帯別予測!$E$23:$Q$23),0))</f>
        <v>0</v>
      </c>
      <c r="K22" s="34" t="n">
        <f aca="false">IF(予測!$A$27="",0,ROUND(SUMIF(時間帯別予測!$E$3:$Q$3,"アイドル",時間帯別予測!$E$23:$Q$23),0))</f>
        <v>0</v>
      </c>
      <c r="L22" s="34" t="n">
        <f aca="false">IF(予測!$A$27="",0,MAX(0,予測!$O$27-J22-K22-M22))</f>
        <v>0</v>
      </c>
      <c r="M22" s="34" t="n">
        <f aca="false">IF(予測!$A$27="",0,ROUND(SUMIF(時間帯別予測!$E$3:$Q$3,"ナイト",時間帯別予測!$E$23:$Q$23),0))</f>
        <v>0</v>
      </c>
      <c r="N22" s="17" t="n">
        <f aca="false">F22*J22</f>
        <v>0</v>
      </c>
      <c r="O22" s="17" t="n">
        <f aca="false">G22*K22</f>
        <v>0</v>
      </c>
      <c r="P22" s="17" t="n">
        <f aca="false">H22*L22</f>
        <v>0</v>
      </c>
      <c r="Q22" s="17" t="n">
        <f aca="false">I22*M22</f>
        <v>0</v>
      </c>
      <c r="R22" s="21" t="n">
        <f aca="false">SUM(J22:M22)</f>
        <v>0</v>
      </c>
      <c r="S22" s="21" t="n">
        <f aca="false">SUM(N22:Q22)</f>
        <v>0</v>
      </c>
      <c r="T22" s="17" t="str">
        <f aca="false">IFERROR(S22/R22,"")</f>
        <v/>
      </c>
    </row>
    <row r="23" customFormat="false" ht="15" hidden="false" customHeight="false" outlineLevel="0" collapsed="false">
      <c r="A23" s="33" t="str">
        <f aca="false">IF(予測!$A$28="","",IF(COUNTIF(前年当月データ!$A:$A,予測!$A$28-364)&gt;0,DAY(予測!$A$28-364),""))</f>
        <v/>
      </c>
      <c r="B23" s="17" t="str">
        <f aca="false">IF(A23="","",SUMIFS(前年当月データ!$Q:$Q,前年当月データ!$A:$A,予測!$A$28-364))</f>
        <v/>
      </c>
      <c r="C23" s="17" t="str">
        <f aca="false">IF(A23="","",SUMIFS(前年当月データ!$L:$L,前年当月データ!$A:$A,予測!$A$28-364))</f>
        <v/>
      </c>
      <c r="D23" s="33" t="str">
        <f aca="false">IF(予測!$A$28="","",DAY(予測!$A$28))</f>
        <v/>
      </c>
      <c r="E23" s="33" t="str">
        <f aca="false">IF(予測!$A$28="","",CHOOSE(WEEKDAY(予測!$A$28,2),"月","火","水","木","金","土","日"))</f>
        <v/>
      </c>
      <c r="F23" s="34" t="n">
        <f aca="false">IF(OR(予測!$A$28="",J23=0),0,ROUND(INDEX(集計!$D$77:$D$84,MATCH(予測!$C$28,集計!$A$77:$A$84,0))*設定!$B$26*設定!$B$24,-1))</f>
        <v>0</v>
      </c>
      <c r="G23" s="34" t="n">
        <f aca="false">IF(OR(予測!$A$28="",K23=0),0,ROUND(INDEX(集計!$G$77:$G$84,MATCH(予測!$C$28,集計!$A$77:$A$84,0))*設定!$B$26*設定!$B$24,-1))</f>
        <v>0</v>
      </c>
      <c r="H23" s="34" t="n">
        <f aca="false">IF(OR(予測!$A$28="",L23=0),0,ROUND(INDEX(集計!$J$77:$J$84,MATCH(予測!$C$28,集計!$A$77:$A$84,0))*設定!$B$26*設定!$B$24,-1))</f>
        <v>0</v>
      </c>
      <c r="I23" s="34" t="n">
        <f aca="false">IF(OR(予測!$A$28="",M23=0),0,ROUND(INDEX(集計!$M$77:$M$84,MATCH(予測!$C$28,集計!$A$77:$A$84,0))*設定!$B$26*設定!$B$24,-1))</f>
        <v>0</v>
      </c>
      <c r="J23" s="34" t="n">
        <f aca="false">IF(予測!$A$28="",0,ROUND(SUMIF(時間帯別予測!$E$3:$Q$3,"ランチ",時間帯別予測!$E$24:$Q$24),0))</f>
        <v>0</v>
      </c>
      <c r="K23" s="34" t="n">
        <f aca="false">IF(予測!$A$28="",0,ROUND(SUMIF(時間帯別予測!$E$3:$Q$3,"アイドル",時間帯別予測!$E$24:$Q$24),0))</f>
        <v>0</v>
      </c>
      <c r="L23" s="34" t="n">
        <f aca="false">IF(予測!$A$28="",0,MAX(0,予測!$O$28-J23-K23-M23))</f>
        <v>0</v>
      </c>
      <c r="M23" s="34" t="n">
        <f aca="false">IF(予測!$A$28="",0,ROUND(SUMIF(時間帯別予測!$E$3:$Q$3,"ナイト",時間帯別予測!$E$24:$Q$24),0))</f>
        <v>0</v>
      </c>
      <c r="N23" s="17" t="n">
        <f aca="false">F23*J23</f>
        <v>0</v>
      </c>
      <c r="O23" s="17" t="n">
        <f aca="false">G23*K23</f>
        <v>0</v>
      </c>
      <c r="P23" s="17" t="n">
        <f aca="false">H23*L23</f>
        <v>0</v>
      </c>
      <c r="Q23" s="17" t="n">
        <f aca="false">I23*M23</f>
        <v>0</v>
      </c>
      <c r="R23" s="21" t="n">
        <f aca="false">SUM(J23:M23)</f>
        <v>0</v>
      </c>
      <c r="S23" s="21" t="n">
        <f aca="false">SUM(N23:Q23)</f>
        <v>0</v>
      </c>
      <c r="T23" s="17" t="str">
        <f aca="false">IFERROR(S23/R23,"")</f>
        <v/>
      </c>
    </row>
    <row r="24" customFormat="false" ht="15" hidden="false" customHeight="false" outlineLevel="0" collapsed="false">
      <c r="A24" s="33" t="str">
        <f aca="false">IF(予測!$A$29="","",IF(COUNTIF(前年当月データ!$A:$A,予測!$A$29-364)&gt;0,DAY(予測!$A$29-364),""))</f>
        <v/>
      </c>
      <c r="B24" s="17" t="str">
        <f aca="false">IF(A24="","",SUMIFS(前年当月データ!$Q:$Q,前年当月データ!$A:$A,予測!$A$29-364))</f>
        <v/>
      </c>
      <c r="C24" s="17" t="str">
        <f aca="false">IF(A24="","",SUMIFS(前年当月データ!$L:$L,前年当月データ!$A:$A,予測!$A$29-364))</f>
        <v/>
      </c>
      <c r="D24" s="33" t="str">
        <f aca="false">IF(予測!$A$29="","",DAY(予測!$A$29))</f>
        <v/>
      </c>
      <c r="E24" s="33" t="str">
        <f aca="false">IF(予測!$A$29="","",CHOOSE(WEEKDAY(予測!$A$29,2),"月","火","水","木","金","土","日"))</f>
        <v/>
      </c>
      <c r="F24" s="34" t="n">
        <f aca="false">IF(OR(予測!$A$29="",J24=0),0,ROUND(INDEX(集計!$D$77:$D$84,MATCH(予測!$C$29,集計!$A$77:$A$84,0))*設定!$B$26*設定!$B$24,-1))</f>
        <v>0</v>
      </c>
      <c r="G24" s="34" t="n">
        <f aca="false">IF(OR(予測!$A$29="",K24=0),0,ROUND(INDEX(集計!$G$77:$G$84,MATCH(予測!$C$29,集計!$A$77:$A$84,0))*設定!$B$26*設定!$B$24,-1))</f>
        <v>0</v>
      </c>
      <c r="H24" s="34" t="n">
        <f aca="false">IF(OR(予測!$A$29="",L24=0),0,ROUND(INDEX(集計!$J$77:$J$84,MATCH(予測!$C$29,集計!$A$77:$A$84,0))*設定!$B$26*設定!$B$24,-1))</f>
        <v>0</v>
      </c>
      <c r="I24" s="34" t="n">
        <f aca="false">IF(OR(予測!$A$29="",M24=0),0,ROUND(INDEX(集計!$M$77:$M$84,MATCH(予測!$C$29,集計!$A$77:$A$84,0))*設定!$B$26*設定!$B$24,-1))</f>
        <v>0</v>
      </c>
      <c r="J24" s="34" t="n">
        <f aca="false">IF(予測!$A$29="",0,ROUND(SUMIF(時間帯別予測!$E$3:$Q$3,"ランチ",時間帯別予測!$E$25:$Q$25),0))</f>
        <v>0</v>
      </c>
      <c r="K24" s="34" t="n">
        <f aca="false">IF(予測!$A$29="",0,ROUND(SUMIF(時間帯別予測!$E$3:$Q$3,"アイドル",時間帯別予測!$E$25:$Q$25),0))</f>
        <v>0</v>
      </c>
      <c r="L24" s="34" t="n">
        <f aca="false">IF(予測!$A$29="",0,MAX(0,予測!$O$29-J24-K24-M24))</f>
        <v>0</v>
      </c>
      <c r="M24" s="34" t="n">
        <f aca="false">IF(予測!$A$29="",0,ROUND(SUMIF(時間帯別予測!$E$3:$Q$3,"ナイト",時間帯別予測!$E$25:$Q$25),0))</f>
        <v>0</v>
      </c>
      <c r="N24" s="17" t="n">
        <f aca="false">F24*J24</f>
        <v>0</v>
      </c>
      <c r="O24" s="17" t="n">
        <f aca="false">G24*K24</f>
        <v>0</v>
      </c>
      <c r="P24" s="17" t="n">
        <f aca="false">H24*L24</f>
        <v>0</v>
      </c>
      <c r="Q24" s="17" t="n">
        <f aca="false">I24*M24</f>
        <v>0</v>
      </c>
      <c r="R24" s="21" t="n">
        <f aca="false">SUM(J24:M24)</f>
        <v>0</v>
      </c>
      <c r="S24" s="21" t="n">
        <f aca="false">SUM(N24:Q24)</f>
        <v>0</v>
      </c>
      <c r="T24" s="17" t="str">
        <f aca="false">IFERROR(S24/R24,"")</f>
        <v/>
      </c>
    </row>
    <row r="25" customFormat="false" ht="15" hidden="false" customHeight="false" outlineLevel="0" collapsed="false">
      <c r="A25" s="33" t="str">
        <f aca="false">IF(予測!$A$30="","",IF(COUNTIF(前年当月データ!$A:$A,予測!$A$30-364)&gt;0,DAY(予測!$A$30-364),""))</f>
        <v/>
      </c>
      <c r="B25" s="17" t="str">
        <f aca="false">IF(A25="","",SUMIFS(前年当月データ!$Q:$Q,前年当月データ!$A:$A,予測!$A$30-364))</f>
        <v/>
      </c>
      <c r="C25" s="17" t="str">
        <f aca="false">IF(A25="","",SUMIFS(前年当月データ!$L:$L,前年当月データ!$A:$A,予測!$A$30-364))</f>
        <v/>
      </c>
      <c r="D25" s="33" t="str">
        <f aca="false">IF(予測!$A$30="","",DAY(予測!$A$30))</f>
        <v/>
      </c>
      <c r="E25" s="33" t="str">
        <f aca="false">IF(予測!$A$30="","",CHOOSE(WEEKDAY(予測!$A$30,2),"月","火","水","木","金","土","日"))</f>
        <v/>
      </c>
      <c r="F25" s="34" t="n">
        <f aca="false">IF(OR(予測!$A$30="",J25=0),0,ROUND(INDEX(集計!$D$77:$D$84,MATCH(予測!$C$30,集計!$A$77:$A$84,0))*設定!$B$26*設定!$B$24,-1))</f>
        <v>0</v>
      </c>
      <c r="G25" s="34" t="n">
        <f aca="false">IF(OR(予測!$A$30="",K25=0),0,ROUND(INDEX(集計!$G$77:$G$84,MATCH(予測!$C$30,集計!$A$77:$A$84,0))*設定!$B$26*設定!$B$24,-1))</f>
        <v>0</v>
      </c>
      <c r="H25" s="34" t="n">
        <f aca="false">IF(OR(予測!$A$30="",L25=0),0,ROUND(INDEX(集計!$J$77:$J$84,MATCH(予測!$C$30,集計!$A$77:$A$84,0))*設定!$B$26*設定!$B$24,-1))</f>
        <v>0</v>
      </c>
      <c r="I25" s="34" t="n">
        <f aca="false">IF(OR(予測!$A$30="",M25=0),0,ROUND(INDEX(集計!$M$77:$M$84,MATCH(予測!$C$30,集計!$A$77:$A$84,0))*設定!$B$26*設定!$B$24,-1))</f>
        <v>0</v>
      </c>
      <c r="J25" s="34" t="n">
        <f aca="false">IF(予測!$A$30="",0,ROUND(SUMIF(時間帯別予測!$E$3:$Q$3,"ランチ",時間帯別予測!$E$26:$Q$26),0))</f>
        <v>0</v>
      </c>
      <c r="K25" s="34" t="n">
        <f aca="false">IF(予測!$A$30="",0,ROUND(SUMIF(時間帯別予測!$E$3:$Q$3,"アイドル",時間帯別予測!$E$26:$Q$26),0))</f>
        <v>0</v>
      </c>
      <c r="L25" s="34" t="n">
        <f aca="false">IF(予測!$A$30="",0,MAX(0,予測!$O$30-J25-K25-M25))</f>
        <v>0</v>
      </c>
      <c r="M25" s="34" t="n">
        <f aca="false">IF(予測!$A$30="",0,ROUND(SUMIF(時間帯別予測!$E$3:$Q$3,"ナイト",時間帯別予測!$E$26:$Q$26),0))</f>
        <v>0</v>
      </c>
      <c r="N25" s="17" t="n">
        <f aca="false">F25*J25</f>
        <v>0</v>
      </c>
      <c r="O25" s="17" t="n">
        <f aca="false">G25*K25</f>
        <v>0</v>
      </c>
      <c r="P25" s="17" t="n">
        <f aca="false">H25*L25</f>
        <v>0</v>
      </c>
      <c r="Q25" s="17" t="n">
        <f aca="false">I25*M25</f>
        <v>0</v>
      </c>
      <c r="R25" s="21" t="n">
        <f aca="false">SUM(J25:M25)</f>
        <v>0</v>
      </c>
      <c r="S25" s="21" t="n">
        <f aca="false">SUM(N25:Q25)</f>
        <v>0</v>
      </c>
      <c r="T25" s="17" t="str">
        <f aca="false">IFERROR(S25/R25,"")</f>
        <v/>
      </c>
    </row>
    <row r="26" customFormat="false" ht="15" hidden="false" customHeight="false" outlineLevel="0" collapsed="false">
      <c r="A26" s="33" t="str">
        <f aca="false">IF(予測!$A$31="","",IF(COUNTIF(前年当月データ!$A:$A,予測!$A$31-364)&gt;0,DAY(予測!$A$31-364),""))</f>
        <v/>
      </c>
      <c r="B26" s="17" t="str">
        <f aca="false">IF(A26="","",SUMIFS(前年当月データ!$Q:$Q,前年当月データ!$A:$A,予測!$A$31-364))</f>
        <v/>
      </c>
      <c r="C26" s="17" t="str">
        <f aca="false">IF(A26="","",SUMIFS(前年当月データ!$L:$L,前年当月データ!$A:$A,予測!$A$31-364))</f>
        <v/>
      </c>
      <c r="D26" s="33" t="str">
        <f aca="false">IF(予測!$A$31="","",DAY(予測!$A$31))</f>
        <v/>
      </c>
      <c r="E26" s="33" t="str">
        <f aca="false">IF(予測!$A$31="","",CHOOSE(WEEKDAY(予測!$A$31,2),"月","火","水","木","金","土","日"))</f>
        <v/>
      </c>
      <c r="F26" s="34" t="n">
        <f aca="false">IF(OR(予測!$A$31="",J26=0),0,ROUND(INDEX(集計!$D$77:$D$84,MATCH(予測!$C$31,集計!$A$77:$A$84,0))*設定!$B$26*設定!$B$24,-1))</f>
        <v>0</v>
      </c>
      <c r="G26" s="34" t="n">
        <f aca="false">IF(OR(予測!$A$31="",K26=0),0,ROUND(INDEX(集計!$G$77:$G$84,MATCH(予測!$C$31,集計!$A$77:$A$84,0))*設定!$B$26*設定!$B$24,-1))</f>
        <v>0</v>
      </c>
      <c r="H26" s="34" t="n">
        <f aca="false">IF(OR(予測!$A$31="",L26=0),0,ROUND(INDEX(集計!$J$77:$J$84,MATCH(予測!$C$31,集計!$A$77:$A$84,0))*設定!$B$26*設定!$B$24,-1))</f>
        <v>0</v>
      </c>
      <c r="I26" s="34" t="n">
        <f aca="false">IF(OR(予測!$A$31="",M26=0),0,ROUND(INDEX(集計!$M$77:$M$84,MATCH(予測!$C$31,集計!$A$77:$A$84,0))*設定!$B$26*設定!$B$24,-1))</f>
        <v>0</v>
      </c>
      <c r="J26" s="34" t="n">
        <f aca="false">IF(予測!$A$31="",0,ROUND(SUMIF(時間帯別予測!$E$3:$Q$3,"ランチ",時間帯別予測!$E$27:$Q$27),0))</f>
        <v>0</v>
      </c>
      <c r="K26" s="34" t="n">
        <f aca="false">IF(予測!$A$31="",0,ROUND(SUMIF(時間帯別予測!$E$3:$Q$3,"アイドル",時間帯別予測!$E$27:$Q$27),0))</f>
        <v>0</v>
      </c>
      <c r="L26" s="34" t="n">
        <f aca="false">IF(予測!$A$31="",0,MAX(0,予測!$O$31-J26-K26-M26))</f>
        <v>0</v>
      </c>
      <c r="M26" s="34" t="n">
        <f aca="false">IF(予測!$A$31="",0,ROUND(SUMIF(時間帯別予測!$E$3:$Q$3,"ナイト",時間帯別予測!$E$27:$Q$27),0))</f>
        <v>0</v>
      </c>
      <c r="N26" s="17" t="n">
        <f aca="false">F26*J26</f>
        <v>0</v>
      </c>
      <c r="O26" s="17" t="n">
        <f aca="false">G26*K26</f>
        <v>0</v>
      </c>
      <c r="P26" s="17" t="n">
        <f aca="false">H26*L26</f>
        <v>0</v>
      </c>
      <c r="Q26" s="17" t="n">
        <f aca="false">I26*M26</f>
        <v>0</v>
      </c>
      <c r="R26" s="21" t="n">
        <f aca="false">SUM(J26:M26)</f>
        <v>0</v>
      </c>
      <c r="S26" s="21" t="n">
        <f aca="false">SUM(N26:Q26)</f>
        <v>0</v>
      </c>
      <c r="T26" s="17" t="str">
        <f aca="false">IFERROR(S26/R26,"")</f>
        <v/>
      </c>
    </row>
    <row r="27" customFormat="false" ht="15" hidden="false" customHeight="false" outlineLevel="0" collapsed="false">
      <c r="A27" s="33" t="str">
        <f aca="false">IF(予測!$A$32="","",IF(COUNTIF(前年当月データ!$A:$A,予測!$A$32-364)&gt;0,DAY(予測!$A$32-364),""))</f>
        <v/>
      </c>
      <c r="B27" s="17" t="str">
        <f aca="false">IF(A27="","",SUMIFS(前年当月データ!$Q:$Q,前年当月データ!$A:$A,予測!$A$32-364))</f>
        <v/>
      </c>
      <c r="C27" s="17" t="str">
        <f aca="false">IF(A27="","",SUMIFS(前年当月データ!$L:$L,前年当月データ!$A:$A,予測!$A$32-364))</f>
        <v/>
      </c>
      <c r="D27" s="33" t="str">
        <f aca="false">IF(予測!$A$32="","",DAY(予測!$A$32))</f>
        <v/>
      </c>
      <c r="E27" s="33" t="str">
        <f aca="false">IF(予測!$A$32="","",CHOOSE(WEEKDAY(予測!$A$32,2),"月","火","水","木","金","土","日"))</f>
        <v/>
      </c>
      <c r="F27" s="34" t="n">
        <f aca="false">IF(OR(予測!$A$32="",J27=0),0,ROUND(INDEX(集計!$D$77:$D$84,MATCH(予測!$C$32,集計!$A$77:$A$84,0))*設定!$B$26*設定!$B$24,-1))</f>
        <v>0</v>
      </c>
      <c r="G27" s="34" t="n">
        <f aca="false">IF(OR(予測!$A$32="",K27=0),0,ROUND(INDEX(集計!$G$77:$G$84,MATCH(予測!$C$32,集計!$A$77:$A$84,0))*設定!$B$26*設定!$B$24,-1))</f>
        <v>0</v>
      </c>
      <c r="H27" s="34" t="n">
        <f aca="false">IF(OR(予測!$A$32="",L27=0),0,ROUND(INDEX(集計!$J$77:$J$84,MATCH(予測!$C$32,集計!$A$77:$A$84,0))*設定!$B$26*設定!$B$24,-1))</f>
        <v>0</v>
      </c>
      <c r="I27" s="34" t="n">
        <f aca="false">IF(OR(予測!$A$32="",M27=0),0,ROUND(INDEX(集計!$M$77:$M$84,MATCH(予測!$C$32,集計!$A$77:$A$84,0))*設定!$B$26*設定!$B$24,-1))</f>
        <v>0</v>
      </c>
      <c r="J27" s="34" t="n">
        <f aca="false">IF(予測!$A$32="",0,ROUND(SUMIF(時間帯別予測!$E$3:$Q$3,"ランチ",時間帯別予測!$E$28:$Q$28),0))</f>
        <v>0</v>
      </c>
      <c r="K27" s="34" t="n">
        <f aca="false">IF(予測!$A$32="",0,ROUND(SUMIF(時間帯別予測!$E$3:$Q$3,"アイドル",時間帯別予測!$E$28:$Q$28),0))</f>
        <v>0</v>
      </c>
      <c r="L27" s="34" t="n">
        <f aca="false">IF(予測!$A$32="",0,MAX(0,予測!$O$32-J27-K27-M27))</f>
        <v>0</v>
      </c>
      <c r="M27" s="34" t="n">
        <f aca="false">IF(予測!$A$32="",0,ROUND(SUMIF(時間帯別予測!$E$3:$Q$3,"ナイト",時間帯別予測!$E$28:$Q$28),0))</f>
        <v>0</v>
      </c>
      <c r="N27" s="17" t="n">
        <f aca="false">F27*J27</f>
        <v>0</v>
      </c>
      <c r="O27" s="17" t="n">
        <f aca="false">G27*K27</f>
        <v>0</v>
      </c>
      <c r="P27" s="17" t="n">
        <f aca="false">H27*L27</f>
        <v>0</v>
      </c>
      <c r="Q27" s="17" t="n">
        <f aca="false">I27*M27</f>
        <v>0</v>
      </c>
      <c r="R27" s="21" t="n">
        <f aca="false">SUM(J27:M27)</f>
        <v>0</v>
      </c>
      <c r="S27" s="21" t="n">
        <f aca="false">SUM(N27:Q27)</f>
        <v>0</v>
      </c>
      <c r="T27" s="17" t="str">
        <f aca="false">IFERROR(S27/R27,"")</f>
        <v/>
      </c>
    </row>
    <row r="28" customFormat="false" ht="15" hidden="false" customHeight="false" outlineLevel="0" collapsed="false">
      <c r="A28" s="33" t="str">
        <f aca="false">IF(予測!$A$33="","",IF(COUNTIF(前年当月データ!$A:$A,予測!$A$33-364)&gt;0,DAY(予測!$A$33-364),""))</f>
        <v/>
      </c>
      <c r="B28" s="17" t="str">
        <f aca="false">IF(A28="","",SUMIFS(前年当月データ!$Q:$Q,前年当月データ!$A:$A,予測!$A$33-364))</f>
        <v/>
      </c>
      <c r="C28" s="17" t="str">
        <f aca="false">IF(A28="","",SUMIFS(前年当月データ!$L:$L,前年当月データ!$A:$A,予測!$A$33-364))</f>
        <v/>
      </c>
      <c r="D28" s="33" t="str">
        <f aca="false">IF(予測!$A$33="","",DAY(予測!$A$33))</f>
        <v/>
      </c>
      <c r="E28" s="33" t="str">
        <f aca="false">IF(予測!$A$33="","",CHOOSE(WEEKDAY(予測!$A$33,2),"月","火","水","木","金","土","日"))</f>
        <v/>
      </c>
      <c r="F28" s="34" t="n">
        <f aca="false">IF(OR(予測!$A$33="",J28=0),0,ROUND(INDEX(集計!$D$77:$D$84,MATCH(予測!$C$33,集計!$A$77:$A$84,0))*設定!$B$26*設定!$B$24,-1))</f>
        <v>0</v>
      </c>
      <c r="G28" s="34" t="n">
        <f aca="false">IF(OR(予測!$A$33="",K28=0),0,ROUND(INDEX(集計!$G$77:$G$84,MATCH(予測!$C$33,集計!$A$77:$A$84,0))*設定!$B$26*設定!$B$24,-1))</f>
        <v>0</v>
      </c>
      <c r="H28" s="34" t="n">
        <f aca="false">IF(OR(予測!$A$33="",L28=0),0,ROUND(INDEX(集計!$J$77:$J$84,MATCH(予測!$C$33,集計!$A$77:$A$84,0))*設定!$B$26*設定!$B$24,-1))</f>
        <v>0</v>
      </c>
      <c r="I28" s="34" t="n">
        <f aca="false">IF(OR(予測!$A$33="",M28=0),0,ROUND(INDEX(集計!$M$77:$M$84,MATCH(予測!$C$33,集計!$A$77:$A$84,0))*設定!$B$26*設定!$B$24,-1))</f>
        <v>0</v>
      </c>
      <c r="J28" s="34" t="n">
        <f aca="false">IF(予測!$A$33="",0,ROUND(SUMIF(時間帯別予測!$E$3:$Q$3,"ランチ",時間帯別予測!$E$29:$Q$29),0))</f>
        <v>0</v>
      </c>
      <c r="K28" s="34" t="n">
        <f aca="false">IF(予測!$A$33="",0,ROUND(SUMIF(時間帯別予測!$E$3:$Q$3,"アイドル",時間帯別予測!$E$29:$Q$29),0))</f>
        <v>0</v>
      </c>
      <c r="L28" s="34" t="n">
        <f aca="false">IF(予測!$A$33="",0,MAX(0,予測!$O$33-J28-K28-M28))</f>
        <v>0</v>
      </c>
      <c r="M28" s="34" t="n">
        <f aca="false">IF(予測!$A$33="",0,ROUND(SUMIF(時間帯別予測!$E$3:$Q$3,"ナイト",時間帯別予測!$E$29:$Q$29),0))</f>
        <v>0</v>
      </c>
      <c r="N28" s="17" t="n">
        <f aca="false">F28*J28</f>
        <v>0</v>
      </c>
      <c r="O28" s="17" t="n">
        <f aca="false">G28*K28</f>
        <v>0</v>
      </c>
      <c r="P28" s="17" t="n">
        <f aca="false">H28*L28</f>
        <v>0</v>
      </c>
      <c r="Q28" s="17" t="n">
        <f aca="false">I28*M28</f>
        <v>0</v>
      </c>
      <c r="R28" s="21" t="n">
        <f aca="false">SUM(J28:M28)</f>
        <v>0</v>
      </c>
      <c r="S28" s="21" t="n">
        <f aca="false">SUM(N28:Q28)</f>
        <v>0</v>
      </c>
      <c r="T28" s="17" t="str">
        <f aca="false">IFERROR(S28/R28,"")</f>
        <v/>
      </c>
    </row>
    <row r="29" customFormat="false" ht="15" hidden="false" customHeight="false" outlineLevel="0" collapsed="false">
      <c r="A29" s="33" t="str">
        <f aca="false">IF(予測!$A$34="","",IF(COUNTIF(前年当月データ!$A:$A,予測!$A$34-364)&gt;0,DAY(予測!$A$34-364),""))</f>
        <v/>
      </c>
      <c r="B29" s="17" t="str">
        <f aca="false">IF(A29="","",SUMIFS(前年当月データ!$Q:$Q,前年当月データ!$A:$A,予測!$A$34-364))</f>
        <v/>
      </c>
      <c r="C29" s="17" t="str">
        <f aca="false">IF(A29="","",SUMIFS(前年当月データ!$L:$L,前年当月データ!$A:$A,予測!$A$34-364))</f>
        <v/>
      </c>
      <c r="D29" s="33" t="str">
        <f aca="false">IF(予測!$A$34="","",DAY(予測!$A$34))</f>
        <v/>
      </c>
      <c r="E29" s="33" t="str">
        <f aca="false">IF(予測!$A$34="","",CHOOSE(WEEKDAY(予測!$A$34,2),"月","火","水","木","金","土","日"))</f>
        <v/>
      </c>
      <c r="F29" s="34" t="n">
        <f aca="false">IF(OR(予測!$A$34="",J29=0),0,ROUND(INDEX(集計!$D$77:$D$84,MATCH(予測!$C$34,集計!$A$77:$A$84,0))*設定!$B$26*設定!$B$24,-1))</f>
        <v>0</v>
      </c>
      <c r="G29" s="34" t="n">
        <f aca="false">IF(OR(予測!$A$34="",K29=0),0,ROUND(INDEX(集計!$G$77:$G$84,MATCH(予測!$C$34,集計!$A$77:$A$84,0))*設定!$B$26*設定!$B$24,-1))</f>
        <v>0</v>
      </c>
      <c r="H29" s="34" t="n">
        <f aca="false">IF(OR(予測!$A$34="",L29=0),0,ROUND(INDEX(集計!$J$77:$J$84,MATCH(予測!$C$34,集計!$A$77:$A$84,0))*設定!$B$26*設定!$B$24,-1))</f>
        <v>0</v>
      </c>
      <c r="I29" s="34" t="n">
        <f aca="false">IF(OR(予測!$A$34="",M29=0),0,ROUND(INDEX(集計!$M$77:$M$84,MATCH(予測!$C$34,集計!$A$77:$A$84,0))*設定!$B$26*設定!$B$24,-1))</f>
        <v>0</v>
      </c>
      <c r="J29" s="34" t="n">
        <f aca="false">IF(予測!$A$34="",0,ROUND(SUMIF(時間帯別予測!$E$3:$Q$3,"ランチ",時間帯別予測!$E$30:$Q$30),0))</f>
        <v>0</v>
      </c>
      <c r="K29" s="34" t="n">
        <f aca="false">IF(予測!$A$34="",0,ROUND(SUMIF(時間帯別予測!$E$3:$Q$3,"アイドル",時間帯別予測!$E$30:$Q$30),0))</f>
        <v>0</v>
      </c>
      <c r="L29" s="34" t="n">
        <f aca="false">IF(予測!$A$34="",0,MAX(0,予測!$O$34-J29-K29-M29))</f>
        <v>0</v>
      </c>
      <c r="M29" s="34" t="n">
        <f aca="false">IF(予測!$A$34="",0,ROUND(SUMIF(時間帯別予測!$E$3:$Q$3,"ナイト",時間帯別予測!$E$30:$Q$30),0))</f>
        <v>0</v>
      </c>
      <c r="N29" s="17" t="n">
        <f aca="false">F29*J29</f>
        <v>0</v>
      </c>
      <c r="O29" s="17" t="n">
        <f aca="false">G29*K29</f>
        <v>0</v>
      </c>
      <c r="P29" s="17" t="n">
        <f aca="false">H29*L29</f>
        <v>0</v>
      </c>
      <c r="Q29" s="17" t="n">
        <f aca="false">I29*M29</f>
        <v>0</v>
      </c>
      <c r="R29" s="21" t="n">
        <f aca="false">SUM(J29:M29)</f>
        <v>0</v>
      </c>
      <c r="S29" s="21" t="n">
        <f aca="false">SUM(N29:Q29)</f>
        <v>0</v>
      </c>
      <c r="T29" s="17" t="str">
        <f aca="false">IFERROR(S29/R29,"")</f>
        <v/>
      </c>
    </row>
    <row r="30" customFormat="false" ht="15" hidden="false" customHeight="false" outlineLevel="0" collapsed="false">
      <c r="A30" s="33" t="str">
        <f aca="false">IF(予測!$A$35="","",IF(COUNTIF(前年当月データ!$A:$A,予測!$A$35-364)&gt;0,DAY(予測!$A$35-364),""))</f>
        <v/>
      </c>
      <c r="B30" s="17" t="str">
        <f aca="false">IF(A30="","",SUMIFS(前年当月データ!$Q:$Q,前年当月データ!$A:$A,予測!$A$35-364))</f>
        <v/>
      </c>
      <c r="C30" s="17" t="str">
        <f aca="false">IF(A30="","",SUMIFS(前年当月データ!$L:$L,前年当月データ!$A:$A,予測!$A$35-364))</f>
        <v/>
      </c>
      <c r="D30" s="33" t="str">
        <f aca="false">IF(予測!$A$35="","",DAY(予測!$A$35))</f>
        <v/>
      </c>
      <c r="E30" s="33" t="str">
        <f aca="false">IF(予測!$A$35="","",CHOOSE(WEEKDAY(予測!$A$35,2),"月","火","水","木","金","土","日"))</f>
        <v/>
      </c>
      <c r="F30" s="34" t="n">
        <f aca="false">IF(OR(予測!$A$35="",J30=0),0,ROUND(INDEX(集計!$D$77:$D$84,MATCH(予測!$C$35,集計!$A$77:$A$84,0))*設定!$B$26*設定!$B$24,-1))</f>
        <v>0</v>
      </c>
      <c r="G30" s="34" t="n">
        <f aca="false">IF(OR(予測!$A$35="",K30=0),0,ROUND(INDEX(集計!$G$77:$G$84,MATCH(予測!$C$35,集計!$A$77:$A$84,0))*設定!$B$26*設定!$B$24,-1))</f>
        <v>0</v>
      </c>
      <c r="H30" s="34" t="n">
        <f aca="false">IF(OR(予測!$A$35="",L30=0),0,ROUND(INDEX(集計!$J$77:$J$84,MATCH(予測!$C$35,集計!$A$77:$A$84,0))*設定!$B$26*設定!$B$24,-1))</f>
        <v>0</v>
      </c>
      <c r="I30" s="34" t="n">
        <f aca="false">IF(OR(予測!$A$35="",M30=0),0,ROUND(INDEX(集計!$M$77:$M$84,MATCH(予測!$C$35,集計!$A$77:$A$84,0))*設定!$B$26*設定!$B$24,-1))</f>
        <v>0</v>
      </c>
      <c r="J30" s="34" t="n">
        <f aca="false">IF(予測!$A$35="",0,ROUND(SUMIF(時間帯別予測!$E$3:$Q$3,"ランチ",時間帯別予測!$E$31:$Q$31),0))</f>
        <v>0</v>
      </c>
      <c r="K30" s="34" t="n">
        <f aca="false">IF(予測!$A$35="",0,ROUND(SUMIF(時間帯別予測!$E$3:$Q$3,"アイドル",時間帯別予測!$E$31:$Q$31),0))</f>
        <v>0</v>
      </c>
      <c r="L30" s="34" t="n">
        <f aca="false">IF(予測!$A$35="",0,MAX(0,予測!$O$35-J30-K30-M30))</f>
        <v>0</v>
      </c>
      <c r="M30" s="34" t="n">
        <f aca="false">IF(予測!$A$35="",0,ROUND(SUMIF(時間帯別予測!$E$3:$Q$3,"ナイト",時間帯別予測!$E$31:$Q$31),0))</f>
        <v>0</v>
      </c>
      <c r="N30" s="17" t="n">
        <f aca="false">F30*J30</f>
        <v>0</v>
      </c>
      <c r="O30" s="17" t="n">
        <f aca="false">G30*K30</f>
        <v>0</v>
      </c>
      <c r="P30" s="17" t="n">
        <f aca="false">H30*L30</f>
        <v>0</v>
      </c>
      <c r="Q30" s="17" t="n">
        <f aca="false">I30*M30</f>
        <v>0</v>
      </c>
      <c r="R30" s="21" t="n">
        <f aca="false">SUM(J30:M30)</f>
        <v>0</v>
      </c>
      <c r="S30" s="21" t="n">
        <f aca="false">SUM(N30:Q30)</f>
        <v>0</v>
      </c>
      <c r="T30" s="17" t="str">
        <f aca="false">IFERROR(S30/R30,"")</f>
        <v/>
      </c>
    </row>
    <row r="31" customFormat="false" ht="15" hidden="false" customHeight="false" outlineLevel="0" collapsed="false">
      <c r="A31" s="33" t="str">
        <f aca="false">IF(予測!$A$36="","",IF(COUNTIF(前年当月データ!$A:$A,予測!$A$36-364)&gt;0,DAY(予測!$A$36-364),""))</f>
        <v/>
      </c>
      <c r="B31" s="17" t="str">
        <f aca="false">IF(A31="","",SUMIFS(前年当月データ!$Q:$Q,前年当月データ!$A:$A,予測!$A$36-364))</f>
        <v/>
      </c>
      <c r="C31" s="17" t="str">
        <f aca="false">IF(A31="","",SUMIFS(前年当月データ!$L:$L,前年当月データ!$A:$A,予測!$A$36-364))</f>
        <v/>
      </c>
      <c r="D31" s="33" t="str">
        <f aca="false">IF(予測!$A$36="","",DAY(予測!$A$36))</f>
        <v/>
      </c>
      <c r="E31" s="33" t="str">
        <f aca="false">IF(予測!$A$36="","",CHOOSE(WEEKDAY(予測!$A$36,2),"月","火","水","木","金","土","日"))</f>
        <v/>
      </c>
      <c r="F31" s="34" t="n">
        <f aca="false">IF(OR(予測!$A$36="",J31=0),0,ROUND(INDEX(集計!$D$77:$D$84,MATCH(予測!$C$36,集計!$A$77:$A$84,0))*設定!$B$26*設定!$B$24,-1))</f>
        <v>0</v>
      </c>
      <c r="G31" s="34" t="n">
        <f aca="false">IF(OR(予測!$A$36="",K31=0),0,ROUND(INDEX(集計!$G$77:$G$84,MATCH(予測!$C$36,集計!$A$77:$A$84,0))*設定!$B$26*設定!$B$24,-1))</f>
        <v>0</v>
      </c>
      <c r="H31" s="34" t="n">
        <f aca="false">IF(OR(予測!$A$36="",L31=0),0,ROUND(INDEX(集計!$J$77:$J$84,MATCH(予測!$C$36,集計!$A$77:$A$84,0))*設定!$B$26*設定!$B$24,-1))</f>
        <v>0</v>
      </c>
      <c r="I31" s="34" t="n">
        <f aca="false">IF(OR(予測!$A$36="",M31=0),0,ROUND(INDEX(集計!$M$77:$M$84,MATCH(予測!$C$36,集計!$A$77:$A$84,0))*設定!$B$26*設定!$B$24,-1))</f>
        <v>0</v>
      </c>
      <c r="J31" s="34" t="n">
        <f aca="false">IF(予測!$A$36="",0,ROUND(SUMIF(時間帯別予測!$E$3:$Q$3,"ランチ",時間帯別予測!$E$32:$Q$32),0))</f>
        <v>0</v>
      </c>
      <c r="K31" s="34" t="n">
        <f aca="false">IF(予測!$A$36="",0,ROUND(SUMIF(時間帯別予測!$E$3:$Q$3,"アイドル",時間帯別予測!$E$32:$Q$32),0))</f>
        <v>0</v>
      </c>
      <c r="L31" s="34" t="n">
        <f aca="false">IF(予測!$A$36="",0,MAX(0,予測!$O$36-J31-K31-M31))</f>
        <v>0</v>
      </c>
      <c r="M31" s="34" t="n">
        <f aca="false">IF(予測!$A$36="",0,ROUND(SUMIF(時間帯別予測!$E$3:$Q$3,"ナイト",時間帯別予測!$E$32:$Q$32),0))</f>
        <v>0</v>
      </c>
      <c r="N31" s="17" t="n">
        <f aca="false">F31*J31</f>
        <v>0</v>
      </c>
      <c r="O31" s="17" t="n">
        <f aca="false">G31*K31</f>
        <v>0</v>
      </c>
      <c r="P31" s="17" t="n">
        <f aca="false">H31*L31</f>
        <v>0</v>
      </c>
      <c r="Q31" s="17" t="n">
        <f aca="false">I31*M31</f>
        <v>0</v>
      </c>
      <c r="R31" s="21" t="n">
        <f aca="false">SUM(J31:M31)</f>
        <v>0</v>
      </c>
      <c r="S31" s="21" t="n">
        <f aca="false">SUM(N31:Q31)</f>
        <v>0</v>
      </c>
      <c r="T31" s="17" t="str">
        <f aca="false">IFERROR(S31/R31,"")</f>
        <v/>
      </c>
    </row>
    <row r="32" customFormat="false" ht="15" hidden="false" customHeight="false" outlineLevel="0" collapsed="false">
      <c r="A32" s="33" t="str">
        <f aca="false">IF(予測!$A$37="","",IF(COUNTIF(前年当月データ!$A:$A,予測!$A$37-364)&gt;0,DAY(予測!$A$37-364),""))</f>
        <v/>
      </c>
      <c r="B32" s="17" t="str">
        <f aca="false">IF(A32="","",SUMIFS(前年当月データ!$Q:$Q,前年当月データ!$A:$A,予測!$A$37-364))</f>
        <v/>
      </c>
      <c r="C32" s="17" t="str">
        <f aca="false">IF(A32="","",SUMIFS(前年当月データ!$L:$L,前年当月データ!$A:$A,予測!$A$37-364))</f>
        <v/>
      </c>
      <c r="D32" s="33" t="str">
        <f aca="false">IF(予測!$A$37="","",DAY(予測!$A$37))</f>
        <v/>
      </c>
      <c r="E32" s="33" t="str">
        <f aca="false">IF(予測!$A$37="","",CHOOSE(WEEKDAY(予測!$A$37,2),"月","火","水","木","金","土","日"))</f>
        <v/>
      </c>
      <c r="F32" s="34" t="n">
        <f aca="false">IF(OR(予測!$A$37="",J32=0),0,ROUND(INDEX(集計!$D$77:$D$84,MATCH(予測!$C$37,集計!$A$77:$A$84,0))*設定!$B$26*設定!$B$24,-1))</f>
        <v>0</v>
      </c>
      <c r="G32" s="34" t="n">
        <f aca="false">IF(OR(予測!$A$37="",K32=0),0,ROUND(INDEX(集計!$G$77:$G$84,MATCH(予測!$C$37,集計!$A$77:$A$84,0))*設定!$B$26*設定!$B$24,-1))</f>
        <v>0</v>
      </c>
      <c r="H32" s="34" t="n">
        <f aca="false">IF(OR(予測!$A$37="",L32=0),0,ROUND(INDEX(集計!$J$77:$J$84,MATCH(予測!$C$37,集計!$A$77:$A$84,0))*設定!$B$26*設定!$B$24,-1))</f>
        <v>0</v>
      </c>
      <c r="I32" s="34" t="n">
        <f aca="false">IF(OR(予測!$A$37="",M32=0),0,ROUND(INDEX(集計!$M$77:$M$84,MATCH(予測!$C$37,集計!$A$77:$A$84,0))*設定!$B$26*設定!$B$24,-1))</f>
        <v>0</v>
      </c>
      <c r="J32" s="34" t="n">
        <f aca="false">IF(予測!$A$37="",0,ROUND(SUMIF(時間帯別予測!$E$3:$Q$3,"ランチ",時間帯別予測!$E$33:$Q$33),0))</f>
        <v>0</v>
      </c>
      <c r="K32" s="34" t="n">
        <f aca="false">IF(予測!$A$37="",0,ROUND(SUMIF(時間帯別予測!$E$3:$Q$3,"アイドル",時間帯別予測!$E$33:$Q$33),0))</f>
        <v>0</v>
      </c>
      <c r="L32" s="34" t="n">
        <f aca="false">IF(予測!$A$37="",0,MAX(0,予測!$O$37-J32-K32-M32))</f>
        <v>0</v>
      </c>
      <c r="M32" s="34" t="n">
        <f aca="false">IF(予測!$A$37="",0,ROUND(SUMIF(時間帯別予測!$E$3:$Q$3,"ナイト",時間帯別予測!$E$33:$Q$33),0))</f>
        <v>0</v>
      </c>
      <c r="N32" s="17" t="n">
        <f aca="false">F32*J32</f>
        <v>0</v>
      </c>
      <c r="O32" s="17" t="n">
        <f aca="false">G32*K32</f>
        <v>0</v>
      </c>
      <c r="P32" s="17" t="n">
        <f aca="false">H32*L32</f>
        <v>0</v>
      </c>
      <c r="Q32" s="17" t="n">
        <f aca="false">I32*M32</f>
        <v>0</v>
      </c>
      <c r="R32" s="21" t="n">
        <f aca="false">SUM(J32:M32)</f>
        <v>0</v>
      </c>
      <c r="S32" s="21" t="n">
        <f aca="false">SUM(N32:Q32)</f>
        <v>0</v>
      </c>
      <c r="T32" s="17" t="str">
        <f aca="false">IFERROR(S32/R32,"")</f>
        <v/>
      </c>
    </row>
    <row r="33" customFormat="false" ht="15" hidden="false" customHeight="false" outlineLevel="0" collapsed="false">
      <c r="A33" s="33" t="str">
        <f aca="false">IF(予測!$A$38="","",IF(COUNTIF(前年当月データ!$A:$A,予測!$A$38-364)&gt;0,DAY(予測!$A$38-364),""))</f>
        <v/>
      </c>
      <c r="B33" s="17" t="str">
        <f aca="false">IF(A33="","",SUMIFS(前年当月データ!$Q:$Q,前年当月データ!$A:$A,予測!$A$38-364))</f>
        <v/>
      </c>
      <c r="C33" s="17" t="str">
        <f aca="false">IF(A33="","",SUMIFS(前年当月データ!$L:$L,前年当月データ!$A:$A,予測!$A$38-364))</f>
        <v/>
      </c>
      <c r="D33" s="33" t="str">
        <f aca="false">IF(予測!$A$38="","",DAY(予測!$A$38))</f>
        <v/>
      </c>
      <c r="E33" s="33" t="str">
        <f aca="false">IF(予測!$A$38="","",CHOOSE(WEEKDAY(予測!$A$38,2),"月","火","水","木","金","土","日"))</f>
        <v/>
      </c>
      <c r="F33" s="34" t="n">
        <f aca="false">IF(OR(予測!$A$38="",J33=0),0,ROUND(INDEX(集計!$D$77:$D$84,MATCH(予測!$C$38,集計!$A$77:$A$84,0))*設定!$B$26*設定!$B$24,-1))</f>
        <v>0</v>
      </c>
      <c r="G33" s="34" t="n">
        <f aca="false">IF(OR(予測!$A$38="",K33=0),0,ROUND(INDEX(集計!$G$77:$G$84,MATCH(予測!$C$38,集計!$A$77:$A$84,0))*設定!$B$26*設定!$B$24,-1))</f>
        <v>0</v>
      </c>
      <c r="H33" s="34" t="n">
        <f aca="false">IF(OR(予測!$A$38="",L33=0),0,ROUND(INDEX(集計!$J$77:$J$84,MATCH(予測!$C$38,集計!$A$77:$A$84,0))*設定!$B$26*設定!$B$24,-1))</f>
        <v>0</v>
      </c>
      <c r="I33" s="34" t="n">
        <f aca="false">IF(OR(予測!$A$38="",M33=0),0,ROUND(INDEX(集計!$M$77:$M$84,MATCH(予測!$C$38,集計!$A$77:$A$84,0))*設定!$B$26*設定!$B$24,-1))</f>
        <v>0</v>
      </c>
      <c r="J33" s="34" t="n">
        <f aca="false">IF(予測!$A$38="",0,ROUND(SUMIF(時間帯別予測!$E$3:$Q$3,"ランチ",時間帯別予測!$E$34:$Q$34),0))</f>
        <v>0</v>
      </c>
      <c r="K33" s="34" t="n">
        <f aca="false">IF(予測!$A$38="",0,ROUND(SUMIF(時間帯別予測!$E$3:$Q$3,"アイドル",時間帯別予測!$E$34:$Q$34),0))</f>
        <v>0</v>
      </c>
      <c r="L33" s="34" t="n">
        <f aca="false">IF(予測!$A$38="",0,MAX(0,予測!$O$38-J33-K33-M33))</f>
        <v>0</v>
      </c>
      <c r="M33" s="34" t="n">
        <f aca="false">IF(予測!$A$38="",0,ROUND(SUMIF(時間帯別予測!$E$3:$Q$3,"ナイト",時間帯別予測!$E$34:$Q$34),0))</f>
        <v>0</v>
      </c>
      <c r="N33" s="17" t="n">
        <f aca="false">F33*J33</f>
        <v>0</v>
      </c>
      <c r="O33" s="17" t="n">
        <f aca="false">G33*K33</f>
        <v>0</v>
      </c>
      <c r="P33" s="17" t="n">
        <f aca="false">H33*L33</f>
        <v>0</v>
      </c>
      <c r="Q33" s="17" t="n">
        <f aca="false">I33*M33</f>
        <v>0</v>
      </c>
      <c r="R33" s="21" t="n">
        <f aca="false">SUM(J33:M33)</f>
        <v>0</v>
      </c>
      <c r="S33" s="21" t="n">
        <f aca="false">SUM(N33:Q33)</f>
        <v>0</v>
      </c>
      <c r="T33" s="17" t="str">
        <f aca="false">IFERROR(S33/R33,"")</f>
        <v/>
      </c>
    </row>
    <row r="34" customFormat="false" ht="15" hidden="false" customHeight="false" outlineLevel="0" collapsed="false">
      <c r="A34" s="33" t="str">
        <f aca="false">IF(予測!$A$39="","",IF(COUNTIF(前年当月データ!$A:$A,予測!$A$39-364)&gt;0,DAY(予測!$A$39-364),""))</f>
        <v/>
      </c>
      <c r="B34" s="17" t="str">
        <f aca="false">IF(A34="","",SUMIFS(前年当月データ!$Q:$Q,前年当月データ!$A:$A,予測!$A$39-364))</f>
        <v/>
      </c>
      <c r="C34" s="17" t="str">
        <f aca="false">IF(A34="","",SUMIFS(前年当月データ!$L:$L,前年当月データ!$A:$A,予測!$A$39-364))</f>
        <v/>
      </c>
      <c r="D34" s="33" t="str">
        <f aca="false">IF(予測!$A$39="","",DAY(予測!$A$39))</f>
        <v/>
      </c>
      <c r="E34" s="33" t="str">
        <f aca="false">IF(予測!$A$39="","",CHOOSE(WEEKDAY(予測!$A$39,2),"月","火","水","木","金","土","日"))</f>
        <v/>
      </c>
      <c r="F34" s="34" t="n">
        <f aca="false">IF(OR(予測!$A$39="",J34=0),0,ROUND(INDEX(集計!$D$77:$D$84,MATCH(予測!$C$39,集計!$A$77:$A$84,0))*設定!$B$26*設定!$B$24,-1))</f>
        <v>0</v>
      </c>
      <c r="G34" s="34" t="n">
        <f aca="false">IF(OR(予測!$A$39="",K34=0),0,ROUND(INDEX(集計!$G$77:$G$84,MATCH(予測!$C$39,集計!$A$77:$A$84,0))*設定!$B$26*設定!$B$24,-1))</f>
        <v>0</v>
      </c>
      <c r="H34" s="34" t="n">
        <f aca="false">IF(OR(予測!$A$39="",L34=0),0,ROUND(INDEX(集計!$J$77:$J$84,MATCH(予測!$C$39,集計!$A$77:$A$84,0))*設定!$B$26*設定!$B$24,-1))</f>
        <v>0</v>
      </c>
      <c r="I34" s="34" t="n">
        <f aca="false">IF(OR(予測!$A$39="",M34=0),0,ROUND(INDEX(集計!$M$77:$M$84,MATCH(予測!$C$39,集計!$A$77:$A$84,0))*設定!$B$26*設定!$B$24,-1))</f>
        <v>0</v>
      </c>
      <c r="J34" s="34" t="n">
        <f aca="false">IF(予測!$A$39="",0,ROUND(SUMIF(時間帯別予測!$E$3:$Q$3,"ランチ",時間帯別予測!$E$35:$Q$35),0))</f>
        <v>0</v>
      </c>
      <c r="K34" s="34" t="n">
        <f aca="false">IF(予測!$A$39="",0,ROUND(SUMIF(時間帯別予測!$E$3:$Q$3,"アイドル",時間帯別予測!$E$35:$Q$35),0))</f>
        <v>0</v>
      </c>
      <c r="L34" s="34" t="n">
        <f aca="false">IF(予測!$A$39="",0,MAX(0,予測!$O$39-J34-K34-M34))</f>
        <v>0</v>
      </c>
      <c r="M34" s="34" t="n">
        <f aca="false">IF(予測!$A$39="",0,ROUND(SUMIF(時間帯別予測!$E$3:$Q$3,"ナイト",時間帯別予測!$E$35:$Q$35),0))</f>
        <v>0</v>
      </c>
      <c r="N34" s="17" t="n">
        <f aca="false">F34*J34</f>
        <v>0</v>
      </c>
      <c r="O34" s="17" t="n">
        <f aca="false">G34*K34</f>
        <v>0</v>
      </c>
      <c r="P34" s="17" t="n">
        <f aca="false">H34*L34</f>
        <v>0</v>
      </c>
      <c r="Q34" s="17" t="n">
        <f aca="false">I34*M34</f>
        <v>0</v>
      </c>
      <c r="R34" s="21" t="n">
        <f aca="false">SUM(J34:M34)</f>
        <v>0</v>
      </c>
      <c r="S34" s="21" t="n">
        <f aca="false">SUM(N34:Q34)</f>
        <v>0</v>
      </c>
      <c r="T34" s="17" t="str">
        <f aca="false">IFERROR(S34/R34,"")</f>
        <v/>
      </c>
    </row>
    <row r="35" customFormat="false" ht="15" hidden="false" customHeight="false" outlineLevel="0" collapsed="false">
      <c r="A35" s="24" t="s">
        <v>61</v>
      </c>
      <c r="B35" s="24" t="n">
        <f aca="false">SUM(B4:B34)</f>
        <v>0</v>
      </c>
      <c r="C35" s="24" t="n">
        <f aca="false">SUM(C4:C34)</f>
        <v>0</v>
      </c>
      <c r="D35" s="24"/>
      <c r="E35" s="24"/>
      <c r="F35" s="24" t="str">
        <f aca="false">IFERROR(N35/J35,"")</f>
        <v/>
      </c>
      <c r="G35" s="24" t="str">
        <f aca="false">IFERROR(O35/K35,"")</f>
        <v/>
      </c>
      <c r="H35" s="24" t="str">
        <f aca="false">IFERROR(P35/L35,"")</f>
        <v/>
      </c>
      <c r="I35" s="24" t="str">
        <f aca="false">IFERROR(Q35/M35,"")</f>
        <v/>
      </c>
      <c r="J35" s="24" t="n">
        <f aca="false">SUM(J4:J34)</f>
        <v>0</v>
      </c>
      <c r="K35" s="24" t="n">
        <f aca="false">SUM(K4:K34)</f>
        <v>0</v>
      </c>
      <c r="L35" s="24" t="n">
        <f aca="false">SUM(L4:L34)</f>
        <v>0</v>
      </c>
      <c r="M35" s="24" t="n">
        <f aca="false">SUM(M4:M34)</f>
        <v>0</v>
      </c>
      <c r="N35" s="24" t="n">
        <f aca="false">SUM(N4:N34)</f>
        <v>0</v>
      </c>
      <c r="O35" s="24" t="n">
        <f aca="false">SUM(O4:O34)</f>
        <v>0</v>
      </c>
      <c r="P35" s="24" t="n">
        <f aca="false">SUM(P4:P34)</f>
        <v>0</v>
      </c>
      <c r="Q35" s="24" t="n">
        <f aca="false">SUM(Q4:Q34)</f>
        <v>0</v>
      </c>
      <c r="R35" s="24" t="n">
        <f aca="false">SUM(R4:R34)</f>
        <v>0</v>
      </c>
      <c r="S35" s="24" t="n">
        <f aca="false">SUM(S4:S34)</f>
        <v>0</v>
      </c>
      <c r="T35" s="24" t="str">
        <f aca="false">IFERROR(S35/R35,"")</f>
        <v/>
      </c>
    </row>
  </sheetData>
  <mergeCells count="10">
    <mergeCell ref="A2:A3"/>
    <mergeCell ref="B2:C2"/>
    <mergeCell ref="D2:D3"/>
    <mergeCell ref="E2:E3"/>
    <mergeCell ref="F2:I2"/>
    <mergeCell ref="J2:M2"/>
    <mergeCell ref="N2:Q2"/>
    <mergeCell ref="R2:R3"/>
    <mergeCell ref="S2:S3"/>
    <mergeCell ref="T2:T3"/>
  </mergeCells>
  <conditionalFormatting sqref="D4:E34">
    <cfRule type="expression" priority="2" aboveAverage="0" equalAverage="0" bottom="0" percent="0" rank="0" text="" dxfId="0">
      <formula>$E4="土"</formula>
    </cfRule>
    <cfRule type="expression" priority="3" aboveAverage="0" equalAverage="0" bottom="0" percent="0" rank="0" text="" dxfId="1">
      <formula>$E4="日"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70"/>
    <col collapsed="false" customWidth="true" hidden="false" outlineLevel="0" max="5" min="5" style="0" width="8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5" t="s">
        <v>87</v>
      </c>
    </row>
    <row r="2" customFormat="false" ht="15" hidden="false" customHeight="false" outlineLevel="0" collapsed="false">
      <c r="E2" s="32" t="s">
        <v>88</v>
      </c>
    </row>
    <row r="3" customFormat="false" ht="15" hidden="false" customHeight="false" outlineLevel="0" collapsed="false">
      <c r="A3" s="32" t="s">
        <v>89</v>
      </c>
      <c r="E3" s="10" t="s">
        <v>90</v>
      </c>
      <c r="F3" s="10" t="s">
        <v>91</v>
      </c>
    </row>
    <row r="4" customFormat="false" ht="15" hidden="false" customHeight="false" outlineLevel="0" collapsed="false">
      <c r="A4" s="35" t="s">
        <v>92</v>
      </c>
      <c r="B4" s="36" t="str">
        <f aca="false">IF(ISNUMBER(先月データ!A2),DATE(YEAR(先月データ!A2),MONTH(先月データ!A2),1),"")</f>
        <v/>
      </c>
      <c r="C4" s="6" t="s">
        <v>93</v>
      </c>
      <c r="E4" s="37" t="n">
        <v>0</v>
      </c>
      <c r="F4" s="38" t="s">
        <v>79</v>
      </c>
    </row>
    <row r="5" customFormat="false" ht="15" hidden="false" customHeight="false" outlineLevel="0" collapsed="false">
      <c r="A5" s="35" t="s">
        <v>94</v>
      </c>
      <c r="B5" s="36" t="str">
        <f aca="false">IF(ISNUMBER(先々月データ!A2),DATE(YEAR(先々月データ!A2),MONTH(先々月データ!A2),1),"")</f>
        <v/>
      </c>
      <c r="C5" s="6" t="s">
        <v>95</v>
      </c>
      <c r="E5" s="37" t="n">
        <v>1</v>
      </c>
      <c r="F5" s="38" t="s">
        <v>79</v>
      </c>
    </row>
    <row r="6" customFormat="false" ht="15" hidden="false" customHeight="false" outlineLevel="0" collapsed="false">
      <c r="A6" s="35" t="s">
        <v>96</v>
      </c>
      <c r="B6" s="36" t="str">
        <f aca="false">IF(ISNUMBER(前年当月データ!A2),DATE(YEAR(前年当月データ!A2),MONTH(前年当月データ!A2),1),"")</f>
        <v/>
      </c>
      <c r="C6" s="6" t="s">
        <v>97</v>
      </c>
      <c r="E6" s="37" t="n">
        <v>2</v>
      </c>
      <c r="F6" s="38" t="s">
        <v>79</v>
      </c>
    </row>
    <row r="7" customFormat="false" ht="15" hidden="false" customHeight="false" outlineLevel="0" collapsed="false">
      <c r="A7" s="35" t="s">
        <v>98</v>
      </c>
      <c r="B7" s="39" t="str">
        <f aca="false">IF(設定!$B$4="","",EDATE(設定!$B$4,1))</f>
        <v/>
      </c>
      <c r="C7" s="6" t="s">
        <v>99</v>
      </c>
      <c r="E7" s="37" t="n">
        <v>3</v>
      </c>
      <c r="F7" s="38" t="s">
        <v>79</v>
      </c>
    </row>
    <row r="8" customFormat="false" ht="15" hidden="false" customHeight="false" outlineLevel="0" collapsed="false">
      <c r="A8" s="35" t="s">
        <v>100</v>
      </c>
      <c r="B8" s="40" t="str">
        <f aca="false">IF(設定!$B$7="","",DAY(EOMONTH(設定!$B$7,0)))</f>
        <v/>
      </c>
      <c r="C8" s="6"/>
      <c r="E8" s="37" t="n">
        <v>4</v>
      </c>
      <c r="F8" s="38" t="s">
        <v>79</v>
      </c>
    </row>
    <row r="9" customFormat="false" ht="15" hidden="false" customHeight="false" outlineLevel="0" collapsed="false">
      <c r="A9" s="32" t="s">
        <v>101</v>
      </c>
      <c r="E9" s="37" t="n">
        <v>5</v>
      </c>
      <c r="F9" s="38" t="s">
        <v>79</v>
      </c>
    </row>
    <row r="10" customFormat="false" ht="15" hidden="false" customHeight="false" outlineLevel="0" collapsed="false">
      <c r="A10" s="35" t="s">
        <v>102</v>
      </c>
      <c r="B10" s="41" t="n">
        <v>17</v>
      </c>
      <c r="C10" s="6" t="s">
        <v>103</v>
      </c>
      <c r="E10" s="37" t="n">
        <v>6</v>
      </c>
      <c r="F10" s="38" t="s">
        <v>79</v>
      </c>
    </row>
    <row r="11" customFormat="false" ht="15" hidden="false" customHeight="false" outlineLevel="0" collapsed="false">
      <c r="A11" s="35" t="s">
        <v>104</v>
      </c>
      <c r="B11" s="38" t="s">
        <v>105</v>
      </c>
      <c r="C11" s="6" t="s">
        <v>106</v>
      </c>
      <c r="E11" s="37" t="n">
        <v>7</v>
      </c>
      <c r="F11" s="38" t="s">
        <v>79</v>
      </c>
    </row>
    <row r="12" customFormat="false" ht="15" hidden="false" customHeight="false" outlineLevel="0" collapsed="false">
      <c r="A12" s="35" t="s">
        <v>107</v>
      </c>
      <c r="B12" s="38" t="s">
        <v>108</v>
      </c>
      <c r="C12" s="6"/>
      <c r="E12" s="37" t="n">
        <v>8</v>
      </c>
      <c r="F12" s="38" t="s">
        <v>109</v>
      </c>
    </row>
    <row r="13" customFormat="false" ht="15" hidden="false" customHeight="false" outlineLevel="0" collapsed="false">
      <c r="A13" s="35" t="s">
        <v>110</v>
      </c>
      <c r="B13" s="42" t="n">
        <v>10</v>
      </c>
      <c r="C13" s="6" t="s">
        <v>111</v>
      </c>
      <c r="E13" s="37" t="n">
        <v>9</v>
      </c>
      <c r="F13" s="38" t="s">
        <v>109</v>
      </c>
    </row>
    <row r="14" customFormat="false" ht="15" hidden="false" customHeight="false" outlineLevel="0" collapsed="false">
      <c r="A14" s="32" t="s">
        <v>112</v>
      </c>
      <c r="E14" s="37" t="n">
        <v>10</v>
      </c>
      <c r="F14" s="38" t="s">
        <v>109</v>
      </c>
    </row>
    <row r="15" customFormat="false" ht="15" hidden="false" customHeight="false" outlineLevel="0" collapsed="false">
      <c r="A15" s="35" t="s">
        <v>113</v>
      </c>
      <c r="B15" s="43" t="n">
        <v>0.6</v>
      </c>
      <c r="C15" s="6" t="s">
        <v>114</v>
      </c>
      <c r="E15" s="37" t="n">
        <v>11</v>
      </c>
      <c r="F15" s="38" t="s">
        <v>76</v>
      </c>
    </row>
    <row r="16" customFormat="false" ht="15" hidden="false" customHeight="false" outlineLevel="0" collapsed="false">
      <c r="A16" s="35" t="s">
        <v>115</v>
      </c>
      <c r="B16" s="43" t="n">
        <v>0.4</v>
      </c>
      <c r="C16" s="6"/>
      <c r="E16" s="37" t="n">
        <v>12</v>
      </c>
      <c r="F16" s="38" t="s">
        <v>76</v>
      </c>
    </row>
    <row r="17" customFormat="false" ht="15" hidden="false" customHeight="false" outlineLevel="0" collapsed="false">
      <c r="A17" s="35" t="s">
        <v>116</v>
      </c>
      <c r="B17" s="43" t="n">
        <v>0.5</v>
      </c>
      <c r="C17" s="6" t="s">
        <v>117</v>
      </c>
      <c r="E17" s="37" t="n">
        <v>13</v>
      </c>
      <c r="F17" s="38" t="s">
        <v>76</v>
      </c>
    </row>
    <row r="18" customFormat="false" ht="15" hidden="false" customHeight="false" outlineLevel="0" collapsed="false">
      <c r="A18" s="32" t="s">
        <v>118</v>
      </c>
      <c r="E18" s="37" t="n">
        <v>14</v>
      </c>
      <c r="F18" s="38" t="s">
        <v>76</v>
      </c>
    </row>
    <row r="19" customFormat="false" ht="15" hidden="false" customHeight="false" outlineLevel="0" collapsed="false">
      <c r="A19" s="35" t="s">
        <v>119</v>
      </c>
      <c r="B19" s="43" t="n">
        <v>1</v>
      </c>
      <c r="C19" s="6" t="s">
        <v>120</v>
      </c>
      <c r="E19" s="37" t="n">
        <v>15</v>
      </c>
      <c r="F19" s="38" t="s">
        <v>77</v>
      </c>
    </row>
    <row r="20" customFormat="false" ht="15" hidden="false" customHeight="false" outlineLevel="0" collapsed="false">
      <c r="A20" s="35" t="s">
        <v>121</v>
      </c>
      <c r="B20" s="44" t="n">
        <v>1</v>
      </c>
      <c r="C20" s="6" t="s">
        <v>122</v>
      </c>
      <c r="E20" s="37" t="n">
        <v>16</v>
      </c>
      <c r="F20" s="38" t="s">
        <v>77</v>
      </c>
    </row>
    <row r="21" customFormat="false" ht="15" hidden="false" customHeight="false" outlineLevel="0" collapsed="false">
      <c r="A21" s="35" t="s">
        <v>123</v>
      </c>
      <c r="B21" s="45" t="n">
        <f aca="false">IF(AND(設定!$B$6&lt;&gt;"",SUM(集計!$U$38:$U$44)&gt;0),SUMIFS(集計!$T$38:$T$44,集計!$U$38:$U$44,1)/SUMIFS(集計!$S$38:$S$44,集計!$U$38:$U$44,1),設定!$B$20)</f>
        <v>1</v>
      </c>
      <c r="C21" s="6" t="s">
        <v>124</v>
      </c>
      <c r="E21" s="37" t="n">
        <v>17</v>
      </c>
      <c r="F21" s="38" t="s">
        <v>77</v>
      </c>
    </row>
    <row r="22" customFormat="false" ht="15" hidden="false" customHeight="false" outlineLevel="0" collapsed="false">
      <c r="A22" s="35" t="s">
        <v>125</v>
      </c>
      <c r="B22" s="45" t="n">
        <f aca="false">IF(設定!$B$29&lt;&gt;"",設定!$B$29,IF(設定!$B$30&lt;&gt;"",設定!$B$30,1))</f>
        <v>1</v>
      </c>
      <c r="C22" s="6" t="s">
        <v>126</v>
      </c>
      <c r="E22" s="37" t="n">
        <v>18</v>
      </c>
      <c r="F22" s="38" t="s">
        <v>78</v>
      </c>
    </row>
    <row r="23" customFormat="false" ht="15" hidden="false" customHeight="false" outlineLevel="0" collapsed="false">
      <c r="A23" s="32" t="s">
        <v>127</v>
      </c>
      <c r="E23" s="37" t="n">
        <v>19</v>
      </c>
      <c r="F23" s="38" t="s">
        <v>78</v>
      </c>
    </row>
    <row r="24" customFormat="false" ht="15" hidden="false" customHeight="false" outlineLevel="0" collapsed="false">
      <c r="A24" s="35" t="s">
        <v>128</v>
      </c>
      <c r="B24" s="43" t="n">
        <v>1</v>
      </c>
      <c r="C24" s="6" t="s">
        <v>129</v>
      </c>
      <c r="E24" s="37" t="n">
        <v>20</v>
      </c>
      <c r="F24" s="38" t="s">
        <v>78</v>
      </c>
    </row>
    <row r="25" customFormat="false" ht="15" hidden="false" customHeight="false" outlineLevel="0" collapsed="false">
      <c r="A25" s="35" t="s">
        <v>130</v>
      </c>
      <c r="B25" s="44" t="n">
        <v>1</v>
      </c>
      <c r="C25" s="6" t="s">
        <v>131</v>
      </c>
      <c r="E25" s="37" t="n">
        <v>21</v>
      </c>
      <c r="F25" s="38" t="s">
        <v>78</v>
      </c>
    </row>
    <row r="26" customFormat="false" ht="15" hidden="false" customHeight="false" outlineLevel="0" collapsed="false">
      <c r="A26" s="35" t="s">
        <v>132</v>
      </c>
      <c r="B26" s="45" t="n">
        <f aca="false">IFERROR(IF(設定!$B$33="",設定!$B$25,設定!$B$33/IF(AND(ISNUMBER(設定!$B$34),ISNUMBER(設定!$B$35)),(設定!$B$15*設定!$B$34+設定!$B$16*設定!$B$35)/(設定!$B$15+設定!$B$16),IF(ISNUMBER(設定!$B$34),設定!$B$34,設定!$B$35))),設定!$B$25)</f>
        <v>1</v>
      </c>
      <c r="C26" s="6" t="s">
        <v>133</v>
      </c>
      <c r="E26" s="37" t="n">
        <v>22</v>
      </c>
      <c r="F26" s="38" t="s">
        <v>79</v>
      </c>
    </row>
    <row r="27" customFormat="false" ht="15" hidden="false" customHeight="false" outlineLevel="0" collapsed="false">
      <c r="A27" s="35" t="s">
        <v>134</v>
      </c>
      <c r="B27" s="42" t="n">
        <v>10</v>
      </c>
      <c r="C27" s="6" t="s">
        <v>135</v>
      </c>
      <c r="E27" s="37" t="n">
        <v>23</v>
      </c>
      <c r="F27" s="38" t="s">
        <v>79</v>
      </c>
    </row>
    <row r="28" customFormat="false" ht="15" hidden="false" customHeight="false" outlineLevel="0" collapsed="false">
      <c r="A28" s="32" t="s">
        <v>136</v>
      </c>
    </row>
    <row r="29" customFormat="false" ht="15" hidden="false" customHeight="false" outlineLevel="0" collapsed="false">
      <c r="A29" s="35" t="s">
        <v>137</v>
      </c>
      <c r="B29" s="46" t="str">
        <f aca="false">IFERROR(SUM(集計!$E$3:$E$33)/SUM(集計!$G$3:$G$33),"")</f>
        <v/>
      </c>
      <c r="C29" s="6"/>
    </row>
    <row r="30" customFormat="false" ht="15" hidden="false" customHeight="false" outlineLevel="0" collapsed="false">
      <c r="A30" s="35" t="s">
        <v>138</v>
      </c>
      <c r="B30" s="46" t="str">
        <f aca="false">IFERROR(SUM(集計!$Q$3:$Q$33)/SUM(集計!$S$3:$S$33),"")</f>
        <v/>
      </c>
      <c r="C30" s="6"/>
    </row>
    <row r="31" customFormat="false" ht="15" hidden="false" customHeight="false" outlineLevel="0" collapsed="false">
      <c r="A31" s="35" t="s">
        <v>139</v>
      </c>
      <c r="B31" s="33" t="str">
        <f aca="false">IFERROR(SUM(集計!$F$3:$F$33)/SUM(集計!$E$3:$E$33),"")</f>
        <v/>
      </c>
      <c r="C31" s="6"/>
    </row>
    <row r="32" customFormat="false" ht="15" hidden="false" customHeight="false" outlineLevel="0" collapsed="false">
      <c r="A32" s="35" t="s">
        <v>140</v>
      </c>
      <c r="B32" s="33" t="str">
        <f aca="false">IFERROR(SUM(集計!$R$3:$R$33)/SUM(集計!$Q$3:$Q$33),"")</f>
        <v/>
      </c>
      <c r="C32" s="6"/>
    </row>
    <row r="33" customFormat="false" ht="15" hidden="false" customHeight="false" outlineLevel="0" collapsed="false">
      <c r="A33" s="35" t="s">
        <v>141</v>
      </c>
      <c r="B33" s="33" t="str">
        <f aca="false">IFERROR(SUM(集計!$AE$3:$AE$33)/SUM(集計!$AB$3:$AB$33),"")</f>
        <v/>
      </c>
      <c r="C33" s="6"/>
    </row>
    <row r="34" customFormat="false" ht="15" hidden="false" customHeight="false" outlineLevel="0" collapsed="false">
      <c r="A34" s="35" t="s">
        <v>142</v>
      </c>
      <c r="B34" s="33" t="str">
        <f aca="false">IFERROR(SUM(集計!$M$3:$M$33)/SUM(集計!$G$3:$G$33),"")</f>
        <v/>
      </c>
      <c r="C34" s="6" t="s">
        <v>143</v>
      </c>
    </row>
    <row r="35" customFormat="false" ht="15" hidden="false" customHeight="false" outlineLevel="0" collapsed="false">
      <c r="A35" s="35" t="s">
        <v>144</v>
      </c>
      <c r="B35" s="33" t="str">
        <f aca="false">IFERROR(SUM(集計!$Y$3:$Y$33)/SUM(集計!$S$3:$S$33),"")</f>
        <v/>
      </c>
      <c r="C35" s="6"/>
    </row>
    <row r="36" customFormat="false" ht="15" hidden="false" customHeight="false" outlineLevel="0" collapsed="false">
      <c r="A36" s="35" t="s">
        <v>145</v>
      </c>
      <c r="B36" s="47" t="str">
        <f aca="false">IF(設定!$B$4="","先月データ未貼付",IF(設定!$B$5="","先々月データ未貼付（先月のみで予測中）",IF(EDATE(設定!$B$5,1)&lt;&gt;設定!$B$4,"⚠ 先々月が先月の前月になっていません",IF(設定!$B$6="","OK（前年当月データなし：季節係数は手入力値）",IF(EDATE(設定!$B$6,12)&lt;&gt;設定!$B$7,"⚠ 前年当月データが当月の1年前になっていません","OK")))))</f>
        <v>先月データ未貼付</v>
      </c>
      <c r="C36" s="6"/>
    </row>
    <row r="38" customFormat="false" ht="15" hidden="false" customHeight="false" outlineLevel="0" collapsed="false">
      <c r="A38" s="6" t="s">
        <v>146</v>
      </c>
    </row>
  </sheetData>
  <dataValidations count="2">
    <dataValidation allowBlank="true" errorStyle="stop" operator="between" showDropDown="false" showErrorMessage="false" showInputMessage="false" sqref="F4:F27" type="list">
      <formula1>"モーニング,ランチ,アイドル,ディナー,ナイト"</formula1>
      <formula2>0</formula2>
    </dataValidation>
    <dataValidation allowBlank="false" errorStyle="stop" operator="between" showDropDown="false" showErrorMessage="false" showInputMessage="false" sqref="B11:B12" type="list">
      <formula1>"あり,なし"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B8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26" min="26" style="0" width="14"/>
    <col collapsed="false" customWidth="true" hidden="false" outlineLevel="0" max="28" min="27" style="0" width="16"/>
  </cols>
  <sheetData>
    <row r="1" customFormat="false" ht="15" hidden="false" customHeight="false" outlineLevel="0" collapsed="false">
      <c r="A1" s="48" t="s">
        <v>147</v>
      </c>
      <c r="Z1" s="49" t="s">
        <v>148</v>
      </c>
      <c r="AA1" s="49" t="s">
        <v>149</v>
      </c>
      <c r="AB1" s="49" t="s">
        <v>150</v>
      </c>
    </row>
    <row r="2" customFormat="false" ht="15" hidden="false" customHeight="false" outlineLevel="0" collapsed="false">
      <c r="Z2" s="25" t="str">
        <f aca="false">IF(ISNUMBER(A2),IF(COUNTIF(祝日!$A:$A,A2)&gt;0,"祝",CHOOSE(WEEKDAY(A2,2),"月","火","水","木","金","土","日")),"")</f>
        <v/>
      </c>
      <c r="AA2" s="25" t="str">
        <f aca="false">IF(ISNUMBER(A2),IFERROR(INDEX(集計!$J$3:$J$33,MATCH(A2,集計!$B$3:$B$33,0)),0),"")</f>
        <v/>
      </c>
      <c r="AB2" s="25" t="str">
        <f aca="false">IF(ISNUMBER(A2),IFERROR(INDEX(設定!$F$4:$F$27,MATCH(K2,設定!$E$4:$E$27,0)),""),"")</f>
        <v/>
      </c>
    </row>
    <row r="3" customFormat="false" ht="15" hidden="false" customHeight="false" outlineLevel="0" collapsed="false">
      <c r="Z3" s="25" t="str">
        <f aca="false">IF(ISNUMBER(A3),IF(COUNTIF(祝日!$A:$A,A3)&gt;0,"祝",CHOOSE(WEEKDAY(A3,2),"月","火","水","木","金","土","日")),"")</f>
        <v/>
      </c>
      <c r="AA3" s="25" t="str">
        <f aca="false">IF(ISNUMBER(A3),IFERROR(INDEX(集計!$J$3:$J$33,MATCH(A3,集計!$B$3:$B$33,0)),0),"")</f>
        <v/>
      </c>
      <c r="AB3" s="25" t="str">
        <f aca="false">IF(ISNUMBER(A3),IFERROR(INDEX(設定!$F$4:$F$27,MATCH(K3,設定!$E$4:$E$27,0)),""),"")</f>
        <v/>
      </c>
    </row>
    <row r="4" customFormat="false" ht="15" hidden="false" customHeight="false" outlineLevel="0" collapsed="false">
      <c r="Z4" s="25" t="str">
        <f aca="false">IF(ISNUMBER(A4),IF(COUNTIF(祝日!$A:$A,A4)&gt;0,"祝",CHOOSE(WEEKDAY(A4,2),"月","火","水","木","金","土","日")),"")</f>
        <v/>
      </c>
      <c r="AA4" s="25" t="str">
        <f aca="false">IF(ISNUMBER(A4),IFERROR(INDEX(集計!$J$3:$J$33,MATCH(A4,集計!$B$3:$B$33,0)),0),"")</f>
        <v/>
      </c>
      <c r="AB4" s="25" t="str">
        <f aca="false">IF(ISNUMBER(A4),IFERROR(INDEX(設定!$F$4:$F$27,MATCH(K4,設定!$E$4:$E$27,0)),""),"")</f>
        <v/>
      </c>
    </row>
    <row r="5" customFormat="false" ht="15" hidden="false" customHeight="false" outlineLevel="0" collapsed="false">
      <c r="Z5" s="25" t="str">
        <f aca="false">IF(ISNUMBER(A5),IF(COUNTIF(祝日!$A:$A,A5)&gt;0,"祝",CHOOSE(WEEKDAY(A5,2),"月","火","水","木","金","土","日")),"")</f>
        <v/>
      </c>
      <c r="AA5" s="25" t="str">
        <f aca="false">IF(ISNUMBER(A5),IFERROR(INDEX(集計!$J$3:$J$33,MATCH(A5,集計!$B$3:$B$33,0)),0),"")</f>
        <v/>
      </c>
      <c r="AB5" s="25" t="str">
        <f aca="false">IF(ISNUMBER(A5),IFERROR(INDEX(設定!$F$4:$F$27,MATCH(K5,設定!$E$4:$E$27,0)),""),"")</f>
        <v/>
      </c>
    </row>
    <row r="6" customFormat="false" ht="15" hidden="false" customHeight="false" outlineLevel="0" collapsed="false">
      <c r="Z6" s="25" t="str">
        <f aca="false">IF(ISNUMBER(A6),IF(COUNTIF(祝日!$A:$A,A6)&gt;0,"祝",CHOOSE(WEEKDAY(A6,2),"月","火","水","木","金","土","日")),"")</f>
        <v/>
      </c>
      <c r="AA6" s="25" t="str">
        <f aca="false">IF(ISNUMBER(A6),IFERROR(INDEX(集計!$J$3:$J$33,MATCH(A6,集計!$B$3:$B$33,0)),0),"")</f>
        <v/>
      </c>
      <c r="AB6" s="25" t="str">
        <f aca="false">IF(ISNUMBER(A6),IFERROR(INDEX(設定!$F$4:$F$27,MATCH(K6,設定!$E$4:$E$27,0)),""),"")</f>
        <v/>
      </c>
    </row>
    <row r="7" customFormat="false" ht="15" hidden="false" customHeight="false" outlineLevel="0" collapsed="false">
      <c r="Z7" s="25" t="str">
        <f aca="false">IF(ISNUMBER(A7),IF(COUNTIF(祝日!$A:$A,A7)&gt;0,"祝",CHOOSE(WEEKDAY(A7,2),"月","火","水","木","金","土","日")),"")</f>
        <v/>
      </c>
      <c r="AA7" s="25" t="str">
        <f aca="false">IF(ISNUMBER(A7),IFERROR(INDEX(集計!$J$3:$J$33,MATCH(A7,集計!$B$3:$B$33,0)),0),"")</f>
        <v/>
      </c>
      <c r="AB7" s="25" t="str">
        <f aca="false">IF(ISNUMBER(A7),IFERROR(INDEX(設定!$F$4:$F$27,MATCH(K7,設定!$E$4:$E$27,0)),""),"")</f>
        <v/>
      </c>
    </row>
    <row r="8" customFormat="false" ht="15" hidden="false" customHeight="false" outlineLevel="0" collapsed="false">
      <c r="Z8" s="25" t="str">
        <f aca="false">IF(ISNUMBER(A8),IF(COUNTIF(祝日!$A:$A,A8)&gt;0,"祝",CHOOSE(WEEKDAY(A8,2),"月","火","水","木","金","土","日")),"")</f>
        <v/>
      </c>
      <c r="AA8" s="25" t="str">
        <f aca="false">IF(ISNUMBER(A8),IFERROR(INDEX(集計!$J$3:$J$33,MATCH(A8,集計!$B$3:$B$33,0)),0),"")</f>
        <v/>
      </c>
      <c r="AB8" s="25" t="str">
        <f aca="false">IF(ISNUMBER(A8),IFERROR(INDEX(設定!$F$4:$F$27,MATCH(K8,設定!$E$4:$E$27,0)),""),"")</f>
        <v/>
      </c>
    </row>
    <row r="9" customFormat="false" ht="15" hidden="false" customHeight="false" outlineLevel="0" collapsed="false">
      <c r="Z9" s="25" t="str">
        <f aca="false">IF(ISNUMBER(A9),IF(COUNTIF(祝日!$A:$A,A9)&gt;0,"祝",CHOOSE(WEEKDAY(A9,2),"月","火","水","木","金","土","日")),"")</f>
        <v/>
      </c>
      <c r="AA9" s="25" t="str">
        <f aca="false">IF(ISNUMBER(A9),IFERROR(INDEX(集計!$J$3:$J$33,MATCH(A9,集計!$B$3:$B$33,0)),0),"")</f>
        <v/>
      </c>
      <c r="AB9" s="25" t="str">
        <f aca="false">IF(ISNUMBER(A9),IFERROR(INDEX(設定!$F$4:$F$27,MATCH(K9,設定!$E$4:$E$27,0)),""),"")</f>
        <v/>
      </c>
    </row>
    <row r="10" customFormat="false" ht="15" hidden="false" customHeight="false" outlineLevel="0" collapsed="false">
      <c r="Z10" s="25" t="str">
        <f aca="false">IF(ISNUMBER(A10),IF(COUNTIF(祝日!$A:$A,A10)&gt;0,"祝",CHOOSE(WEEKDAY(A10,2),"月","火","水","木","金","土","日")),"")</f>
        <v/>
      </c>
      <c r="AA10" s="25" t="str">
        <f aca="false">IF(ISNUMBER(A10),IFERROR(INDEX(集計!$J$3:$J$33,MATCH(A10,集計!$B$3:$B$33,0)),0),"")</f>
        <v/>
      </c>
      <c r="AB10" s="25" t="str">
        <f aca="false">IF(ISNUMBER(A10),IFERROR(INDEX(設定!$F$4:$F$27,MATCH(K10,設定!$E$4:$E$27,0)),""),"")</f>
        <v/>
      </c>
    </row>
    <row r="11" customFormat="false" ht="15" hidden="false" customHeight="false" outlineLevel="0" collapsed="false">
      <c r="Z11" s="25" t="str">
        <f aca="false">IF(ISNUMBER(A11),IF(COUNTIF(祝日!$A:$A,A11)&gt;0,"祝",CHOOSE(WEEKDAY(A11,2),"月","火","水","木","金","土","日")),"")</f>
        <v/>
      </c>
      <c r="AA11" s="25" t="str">
        <f aca="false">IF(ISNUMBER(A11),IFERROR(INDEX(集計!$J$3:$J$33,MATCH(A11,集計!$B$3:$B$33,0)),0),"")</f>
        <v/>
      </c>
      <c r="AB11" s="25" t="str">
        <f aca="false">IF(ISNUMBER(A11),IFERROR(INDEX(設定!$F$4:$F$27,MATCH(K11,設定!$E$4:$E$27,0)),""),"")</f>
        <v/>
      </c>
    </row>
    <row r="12" customFormat="false" ht="15" hidden="false" customHeight="false" outlineLevel="0" collapsed="false">
      <c r="Z12" s="25" t="str">
        <f aca="false">IF(ISNUMBER(A12),IF(COUNTIF(祝日!$A:$A,A12)&gt;0,"祝",CHOOSE(WEEKDAY(A12,2),"月","火","水","木","金","土","日")),"")</f>
        <v/>
      </c>
      <c r="AA12" s="25" t="str">
        <f aca="false">IF(ISNUMBER(A12),IFERROR(INDEX(集計!$J$3:$J$33,MATCH(A12,集計!$B$3:$B$33,0)),0),"")</f>
        <v/>
      </c>
      <c r="AB12" s="25" t="str">
        <f aca="false">IF(ISNUMBER(A12),IFERROR(INDEX(設定!$F$4:$F$27,MATCH(K12,設定!$E$4:$E$27,0)),""),"")</f>
        <v/>
      </c>
    </row>
    <row r="13" customFormat="false" ht="15" hidden="false" customHeight="false" outlineLevel="0" collapsed="false">
      <c r="Z13" s="25" t="str">
        <f aca="false">IF(ISNUMBER(A13),IF(COUNTIF(祝日!$A:$A,A13)&gt;0,"祝",CHOOSE(WEEKDAY(A13,2),"月","火","水","木","金","土","日")),"")</f>
        <v/>
      </c>
      <c r="AA13" s="25" t="str">
        <f aca="false">IF(ISNUMBER(A13),IFERROR(INDEX(集計!$J$3:$J$33,MATCH(A13,集計!$B$3:$B$33,0)),0),"")</f>
        <v/>
      </c>
      <c r="AB13" s="25" t="str">
        <f aca="false">IF(ISNUMBER(A13),IFERROR(INDEX(設定!$F$4:$F$27,MATCH(K13,設定!$E$4:$E$27,0)),""),"")</f>
        <v/>
      </c>
    </row>
    <row r="14" customFormat="false" ht="15" hidden="false" customHeight="false" outlineLevel="0" collapsed="false">
      <c r="Z14" s="25" t="str">
        <f aca="false">IF(ISNUMBER(A14),IF(COUNTIF(祝日!$A:$A,A14)&gt;0,"祝",CHOOSE(WEEKDAY(A14,2),"月","火","水","木","金","土","日")),"")</f>
        <v/>
      </c>
      <c r="AA14" s="25" t="str">
        <f aca="false">IF(ISNUMBER(A14),IFERROR(INDEX(集計!$J$3:$J$33,MATCH(A14,集計!$B$3:$B$33,0)),0),"")</f>
        <v/>
      </c>
      <c r="AB14" s="25" t="str">
        <f aca="false">IF(ISNUMBER(A14),IFERROR(INDEX(設定!$F$4:$F$27,MATCH(K14,設定!$E$4:$E$27,0)),""),"")</f>
        <v/>
      </c>
    </row>
    <row r="15" customFormat="false" ht="15" hidden="false" customHeight="false" outlineLevel="0" collapsed="false">
      <c r="Z15" s="25" t="str">
        <f aca="false">IF(ISNUMBER(A15),IF(COUNTIF(祝日!$A:$A,A15)&gt;0,"祝",CHOOSE(WEEKDAY(A15,2),"月","火","水","木","金","土","日")),"")</f>
        <v/>
      </c>
      <c r="AA15" s="25" t="str">
        <f aca="false">IF(ISNUMBER(A15),IFERROR(INDEX(集計!$J$3:$J$33,MATCH(A15,集計!$B$3:$B$33,0)),0),"")</f>
        <v/>
      </c>
      <c r="AB15" s="25" t="str">
        <f aca="false">IF(ISNUMBER(A15),IFERROR(INDEX(設定!$F$4:$F$27,MATCH(K15,設定!$E$4:$E$27,0)),""),"")</f>
        <v/>
      </c>
    </row>
    <row r="16" customFormat="false" ht="15" hidden="false" customHeight="false" outlineLevel="0" collapsed="false">
      <c r="Z16" s="25" t="str">
        <f aca="false">IF(ISNUMBER(A16),IF(COUNTIF(祝日!$A:$A,A16)&gt;0,"祝",CHOOSE(WEEKDAY(A16,2),"月","火","水","木","金","土","日")),"")</f>
        <v/>
      </c>
      <c r="AA16" s="25" t="str">
        <f aca="false">IF(ISNUMBER(A16),IFERROR(INDEX(集計!$J$3:$J$33,MATCH(A16,集計!$B$3:$B$33,0)),0),"")</f>
        <v/>
      </c>
      <c r="AB16" s="25" t="str">
        <f aca="false">IF(ISNUMBER(A16),IFERROR(INDEX(設定!$F$4:$F$27,MATCH(K16,設定!$E$4:$E$27,0)),""),"")</f>
        <v/>
      </c>
    </row>
    <row r="17" customFormat="false" ht="15" hidden="false" customHeight="false" outlineLevel="0" collapsed="false">
      <c r="Z17" s="25" t="str">
        <f aca="false">IF(ISNUMBER(A17),IF(COUNTIF(祝日!$A:$A,A17)&gt;0,"祝",CHOOSE(WEEKDAY(A17,2),"月","火","水","木","金","土","日")),"")</f>
        <v/>
      </c>
      <c r="AA17" s="25" t="str">
        <f aca="false">IF(ISNUMBER(A17),IFERROR(INDEX(集計!$J$3:$J$33,MATCH(A17,集計!$B$3:$B$33,0)),0),"")</f>
        <v/>
      </c>
      <c r="AB17" s="25" t="str">
        <f aca="false">IF(ISNUMBER(A17),IFERROR(INDEX(設定!$F$4:$F$27,MATCH(K17,設定!$E$4:$E$27,0)),""),"")</f>
        <v/>
      </c>
    </row>
    <row r="18" customFormat="false" ht="15" hidden="false" customHeight="false" outlineLevel="0" collapsed="false">
      <c r="Z18" s="25" t="str">
        <f aca="false">IF(ISNUMBER(A18),IF(COUNTIF(祝日!$A:$A,A18)&gt;0,"祝",CHOOSE(WEEKDAY(A18,2),"月","火","水","木","金","土","日")),"")</f>
        <v/>
      </c>
      <c r="AA18" s="25" t="str">
        <f aca="false">IF(ISNUMBER(A18),IFERROR(INDEX(集計!$J$3:$J$33,MATCH(A18,集計!$B$3:$B$33,0)),0),"")</f>
        <v/>
      </c>
      <c r="AB18" s="25" t="str">
        <f aca="false">IF(ISNUMBER(A18),IFERROR(INDEX(設定!$F$4:$F$27,MATCH(K18,設定!$E$4:$E$27,0)),""),"")</f>
        <v/>
      </c>
    </row>
    <row r="19" customFormat="false" ht="15" hidden="false" customHeight="false" outlineLevel="0" collapsed="false">
      <c r="Z19" s="25" t="str">
        <f aca="false">IF(ISNUMBER(A19),IF(COUNTIF(祝日!$A:$A,A19)&gt;0,"祝",CHOOSE(WEEKDAY(A19,2),"月","火","水","木","金","土","日")),"")</f>
        <v/>
      </c>
      <c r="AA19" s="25" t="str">
        <f aca="false">IF(ISNUMBER(A19),IFERROR(INDEX(集計!$J$3:$J$33,MATCH(A19,集計!$B$3:$B$33,0)),0),"")</f>
        <v/>
      </c>
      <c r="AB19" s="25" t="str">
        <f aca="false">IF(ISNUMBER(A19),IFERROR(INDEX(設定!$F$4:$F$27,MATCH(K19,設定!$E$4:$E$27,0)),""),"")</f>
        <v/>
      </c>
    </row>
    <row r="20" customFormat="false" ht="15" hidden="false" customHeight="false" outlineLevel="0" collapsed="false">
      <c r="Z20" s="25" t="str">
        <f aca="false">IF(ISNUMBER(A20),IF(COUNTIF(祝日!$A:$A,A20)&gt;0,"祝",CHOOSE(WEEKDAY(A20,2),"月","火","水","木","金","土","日")),"")</f>
        <v/>
      </c>
      <c r="AA20" s="25" t="str">
        <f aca="false">IF(ISNUMBER(A20),IFERROR(INDEX(集計!$J$3:$J$33,MATCH(A20,集計!$B$3:$B$33,0)),0),"")</f>
        <v/>
      </c>
      <c r="AB20" s="25" t="str">
        <f aca="false">IF(ISNUMBER(A20),IFERROR(INDEX(設定!$F$4:$F$27,MATCH(K20,設定!$E$4:$E$27,0)),""),"")</f>
        <v/>
      </c>
    </row>
    <row r="21" customFormat="false" ht="15" hidden="false" customHeight="false" outlineLevel="0" collapsed="false">
      <c r="Z21" s="25" t="str">
        <f aca="false">IF(ISNUMBER(A21),IF(COUNTIF(祝日!$A:$A,A21)&gt;0,"祝",CHOOSE(WEEKDAY(A21,2),"月","火","水","木","金","土","日")),"")</f>
        <v/>
      </c>
      <c r="AA21" s="25" t="str">
        <f aca="false">IF(ISNUMBER(A21),IFERROR(INDEX(集計!$J$3:$J$33,MATCH(A21,集計!$B$3:$B$33,0)),0),"")</f>
        <v/>
      </c>
      <c r="AB21" s="25" t="str">
        <f aca="false">IF(ISNUMBER(A21),IFERROR(INDEX(設定!$F$4:$F$27,MATCH(K21,設定!$E$4:$E$27,0)),""),"")</f>
        <v/>
      </c>
    </row>
    <row r="22" customFormat="false" ht="15" hidden="false" customHeight="false" outlineLevel="0" collapsed="false">
      <c r="Z22" s="25" t="str">
        <f aca="false">IF(ISNUMBER(A22),IF(COUNTIF(祝日!$A:$A,A22)&gt;0,"祝",CHOOSE(WEEKDAY(A22,2),"月","火","水","木","金","土","日")),"")</f>
        <v/>
      </c>
      <c r="AA22" s="25" t="str">
        <f aca="false">IF(ISNUMBER(A22),IFERROR(INDEX(集計!$J$3:$J$33,MATCH(A22,集計!$B$3:$B$33,0)),0),"")</f>
        <v/>
      </c>
      <c r="AB22" s="25" t="str">
        <f aca="false">IF(ISNUMBER(A22),IFERROR(INDEX(設定!$F$4:$F$27,MATCH(K22,設定!$E$4:$E$27,0)),""),"")</f>
        <v/>
      </c>
    </row>
    <row r="23" customFormat="false" ht="15" hidden="false" customHeight="false" outlineLevel="0" collapsed="false">
      <c r="Z23" s="25" t="str">
        <f aca="false">IF(ISNUMBER(A23),IF(COUNTIF(祝日!$A:$A,A23)&gt;0,"祝",CHOOSE(WEEKDAY(A23,2),"月","火","水","木","金","土","日")),"")</f>
        <v/>
      </c>
      <c r="AA23" s="25" t="str">
        <f aca="false">IF(ISNUMBER(A23),IFERROR(INDEX(集計!$J$3:$J$33,MATCH(A23,集計!$B$3:$B$33,0)),0),"")</f>
        <v/>
      </c>
      <c r="AB23" s="25" t="str">
        <f aca="false">IF(ISNUMBER(A23),IFERROR(INDEX(設定!$F$4:$F$27,MATCH(K23,設定!$E$4:$E$27,0)),""),"")</f>
        <v/>
      </c>
    </row>
    <row r="24" customFormat="false" ht="15" hidden="false" customHeight="false" outlineLevel="0" collapsed="false">
      <c r="Z24" s="25" t="str">
        <f aca="false">IF(ISNUMBER(A24),IF(COUNTIF(祝日!$A:$A,A24)&gt;0,"祝",CHOOSE(WEEKDAY(A24,2),"月","火","水","木","金","土","日")),"")</f>
        <v/>
      </c>
      <c r="AA24" s="25" t="str">
        <f aca="false">IF(ISNUMBER(A24),IFERROR(INDEX(集計!$J$3:$J$33,MATCH(A24,集計!$B$3:$B$33,0)),0),"")</f>
        <v/>
      </c>
      <c r="AB24" s="25" t="str">
        <f aca="false">IF(ISNUMBER(A24),IFERROR(INDEX(設定!$F$4:$F$27,MATCH(K24,設定!$E$4:$E$27,0)),""),"")</f>
        <v/>
      </c>
    </row>
    <row r="25" customFormat="false" ht="15" hidden="false" customHeight="false" outlineLevel="0" collapsed="false">
      <c r="Z25" s="25" t="str">
        <f aca="false">IF(ISNUMBER(A25),IF(COUNTIF(祝日!$A:$A,A25)&gt;0,"祝",CHOOSE(WEEKDAY(A25,2),"月","火","水","木","金","土","日")),"")</f>
        <v/>
      </c>
      <c r="AA25" s="25" t="str">
        <f aca="false">IF(ISNUMBER(A25),IFERROR(INDEX(集計!$J$3:$J$33,MATCH(A25,集計!$B$3:$B$33,0)),0),"")</f>
        <v/>
      </c>
      <c r="AB25" s="25" t="str">
        <f aca="false">IF(ISNUMBER(A25),IFERROR(INDEX(設定!$F$4:$F$27,MATCH(K25,設定!$E$4:$E$27,0)),""),"")</f>
        <v/>
      </c>
    </row>
    <row r="26" customFormat="false" ht="15" hidden="false" customHeight="false" outlineLevel="0" collapsed="false">
      <c r="Z26" s="25" t="str">
        <f aca="false">IF(ISNUMBER(A26),IF(COUNTIF(祝日!$A:$A,A26)&gt;0,"祝",CHOOSE(WEEKDAY(A26,2),"月","火","水","木","金","土","日")),"")</f>
        <v/>
      </c>
      <c r="AA26" s="25" t="str">
        <f aca="false">IF(ISNUMBER(A26),IFERROR(INDEX(集計!$J$3:$J$33,MATCH(A26,集計!$B$3:$B$33,0)),0),"")</f>
        <v/>
      </c>
      <c r="AB26" s="25" t="str">
        <f aca="false">IF(ISNUMBER(A26),IFERROR(INDEX(設定!$F$4:$F$27,MATCH(K26,設定!$E$4:$E$27,0)),""),"")</f>
        <v/>
      </c>
    </row>
    <row r="27" customFormat="false" ht="15" hidden="false" customHeight="false" outlineLevel="0" collapsed="false">
      <c r="Z27" s="25" t="str">
        <f aca="false">IF(ISNUMBER(A27),IF(COUNTIF(祝日!$A:$A,A27)&gt;0,"祝",CHOOSE(WEEKDAY(A27,2),"月","火","水","木","金","土","日")),"")</f>
        <v/>
      </c>
      <c r="AA27" s="25" t="str">
        <f aca="false">IF(ISNUMBER(A27),IFERROR(INDEX(集計!$J$3:$J$33,MATCH(A27,集計!$B$3:$B$33,0)),0),"")</f>
        <v/>
      </c>
      <c r="AB27" s="25" t="str">
        <f aca="false">IF(ISNUMBER(A27),IFERROR(INDEX(設定!$F$4:$F$27,MATCH(K27,設定!$E$4:$E$27,0)),""),"")</f>
        <v/>
      </c>
    </row>
    <row r="28" customFormat="false" ht="15" hidden="false" customHeight="false" outlineLevel="0" collapsed="false">
      <c r="Z28" s="25" t="str">
        <f aca="false">IF(ISNUMBER(A28),IF(COUNTIF(祝日!$A:$A,A28)&gt;0,"祝",CHOOSE(WEEKDAY(A28,2),"月","火","水","木","金","土","日")),"")</f>
        <v/>
      </c>
      <c r="AA28" s="25" t="str">
        <f aca="false">IF(ISNUMBER(A28),IFERROR(INDEX(集計!$J$3:$J$33,MATCH(A28,集計!$B$3:$B$33,0)),0),"")</f>
        <v/>
      </c>
      <c r="AB28" s="25" t="str">
        <f aca="false">IF(ISNUMBER(A28),IFERROR(INDEX(設定!$F$4:$F$27,MATCH(K28,設定!$E$4:$E$27,0)),""),"")</f>
        <v/>
      </c>
    </row>
    <row r="29" customFormat="false" ht="15" hidden="false" customHeight="false" outlineLevel="0" collapsed="false">
      <c r="Z29" s="25" t="str">
        <f aca="false">IF(ISNUMBER(A29),IF(COUNTIF(祝日!$A:$A,A29)&gt;0,"祝",CHOOSE(WEEKDAY(A29,2),"月","火","水","木","金","土","日")),"")</f>
        <v/>
      </c>
      <c r="AA29" s="25" t="str">
        <f aca="false">IF(ISNUMBER(A29),IFERROR(INDEX(集計!$J$3:$J$33,MATCH(A29,集計!$B$3:$B$33,0)),0),"")</f>
        <v/>
      </c>
      <c r="AB29" s="25" t="str">
        <f aca="false">IF(ISNUMBER(A29),IFERROR(INDEX(設定!$F$4:$F$27,MATCH(K29,設定!$E$4:$E$27,0)),""),"")</f>
        <v/>
      </c>
    </row>
    <row r="30" customFormat="false" ht="15" hidden="false" customHeight="false" outlineLevel="0" collapsed="false">
      <c r="Z30" s="25" t="str">
        <f aca="false">IF(ISNUMBER(A30),IF(COUNTIF(祝日!$A:$A,A30)&gt;0,"祝",CHOOSE(WEEKDAY(A30,2),"月","火","水","木","金","土","日")),"")</f>
        <v/>
      </c>
      <c r="AA30" s="25" t="str">
        <f aca="false">IF(ISNUMBER(A30),IFERROR(INDEX(集計!$J$3:$J$33,MATCH(A30,集計!$B$3:$B$33,0)),0),"")</f>
        <v/>
      </c>
      <c r="AB30" s="25" t="str">
        <f aca="false">IF(ISNUMBER(A30),IFERROR(INDEX(設定!$F$4:$F$27,MATCH(K30,設定!$E$4:$E$27,0)),""),"")</f>
        <v/>
      </c>
    </row>
    <row r="31" customFormat="false" ht="15" hidden="false" customHeight="false" outlineLevel="0" collapsed="false">
      <c r="Z31" s="25" t="str">
        <f aca="false">IF(ISNUMBER(A31),IF(COUNTIF(祝日!$A:$A,A31)&gt;0,"祝",CHOOSE(WEEKDAY(A31,2),"月","火","水","木","金","土","日")),"")</f>
        <v/>
      </c>
      <c r="AA31" s="25" t="str">
        <f aca="false">IF(ISNUMBER(A31),IFERROR(INDEX(集計!$J$3:$J$33,MATCH(A31,集計!$B$3:$B$33,0)),0),"")</f>
        <v/>
      </c>
      <c r="AB31" s="25" t="str">
        <f aca="false">IF(ISNUMBER(A31),IFERROR(INDEX(設定!$F$4:$F$27,MATCH(K31,設定!$E$4:$E$27,0)),""),"")</f>
        <v/>
      </c>
    </row>
    <row r="32" customFormat="false" ht="15" hidden="false" customHeight="false" outlineLevel="0" collapsed="false">
      <c r="Z32" s="25" t="str">
        <f aca="false">IF(ISNUMBER(A32),IF(COUNTIF(祝日!$A:$A,A32)&gt;0,"祝",CHOOSE(WEEKDAY(A32,2),"月","火","水","木","金","土","日")),"")</f>
        <v/>
      </c>
      <c r="AA32" s="25" t="str">
        <f aca="false">IF(ISNUMBER(A32),IFERROR(INDEX(集計!$J$3:$J$33,MATCH(A32,集計!$B$3:$B$33,0)),0),"")</f>
        <v/>
      </c>
      <c r="AB32" s="25" t="str">
        <f aca="false">IF(ISNUMBER(A32),IFERROR(INDEX(設定!$F$4:$F$27,MATCH(K32,設定!$E$4:$E$27,0)),""),"")</f>
        <v/>
      </c>
    </row>
    <row r="33" customFormat="false" ht="15" hidden="false" customHeight="false" outlineLevel="0" collapsed="false">
      <c r="Z33" s="25" t="str">
        <f aca="false">IF(ISNUMBER(A33),IF(COUNTIF(祝日!$A:$A,A33)&gt;0,"祝",CHOOSE(WEEKDAY(A33,2),"月","火","水","木","金","土","日")),"")</f>
        <v/>
      </c>
      <c r="AA33" s="25" t="str">
        <f aca="false">IF(ISNUMBER(A33),IFERROR(INDEX(集計!$J$3:$J$33,MATCH(A33,集計!$B$3:$B$33,0)),0),"")</f>
        <v/>
      </c>
      <c r="AB33" s="25" t="str">
        <f aca="false">IF(ISNUMBER(A33),IFERROR(INDEX(設定!$F$4:$F$27,MATCH(K33,設定!$E$4:$E$27,0)),""),"")</f>
        <v/>
      </c>
    </row>
    <row r="34" customFormat="false" ht="15" hidden="false" customHeight="false" outlineLevel="0" collapsed="false">
      <c r="Z34" s="25" t="str">
        <f aca="false">IF(ISNUMBER(A34),IF(COUNTIF(祝日!$A:$A,A34)&gt;0,"祝",CHOOSE(WEEKDAY(A34,2),"月","火","水","木","金","土","日")),"")</f>
        <v/>
      </c>
      <c r="AA34" s="25" t="str">
        <f aca="false">IF(ISNUMBER(A34),IFERROR(INDEX(集計!$J$3:$J$33,MATCH(A34,集計!$B$3:$B$33,0)),0),"")</f>
        <v/>
      </c>
      <c r="AB34" s="25" t="str">
        <f aca="false">IF(ISNUMBER(A34),IFERROR(INDEX(設定!$F$4:$F$27,MATCH(K34,設定!$E$4:$E$27,0)),""),"")</f>
        <v/>
      </c>
    </row>
    <row r="35" customFormat="false" ht="15" hidden="false" customHeight="false" outlineLevel="0" collapsed="false">
      <c r="Z35" s="25" t="str">
        <f aca="false">IF(ISNUMBER(A35),IF(COUNTIF(祝日!$A:$A,A35)&gt;0,"祝",CHOOSE(WEEKDAY(A35,2),"月","火","水","木","金","土","日")),"")</f>
        <v/>
      </c>
      <c r="AA35" s="25" t="str">
        <f aca="false">IF(ISNUMBER(A35),IFERROR(INDEX(集計!$J$3:$J$33,MATCH(A35,集計!$B$3:$B$33,0)),0),"")</f>
        <v/>
      </c>
      <c r="AB35" s="25" t="str">
        <f aca="false">IF(ISNUMBER(A35),IFERROR(INDEX(設定!$F$4:$F$27,MATCH(K35,設定!$E$4:$E$27,0)),""),"")</f>
        <v/>
      </c>
    </row>
    <row r="36" customFormat="false" ht="15" hidden="false" customHeight="false" outlineLevel="0" collapsed="false">
      <c r="Z36" s="25" t="str">
        <f aca="false">IF(ISNUMBER(A36),IF(COUNTIF(祝日!$A:$A,A36)&gt;0,"祝",CHOOSE(WEEKDAY(A36,2),"月","火","水","木","金","土","日")),"")</f>
        <v/>
      </c>
      <c r="AA36" s="25" t="str">
        <f aca="false">IF(ISNUMBER(A36),IFERROR(INDEX(集計!$J$3:$J$33,MATCH(A36,集計!$B$3:$B$33,0)),0),"")</f>
        <v/>
      </c>
      <c r="AB36" s="25" t="str">
        <f aca="false">IF(ISNUMBER(A36),IFERROR(INDEX(設定!$F$4:$F$27,MATCH(K36,設定!$E$4:$E$27,0)),""),"")</f>
        <v/>
      </c>
    </row>
    <row r="37" customFormat="false" ht="15" hidden="false" customHeight="false" outlineLevel="0" collapsed="false">
      <c r="Z37" s="25" t="str">
        <f aca="false">IF(ISNUMBER(A37),IF(COUNTIF(祝日!$A:$A,A37)&gt;0,"祝",CHOOSE(WEEKDAY(A37,2),"月","火","水","木","金","土","日")),"")</f>
        <v/>
      </c>
      <c r="AA37" s="25" t="str">
        <f aca="false">IF(ISNUMBER(A37),IFERROR(INDEX(集計!$J$3:$J$33,MATCH(A37,集計!$B$3:$B$33,0)),0),"")</f>
        <v/>
      </c>
      <c r="AB37" s="25" t="str">
        <f aca="false">IF(ISNUMBER(A37),IFERROR(INDEX(設定!$F$4:$F$27,MATCH(K37,設定!$E$4:$E$27,0)),""),"")</f>
        <v/>
      </c>
    </row>
    <row r="38" customFormat="false" ht="15" hidden="false" customHeight="false" outlineLevel="0" collapsed="false">
      <c r="Z38" s="25" t="str">
        <f aca="false">IF(ISNUMBER(A38),IF(COUNTIF(祝日!$A:$A,A38)&gt;0,"祝",CHOOSE(WEEKDAY(A38,2),"月","火","水","木","金","土","日")),"")</f>
        <v/>
      </c>
      <c r="AA38" s="25" t="str">
        <f aca="false">IF(ISNUMBER(A38),IFERROR(INDEX(集計!$J$3:$J$33,MATCH(A38,集計!$B$3:$B$33,0)),0),"")</f>
        <v/>
      </c>
      <c r="AB38" s="25" t="str">
        <f aca="false">IF(ISNUMBER(A38),IFERROR(INDEX(設定!$F$4:$F$27,MATCH(K38,設定!$E$4:$E$27,0)),""),"")</f>
        <v/>
      </c>
    </row>
    <row r="39" customFormat="false" ht="15" hidden="false" customHeight="false" outlineLevel="0" collapsed="false">
      <c r="Z39" s="25" t="str">
        <f aca="false">IF(ISNUMBER(A39),IF(COUNTIF(祝日!$A:$A,A39)&gt;0,"祝",CHOOSE(WEEKDAY(A39,2),"月","火","水","木","金","土","日")),"")</f>
        <v/>
      </c>
      <c r="AA39" s="25" t="str">
        <f aca="false">IF(ISNUMBER(A39),IFERROR(INDEX(集計!$J$3:$J$33,MATCH(A39,集計!$B$3:$B$33,0)),0),"")</f>
        <v/>
      </c>
      <c r="AB39" s="25" t="str">
        <f aca="false">IF(ISNUMBER(A39),IFERROR(INDEX(設定!$F$4:$F$27,MATCH(K39,設定!$E$4:$E$27,0)),""),"")</f>
        <v/>
      </c>
    </row>
    <row r="40" customFormat="false" ht="15" hidden="false" customHeight="false" outlineLevel="0" collapsed="false">
      <c r="Z40" s="25" t="str">
        <f aca="false">IF(ISNUMBER(A40),IF(COUNTIF(祝日!$A:$A,A40)&gt;0,"祝",CHOOSE(WEEKDAY(A40,2),"月","火","水","木","金","土","日")),"")</f>
        <v/>
      </c>
      <c r="AA40" s="25" t="str">
        <f aca="false">IF(ISNUMBER(A40),IFERROR(INDEX(集計!$J$3:$J$33,MATCH(A40,集計!$B$3:$B$33,0)),0),"")</f>
        <v/>
      </c>
      <c r="AB40" s="25" t="str">
        <f aca="false">IF(ISNUMBER(A40),IFERROR(INDEX(設定!$F$4:$F$27,MATCH(K40,設定!$E$4:$E$27,0)),""),"")</f>
        <v/>
      </c>
    </row>
    <row r="41" customFormat="false" ht="15" hidden="false" customHeight="false" outlineLevel="0" collapsed="false">
      <c r="Z41" s="25" t="str">
        <f aca="false">IF(ISNUMBER(A41),IF(COUNTIF(祝日!$A:$A,A41)&gt;0,"祝",CHOOSE(WEEKDAY(A41,2),"月","火","水","木","金","土","日")),"")</f>
        <v/>
      </c>
      <c r="AA41" s="25" t="str">
        <f aca="false">IF(ISNUMBER(A41),IFERROR(INDEX(集計!$J$3:$J$33,MATCH(A41,集計!$B$3:$B$33,0)),0),"")</f>
        <v/>
      </c>
      <c r="AB41" s="25" t="str">
        <f aca="false">IF(ISNUMBER(A41),IFERROR(INDEX(設定!$F$4:$F$27,MATCH(K41,設定!$E$4:$E$27,0)),""),"")</f>
        <v/>
      </c>
    </row>
    <row r="42" customFormat="false" ht="15" hidden="false" customHeight="false" outlineLevel="0" collapsed="false">
      <c r="Z42" s="25" t="str">
        <f aca="false">IF(ISNUMBER(A42),IF(COUNTIF(祝日!$A:$A,A42)&gt;0,"祝",CHOOSE(WEEKDAY(A42,2),"月","火","水","木","金","土","日")),"")</f>
        <v/>
      </c>
      <c r="AA42" s="25" t="str">
        <f aca="false">IF(ISNUMBER(A42),IFERROR(INDEX(集計!$J$3:$J$33,MATCH(A42,集計!$B$3:$B$33,0)),0),"")</f>
        <v/>
      </c>
      <c r="AB42" s="25" t="str">
        <f aca="false">IF(ISNUMBER(A42),IFERROR(INDEX(設定!$F$4:$F$27,MATCH(K42,設定!$E$4:$E$27,0)),""),"")</f>
        <v/>
      </c>
    </row>
    <row r="43" customFormat="false" ht="15" hidden="false" customHeight="false" outlineLevel="0" collapsed="false">
      <c r="Z43" s="25" t="str">
        <f aca="false">IF(ISNUMBER(A43),IF(COUNTIF(祝日!$A:$A,A43)&gt;0,"祝",CHOOSE(WEEKDAY(A43,2),"月","火","水","木","金","土","日")),"")</f>
        <v/>
      </c>
      <c r="AA43" s="25" t="str">
        <f aca="false">IF(ISNUMBER(A43),IFERROR(INDEX(集計!$J$3:$J$33,MATCH(A43,集計!$B$3:$B$33,0)),0),"")</f>
        <v/>
      </c>
      <c r="AB43" s="25" t="str">
        <f aca="false">IF(ISNUMBER(A43),IFERROR(INDEX(設定!$F$4:$F$27,MATCH(K43,設定!$E$4:$E$27,0)),""),"")</f>
        <v/>
      </c>
    </row>
    <row r="44" customFormat="false" ht="15" hidden="false" customHeight="false" outlineLevel="0" collapsed="false">
      <c r="Z44" s="25" t="str">
        <f aca="false">IF(ISNUMBER(A44),IF(COUNTIF(祝日!$A:$A,A44)&gt;0,"祝",CHOOSE(WEEKDAY(A44,2),"月","火","水","木","金","土","日")),"")</f>
        <v/>
      </c>
      <c r="AA44" s="25" t="str">
        <f aca="false">IF(ISNUMBER(A44),IFERROR(INDEX(集計!$J$3:$J$33,MATCH(A44,集計!$B$3:$B$33,0)),0),"")</f>
        <v/>
      </c>
      <c r="AB44" s="25" t="str">
        <f aca="false">IF(ISNUMBER(A44),IFERROR(INDEX(設定!$F$4:$F$27,MATCH(K44,設定!$E$4:$E$27,0)),""),"")</f>
        <v/>
      </c>
    </row>
    <row r="45" customFormat="false" ht="15" hidden="false" customHeight="false" outlineLevel="0" collapsed="false">
      <c r="Z45" s="25" t="str">
        <f aca="false">IF(ISNUMBER(A45),IF(COUNTIF(祝日!$A:$A,A45)&gt;0,"祝",CHOOSE(WEEKDAY(A45,2),"月","火","水","木","金","土","日")),"")</f>
        <v/>
      </c>
      <c r="AA45" s="25" t="str">
        <f aca="false">IF(ISNUMBER(A45),IFERROR(INDEX(集計!$J$3:$J$33,MATCH(A45,集計!$B$3:$B$33,0)),0),"")</f>
        <v/>
      </c>
      <c r="AB45" s="25" t="str">
        <f aca="false">IF(ISNUMBER(A45),IFERROR(INDEX(設定!$F$4:$F$27,MATCH(K45,設定!$E$4:$E$27,0)),""),"")</f>
        <v/>
      </c>
    </row>
    <row r="46" customFormat="false" ht="15" hidden="false" customHeight="false" outlineLevel="0" collapsed="false">
      <c r="Z46" s="25" t="str">
        <f aca="false">IF(ISNUMBER(A46),IF(COUNTIF(祝日!$A:$A,A46)&gt;0,"祝",CHOOSE(WEEKDAY(A46,2),"月","火","水","木","金","土","日")),"")</f>
        <v/>
      </c>
      <c r="AA46" s="25" t="str">
        <f aca="false">IF(ISNUMBER(A46),IFERROR(INDEX(集計!$J$3:$J$33,MATCH(A46,集計!$B$3:$B$33,0)),0),"")</f>
        <v/>
      </c>
      <c r="AB46" s="25" t="str">
        <f aca="false">IF(ISNUMBER(A46),IFERROR(INDEX(設定!$F$4:$F$27,MATCH(K46,設定!$E$4:$E$27,0)),""),"")</f>
        <v/>
      </c>
    </row>
    <row r="47" customFormat="false" ht="15" hidden="false" customHeight="false" outlineLevel="0" collapsed="false">
      <c r="Z47" s="25" t="str">
        <f aca="false">IF(ISNUMBER(A47),IF(COUNTIF(祝日!$A:$A,A47)&gt;0,"祝",CHOOSE(WEEKDAY(A47,2),"月","火","水","木","金","土","日")),"")</f>
        <v/>
      </c>
      <c r="AA47" s="25" t="str">
        <f aca="false">IF(ISNUMBER(A47),IFERROR(INDEX(集計!$J$3:$J$33,MATCH(A47,集計!$B$3:$B$33,0)),0),"")</f>
        <v/>
      </c>
      <c r="AB47" s="25" t="str">
        <f aca="false">IF(ISNUMBER(A47),IFERROR(INDEX(設定!$F$4:$F$27,MATCH(K47,設定!$E$4:$E$27,0)),""),"")</f>
        <v/>
      </c>
    </row>
    <row r="48" customFormat="false" ht="15" hidden="false" customHeight="false" outlineLevel="0" collapsed="false">
      <c r="Z48" s="25" t="str">
        <f aca="false">IF(ISNUMBER(A48),IF(COUNTIF(祝日!$A:$A,A48)&gt;0,"祝",CHOOSE(WEEKDAY(A48,2),"月","火","水","木","金","土","日")),"")</f>
        <v/>
      </c>
      <c r="AA48" s="25" t="str">
        <f aca="false">IF(ISNUMBER(A48),IFERROR(INDEX(集計!$J$3:$J$33,MATCH(A48,集計!$B$3:$B$33,0)),0),"")</f>
        <v/>
      </c>
      <c r="AB48" s="25" t="str">
        <f aca="false">IF(ISNUMBER(A48),IFERROR(INDEX(設定!$F$4:$F$27,MATCH(K48,設定!$E$4:$E$27,0)),""),"")</f>
        <v/>
      </c>
    </row>
    <row r="49" customFormat="false" ht="15" hidden="false" customHeight="false" outlineLevel="0" collapsed="false">
      <c r="Z49" s="25" t="str">
        <f aca="false">IF(ISNUMBER(A49),IF(COUNTIF(祝日!$A:$A,A49)&gt;0,"祝",CHOOSE(WEEKDAY(A49,2),"月","火","水","木","金","土","日")),"")</f>
        <v/>
      </c>
      <c r="AA49" s="25" t="str">
        <f aca="false">IF(ISNUMBER(A49),IFERROR(INDEX(集計!$J$3:$J$33,MATCH(A49,集計!$B$3:$B$33,0)),0),"")</f>
        <v/>
      </c>
      <c r="AB49" s="25" t="str">
        <f aca="false">IF(ISNUMBER(A49),IFERROR(INDEX(設定!$F$4:$F$27,MATCH(K49,設定!$E$4:$E$27,0)),""),"")</f>
        <v/>
      </c>
    </row>
    <row r="50" customFormat="false" ht="15" hidden="false" customHeight="false" outlineLevel="0" collapsed="false">
      <c r="Z50" s="25" t="str">
        <f aca="false">IF(ISNUMBER(A50),IF(COUNTIF(祝日!$A:$A,A50)&gt;0,"祝",CHOOSE(WEEKDAY(A50,2),"月","火","水","木","金","土","日")),"")</f>
        <v/>
      </c>
      <c r="AA50" s="25" t="str">
        <f aca="false">IF(ISNUMBER(A50),IFERROR(INDEX(集計!$J$3:$J$33,MATCH(A50,集計!$B$3:$B$33,0)),0),"")</f>
        <v/>
      </c>
      <c r="AB50" s="25" t="str">
        <f aca="false">IF(ISNUMBER(A50),IFERROR(INDEX(設定!$F$4:$F$27,MATCH(K50,設定!$E$4:$E$27,0)),""),"")</f>
        <v/>
      </c>
    </row>
    <row r="51" customFormat="false" ht="15" hidden="false" customHeight="false" outlineLevel="0" collapsed="false">
      <c r="Z51" s="25" t="str">
        <f aca="false">IF(ISNUMBER(A51),IF(COUNTIF(祝日!$A:$A,A51)&gt;0,"祝",CHOOSE(WEEKDAY(A51,2),"月","火","水","木","金","土","日")),"")</f>
        <v/>
      </c>
      <c r="AA51" s="25" t="str">
        <f aca="false">IF(ISNUMBER(A51),IFERROR(INDEX(集計!$J$3:$J$33,MATCH(A51,集計!$B$3:$B$33,0)),0),"")</f>
        <v/>
      </c>
      <c r="AB51" s="25" t="str">
        <f aca="false">IF(ISNUMBER(A51),IFERROR(INDEX(設定!$F$4:$F$27,MATCH(K51,設定!$E$4:$E$27,0)),""),"")</f>
        <v/>
      </c>
    </row>
    <row r="52" customFormat="false" ht="15" hidden="false" customHeight="false" outlineLevel="0" collapsed="false">
      <c r="Z52" s="25" t="str">
        <f aca="false">IF(ISNUMBER(A52),IF(COUNTIF(祝日!$A:$A,A52)&gt;0,"祝",CHOOSE(WEEKDAY(A52,2),"月","火","水","木","金","土","日")),"")</f>
        <v/>
      </c>
      <c r="AA52" s="25" t="str">
        <f aca="false">IF(ISNUMBER(A52),IFERROR(INDEX(集計!$J$3:$J$33,MATCH(A52,集計!$B$3:$B$33,0)),0),"")</f>
        <v/>
      </c>
      <c r="AB52" s="25" t="str">
        <f aca="false">IF(ISNUMBER(A52),IFERROR(INDEX(設定!$F$4:$F$27,MATCH(K52,設定!$E$4:$E$27,0)),""),"")</f>
        <v/>
      </c>
    </row>
    <row r="53" customFormat="false" ht="15" hidden="false" customHeight="false" outlineLevel="0" collapsed="false">
      <c r="Z53" s="25" t="str">
        <f aca="false">IF(ISNUMBER(A53),IF(COUNTIF(祝日!$A:$A,A53)&gt;0,"祝",CHOOSE(WEEKDAY(A53,2),"月","火","水","木","金","土","日")),"")</f>
        <v/>
      </c>
      <c r="AA53" s="25" t="str">
        <f aca="false">IF(ISNUMBER(A53),IFERROR(INDEX(集計!$J$3:$J$33,MATCH(A53,集計!$B$3:$B$33,0)),0),"")</f>
        <v/>
      </c>
      <c r="AB53" s="25" t="str">
        <f aca="false">IF(ISNUMBER(A53),IFERROR(INDEX(設定!$F$4:$F$27,MATCH(K53,設定!$E$4:$E$27,0)),""),"")</f>
        <v/>
      </c>
    </row>
    <row r="54" customFormat="false" ht="15" hidden="false" customHeight="false" outlineLevel="0" collapsed="false">
      <c r="Z54" s="25" t="str">
        <f aca="false">IF(ISNUMBER(A54),IF(COUNTIF(祝日!$A:$A,A54)&gt;0,"祝",CHOOSE(WEEKDAY(A54,2),"月","火","水","木","金","土","日")),"")</f>
        <v/>
      </c>
      <c r="AA54" s="25" t="str">
        <f aca="false">IF(ISNUMBER(A54),IFERROR(INDEX(集計!$J$3:$J$33,MATCH(A54,集計!$B$3:$B$33,0)),0),"")</f>
        <v/>
      </c>
      <c r="AB54" s="25" t="str">
        <f aca="false">IF(ISNUMBER(A54),IFERROR(INDEX(設定!$F$4:$F$27,MATCH(K54,設定!$E$4:$E$27,0)),""),"")</f>
        <v/>
      </c>
    </row>
    <row r="55" customFormat="false" ht="15" hidden="false" customHeight="false" outlineLevel="0" collapsed="false">
      <c r="Z55" s="25" t="str">
        <f aca="false">IF(ISNUMBER(A55),IF(COUNTIF(祝日!$A:$A,A55)&gt;0,"祝",CHOOSE(WEEKDAY(A55,2),"月","火","水","木","金","土","日")),"")</f>
        <v/>
      </c>
      <c r="AA55" s="25" t="str">
        <f aca="false">IF(ISNUMBER(A55),IFERROR(INDEX(集計!$J$3:$J$33,MATCH(A55,集計!$B$3:$B$33,0)),0),"")</f>
        <v/>
      </c>
      <c r="AB55" s="25" t="str">
        <f aca="false">IF(ISNUMBER(A55),IFERROR(INDEX(設定!$F$4:$F$27,MATCH(K55,設定!$E$4:$E$27,0)),""),"")</f>
        <v/>
      </c>
    </row>
    <row r="56" customFormat="false" ht="15" hidden="false" customHeight="false" outlineLevel="0" collapsed="false">
      <c r="Z56" s="25" t="str">
        <f aca="false">IF(ISNUMBER(A56),IF(COUNTIF(祝日!$A:$A,A56)&gt;0,"祝",CHOOSE(WEEKDAY(A56,2),"月","火","水","木","金","土","日")),"")</f>
        <v/>
      </c>
      <c r="AA56" s="25" t="str">
        <f aca="false">IF(ISNUMBER(A56),IFERROR(INDEX(集計!$J$3:$J$33,MATCH(A56,集計!$B$3:$B$33,0)),0),"")</f>
        <v/>
      </c>
      <c r="AB56" s="25" t="str">
        <f aca="false">IF(ISNUMBER(A56),IFERROR(INDEX(設定!$F$4:$F$27,MATCH(K56,設定!$E$4:$E$27,0)),""),"")</f>
        <v/>
      </c>
    </row>
    <row r="57" customFormat="false" ht="15" hidden="false" customHeight="false" outlineLevel="0" collapsed="false">
      <c r="Z57" s="25" t="str">
        <f aca="false">IF(ISNUMBER(A57),IF(COUNTIF(祝日!$A:$A,A57)&gt;0,"祝",CHOOSE(WEEKDAY(A57,2),"月","火","水","木","金","土","日")),"")</f>
        <v/>
      </c>
      <c r="AA57" s="25" t="str">
        <f aca="false">IF(ISNUMBER(A57),IFERROR(INDEX(集計!$J$3:$J$33,MATCH(A57,集計!$B$3:$B$33,0)),0),"")</f>
        <v/>
      </c>
      <c r="AB57" s="25" t="str">
        <f aca="false">IF(ISNUMBER(A57),IFERROR(INDEX(設定!$F$4:$F$27,MATCH(K57,設定!$E$4:$E$27,0)),""),"")</f>
        <v/>
      </c>
    </row>
    <row r="58" customFormat="false" ht="15" hidden="false" customHeight="false" outlineLevel="0" collapsed="false">
      <c r="Z58" s="25" t="str">
        <f aca="false">IF(ISNUMBER(A58),IF(COUNTIF(祝日!$A:$A,A58)&gt;0,"祝",CHOOSE(WEEKDAY(A58,2),"月","火","水","木","金","土","日")),"")</f>
        <v/>
      </c>
      <c r="AA58" s="25" t="str">
        <f aca="false">IF(ISNUMBER(A58),IFERROR(INDEX(集計!$J$3:$J$33,MATCH(A58,集計!$B$3:$B$33,0)),0),"")</f>
        <v/>
      </c>
      <c r="AB58" s="25" t="str">
        <f aca="false">IF(ISNUMBER(A58),IFERROR(INDEX(設定!$F$4:$F$27,MATCH(K58,設定!$E$4:$E$27,0)),""),"")</f>
        <v/>
      </c>
    </row>
    <row r="59" customFormat="false" ht="15" hidden="false" customHeight="false" outlineLevel="0" collapsed="false">
      <c r="Z59" s="25" t="str">
        <f aca="false">IF(ISNUMBER(A59),IF(COUNTIF(祝日!$A:$A,A59)&gt;0,"祝",CHOOSE(WEEKDAY(A59,2),"月","火","水","木","金","土","日")),"")</f>
        <v/>
      </c>
      <c r="AA59" s="25" t="str">
        <f aca="false">IF(ISNUMBER(A59),IFERROR(INDEX(集計!$J$3:$J$33,MATCH(A59,集計!$B$3:$B$33,0)),0),"")</f>
        <v/>
      </c>
      <c r="AB59" s="25" t="str">
        <f aca="false">IF(ISNUMBER(A59),IFERROR(INDEX(設定!$F$4:$F$27,MATCH(K59,設定!$E$4:$E$27,0)),""),"")</f>
        <v/>
      </c>
    </row>
    <row r="60" customFormat="false" ht="15" hidden="false" customHeight="false" outlineLevel="0" collapsed="false">
      <c r="Z60" s="25" t="str">
        <f aca="false">IF(ISNUMBER(A60),IF(COUNTIF(祝日!$A:$A,A60)&gt;0,"祝",CHOOSE(WEEKDAY(A60,2),"月","火","水","木","金","土","日")),"")</f>
        <v/>
      </c>
      <c r="AA60" s="25" t="str">
        <f aca="false">IF(ISNUMBER(A60),IFERROR(INDEX(集計!$J$3:$J$33,MATCH(A60,集計!$B$3:$B$33,0)),0),"")</f>
        <v/>
      </c>
      <c r="AB60" s="25" t="str">
        <f aca="false">IF(ISNUMBER(A60),IFERROR(INDEX(設定!$F$4:$F$27,MATCH(K60,設定!$E$4:$E$27,0)),""),"")</f>
        <v/>
      </c>
    </row>
    <row r="61" customFormat="false" ht="15" hidden="false" customHeight="false" outlineLevel="0" collapsed="false">
      <c r="Z61" s="25" t="str">
        <f aca="false">IF(ISNUMBER(A61),IF(COUNTIF(祝日!$A:$A,A61)&gt;0,"祝",CHOOSE(WEEKDAY(A61,2),"月","火","水","木","金","土","日")),"")</f>
        <v/>
      </c>
      <c r="AA61" s="25" t="str">
        <f aca="false">IF(ISNUMBER(A61),IFERROR(INDEX(集計!$J$3:$J$33,MATCH(A61,集計!$B$3:$B$33,0)),0),"")</f>
        <v/>
      </c>
      <c r="AB61" s="25" t="str">
        <f aca="false">IF(ISNUMBER(A61),IFERROR(INDEX(設定!$F$4:$F$27,MATCH(K61,設定!$E$4:$E$27,0)),""),"")</f>
        <v/>
      </c>
    </row>
    <row r="62" customFormat="false" ht="15" hidden="false" customHeight="false" outlineLevel="0" collapsed="false">
      <c r="Z62" s="25" t="str">
        <f aca="false">IF(ISNUMBER(A62),IF(COUNTIF(祝日!$A:$A,A62)&gt;0,"祝",CHOOSE(WEEKDAY(A62,2),"月","火","水","木","金","土","日")),"")</f>
        <v/>
      </c>
      <c r="AA62" s="25" t="str">
        <f aca="false">IF(ISNUMBER(A62),IFERROR(INDEX(集計!$J$3:$J$33,MATCH(A62,集計!$B$3:$B$33,0)),0),"")</f>
        <v/>
      </c>
      <c r="AB62" s="25" t="str">
        <f aca="false">IF(ISNUMBER(A62),IFERROR(INDEX(設定!$F$4:$F$27,MATCH(K62,設定!$E$4:$E$27,0)),""),"")</f>
        <v/>
      </c>
    </row>
    <row r="63" customFormat="false" ht="15" hidden="false" customHeight="false" outlineLevel="0" collapsed="false">
      <c r="Z63" s="25" t="str">
        <f aca="false">IF(ISNUMBER(A63),IF(COUNTIF(祝日!$A:$A,A63)&gt;0,"祝",CHOOSE(WEEKDAY(A63,2),"月","火","水","木","金","土","日")),"")</f>
        <v/>
      </c>
      <c r="AA63" s="25" t="str">
        <f aca="false">IF(ISNUMBER(A63),IFERROR(INDEX(集計!$J$3:$J$33,MATCH(A63,集計!$B$3:$B$33,0)),0),"")</f>
        <v/>
      </c>
      <c r="AB63" s="25" t="str">
        <f aca="false">IF(ISNUMBER(A63),IFERROR(INDEX(設定!$F$4:$F$27,MATCH(K63,設定!$E$4:$E$27,0)),""),"")</f>
        <v/>
      </c>
    </row>
    <row r="64" customFormat="false" ht="15" hidden="false" customHeight="false" outlineLevel="0" collapsed="false">
      <c r="Z64" s="25" t="str">
        <f aca="false">IF(ISNUMBER(A64),IF(COUNTIF(祝日!$A:$A,A64)&gt;0,"祝",CHOOSE(WEEKDAY(A64,2),"月","火","水","木","金","土","日")),"")</f>
        <v/>
      </c>
      <c r="AA64" s="25" t="str">
        <f aca="false">IF(ISNUMBER(A64),IFERROR(INDEX(集計!$J$3:$J$33,MATCH(A64,集計!$B$3:$B$33,0)),0),"")</f>
        <v/>
      </c>
      <c r="AB64" s="25" t="str">
        <f aca="false">IF(ISNUMBER(A64),IFERROR(INDEX(設定!$F$4:$F$27,MATCH(K64,設定!$E$4:$E$27,0)),""),"")</f>
        <v/>
      </c>
    </row>
    <row r="65" customFormat="false" ht="15" hidden="false" customHeight="false" outlineLevel="0" collapsed="false">
      <c r="Z65" s="25" t="str">
        <f aca="false">IF(ISNUMBER(A65),IF(COUNTIF(祝日!$A:$A,A65)&gt;0,"祝",CHOOSE(WEEKDAY(A65,2),"月","火","水","木","金","土","日")),"")</f>
        <v/>
      </c>
      <c r="AA65" s="25" t="str">
        <f aca="false">IF(ISNUMBER(A65),IFERROR(INDEX(集計!$J$3:$J$33,MATCH(A65,集計!$B$3:$B$33,0)),0),"")</f>
        <v/>
      </c>
      <c r="AB65" s="25" t="str">
        <f aca="false">IF(ISNUMBER(A65),IFERROR(INDEX(設定!$F$4:$F$27,MATCH(K65,設定!$E$4:$E$27,0)),""),"")</f>
        <v/>
      </c>
    </row>
    <row r="66" customFormat="false" ht="15" hidden="false" customHeight="false" outlineLevel="0" collapsed="false">
      <c r="Z66" s="25" t="str">
        <f aca="false">IF(ISNUMBER(A66),IF(COUNTIF(祝日!$A:$A,A66)&gt;0,"祝",CHOOSE(WEEKDAY(A66,2),"月","火","水","木","金","土","日")),"")</f>
        <v/>
      </c>
      <c r="AA66" s="25" t="str">
        <f aca="false">IF(ISNUMBER(A66),IFERROR(INDEX(集計!$J$3:$J$33,MATCH(A66,集計!$B$3:$B$33,0)),0),"")</f>
        <v/>
      </c>
      <c r="AB66" s="25" t="str">
        <f aca="false">IF(ISNUMBER(A66),IFERROR(INDEX(設定!$F$4:$F$27,MATCH(K66,設定!$E$4:$E$27,0)),""),"")</f>
        <v/>
      </c>
    </row>
    <row r="67" customFormat="false" ht="15" hidden="false" customHeight="false" outlineLevel="0" collapsed="false">
      <c r="Z67" s="25" t="str">
        <f aca="false">IF(ISNUMBER(A67),IF(COUNTIF(祝日!$A:$A,A67)&gt;0,"祝",CHOOSE(WEEKDAY(A67,2),"月","火","水","木","金","土","日")),"")</f>
        <v/>
      </c>
      <c r="AA67" s="25" t="str">
        <f aca="false">IF(ISNUMBER(A67),IFERROR(INDEX(集計!$J$3:$J$33,MATCH(A67,集計!$B$3:$B$33,0)),0),"")</f>
        <v/>
      </c>
      <c r="AB67" s="25" t="str">
        <f aca="false">IF(ISNUMBER(A67),IFERROR(INDEX(設定!$F$4:$F$27,MATCH(K67,設定!$E$4:$E$27,0)),""),"")</f>
        <v/>
      </c>
    </row>
    <row r="68" customFormat="false" ht="15" hidden="false" customHeight="false" outlineLevel="0" collapsed="false">
      <c r="Z68" s="25" t="str">
        <f aca="false">IF(ISNUMBER(A68),IF(COUNTIF(祝日!$A:$A,A68)&gt;0,"祝",CHOOSE(WEEKDAY(A68,2),"月","火","水","木","金","土","日")),"")</f>
        <v/>
      </c>
      <c r="AA68" s="25" t="str">
        <f aca="false">IF(ISNUMBER(A68),IFERROR(INDEX(集計!$J$3:$J$33,MATCH(A68,集計!$B$3:$B$33,0)),0),"")</f>
        <v/>
      </c>
      <c r="AB68" s="25" t="str">
        <f aca="false">IF(ISNUMBER(A68),IFERROR(INDEX(設定!$F$4:$F$27,MATCH(K68,設定!$E$4:$E$27,0)),""),"")</f>
        <v/>
      </c>
    </row>
    <row r="69" customFormat="false" ht="15" hidden="false" customHeight="false" outlineLevel="0" collapsed="false">
      <c r="Z69" s="25" t="str">
        <f aca="false">IF(ISNUMBER(A69),IF(COUNTIF(祝日!$A:$A,A69)&gt;0,"祝",CHOOSE(WEEKDAY(A69,2),"月","火","水","木","金","土","日")),"")</f>
        <v/>
      </c>
      <c r="AA69" s="25" t="str">
        <f aca="false">IF(ISNUMBER(A69),IFERROR(INDEX(集計!$J$3:$J$33,MATCH(A69,集計!$B$3:$B$33,0)),0),"")</f>
        <v/>
      </c>
      <c r="AB69" s="25" t="str">
        <f aca="false">IF(ISNUMBER(A69),IFERROR(INDEX(設定!$F$4:$F$27,MATCH(K69,設定!$E$4:$E$27,0)),""),"")</f>
        <v/>
      </c>
    </row>
    <row r="70" customFormat="false" ht="15" hidden="false" customHeight="false" outlineLevel="0" collapsed="false">
      <c r="Z70" s="25" t="str">
        <f aca="false">IF(ISNUMBER(A70),IF(COUNTIF(祝日!$A:$A,A70)&gt;0,"祝",CHOOSE(WEEKDAY(A70,2),"月","火","水","木","金","土","日")),"")</f>
        <v/>
      </c>
      <c r="AA70" s="25" t="str">
        <f aca="false">IF(ISNUMBER(A70),IFERROR(INDEX(集計!$J$3:$J$33,MATCH(A70,集計!$B$3:$B$33,0)),0),"")</f>
        <v/>
      </c>
      <c r="AB70" s="25" t="str">
        <f aca="false">IF(ISNUMBER(A70),IFERROR(INDEX(設定!$F$4:$F$27,MATCH(K70,設定!$E$4:$E$27,0)),""),"")</f>
        <v/>
      </c>
    </row>
    <row r="71" customFormat="false" ht="15" hidden="false" customHeight="false" outlineLevel="0" collapsed="false">
      <c r="Z71" s="25" t="str">
        <f aca="false">IF(ISNUMBER(A71),IF(COUNTIF(祝日!$A:$A,A71)&gt;0,"祝",CHOOSE(WEEKDAY(A71,2),"月","火","水","木","金","土","日")),"")</f>
        <v/>
      </c>
      <c r="AA71" s="25" t="str">
        <f aca="false">IF(ISNUMBER(A71),IFERROR(INDEX(集計!$J$3:$J$33,MATCH(A71,集計!$B$3:$B$33,0)),0),"")</f>
        <v/>
      </c>
      <c r="AB71" s="25" t="str">
        <f aca="false">IF(ISNUMBER(A71),IFERROR(INDEX(設定!$F$4:$F$27,MATCH(K71,設定!$E$4:$E$27,0)),""),"")</f>
        <v/>
      </c>
    </row>
    <row r="72" customFormat="false" ht="15" hidden="false" customHeight="false" outlineLevel="0" collapsed="false">
      <c r="Z72" s="25" t="str">
        <f aca="false">IF(ISNUMBER(A72),IF(COUNTIF(祝日!$A:$A,A72)&gt;0,"祝",CHOOSE(WEEKDAY(A72,2),"月","火","水","木","金","土","日")),"")</f>
        <v/>
      </c>
      <c r="AA72" s="25" t="str">
        <f aca="false">IF(ISNUMBER(A72),IFERROR(INDEX(集計!$J$3:$J$33,MATCH(A72,集計!$B$3:$B$33,0)),0),"")</f>
        <v/>
      </c>
      <c r="AB72" s="25" t="str">
        <f aca="false">IF(ISNUMBER(A72),IFERROR(INDEX(設定!$F$4:$F$27,MATCH(K72,設定!$E$4:$E$27,0)),""),"")</f>
        <v/>
      </c>
    </row>
    <row r="73" customFormat="false" ht="15" hidden="false" customHeight="false" outlineLevel="0" collapsed="false">
      <c r="Z73" s="25" t="str">
        <f aca="false">IF(ISNUMBER(A73),IF(COUNTIF(祝日!$A:$A,A73)&gt;0,"祝",CHOOSE(WEEKDAY(A73,2),"月","火","水","木","金","土","日")),"")</f>
        <v/>
      </c>
      <c r="AA73" s="25" t="str">
        <f aca="false">IF(ISNUMBER(A73),IFERROR(INDEX(集計!$J$3:$J$33,MATCH(A73,集計!$B$3:$B$33,0)),0),"")</f>
        <v/>
      </c>
      <c r="AB73" s="25" t="str">
        <f aca="false">IF(ISNUMBER(A73),IFERROR(INDEX(設定!$F$4:$F$27,MATCH(K73,設定!$E$4:$E$27,0)),""),"")</f>
        <v/>
      </c>
    </row>
    <row r="74" customFormat="false" ht="15" hidden="false" customHeight="false" outlineLevel="0" collapsed="false">
      <c r="Z74" s="25" t="str">
        <f aca="false">IF(ISNUMBER(A74),IF(COUNTIF(祝日!$A:$A,A74)&gt;0,"祝",CHOOSE(WEEKDAY(A74,2),"月","火","水","木","金","土","日")),"")</f>
        <v/>
      </c>
      <c r="AA74" s="25" t="str">
        <f aca="false">IF(ISNUMBER(A74),IFERROR(INDEX(集計!$J$3:$J$33,MATCH(A74,集計!$B$3:$B$33,0)),0),"")</f>
        <v/>
      </c>
      <c r="AB74" s="25" t="str">
        <f aca="false">IF(ISNUMBER(A74),IFERROR(INDEX(設定!$F$4:$F$27,MATCH(K74,設定!$E$4:$E$27,0)),""),"")</f>
        <v/>
      </c>
    </row>
    <row r="75" customFormat="false" ht="15" hidden="false" customHeight="false" outlineLevel="0" collapsed="false">
      <c r="Z75" s="25" t="str">
        <f aca="false">IF(ISNUMBER(A75),IF(COUNTIF(祝日!$A:$A,A75)&gt;0,"祝",CHOOSE(WEEKDAY(A75,2),"月","火","水","木","金","土","日")),"")</f>
        <v/>
      </c>
      <c r="AA75" s="25" t="str">
        <f aca="false">IF(ISNUMBER(A75),IFERROR(INDEX(集計!$J$3:$J$33,MATCH(A75,集計!$B$3:$B$33,0)),0),"")</f>
        <v/>
      </c>
      <c r="AB75" s="25" t="str">
        <f aca="false">IF(ISNUMBER(A75),IFERROR(INDEX(設定!$F$4:$F$27,MATCH(K75,設定!$E$4:$E$27,0)),""),"")</f>
        <v/>
      </c>
    </row>
    <row r="76" customFormat="false" ht="15" hidden="false" customHeight="false" outlineLevel="0" collapsed="false">
      <c r="Z76" s="25" t="str">
        <f aca="false">IF(ISNUMBER(A76),IF(COUNTIF(祝日!$A:$A,A76)&gt;0,"祝",CHOOSE(WEEKDAY(A76,2),"月","火","水","木","金","土","日")),"")</f>
        <v/>
      </c>
      <c r="AA76" s="25" t="str">
        <f aca="false">IF(ISNUMBER(A76),IFERROR(INDEX(集計!$J$3:$J$33,MATCH(A76,集計!$B$3:$B$33,0)),0),"")</f>
        <v/>
      </c>
      <c r="AB76" s="25" t="str">
        <f aca="false">IF(ISNUMBER(A76),IFERROR(INDEX(設定!$F$4:$F$27,MATCH(K76,設定!$E$4:$E$27,0)),""),"")</f>
        <v/>
      </c>
    </row>
    <row r="77" customFormat="false" ht="15" hidden="false" customHeight="false" outlineLevel="0" collapsed="false">
      <c r="Z77" s="25" t="str">
        <f aca="false">IF(ISNUMBER(A77),IF(COUNTIF(祝日!$A:$A,A77)&gt;0,"祝",CHOOSE(WEEKDAY(A77,2),"月","火","水","木","金","土","日")),"")</f>
        <v/>
      </c>
      <c r="AA77" s="25" t="str">
        <f aca="false">IF(ISNUMBER(A77),IFERROR(INDEX(集計!$J$3:$J$33,MATCH(A77,集計!$B$3:$B$33,0)),0),"")</f>
        <v/>
      </c>
      <c r="AB77" s="25" t="str">
        <f aca="false">IF(ISNUMBER(A77),IFERROR(INDEX(設定!$F$4:$F$27,MATCH(K77,設定!$E$4:$E$27,0)),""),"")</f>
        <v/>
      </c>
    </row>
    <row r="78" customFormat="false" ht="15" hidden="false" customHeight="false" outlineLevel="0" collapsed="false">
      <c r="Z78" s="25" t="str">
        <f aca="false">IF(ISNUMBER(A78),IF(COUNTIF(祝日!$A:$A,A78)&gt;0,"祝",CHOOSE(WEEKDAY(A78,2),"月","火","水","木","金","土","日")),"")</f>
        <v/>
      </c>
      <c r="AA78" s="25" t="str">
        <f aca="false">IF(ISNUMBER(A78),IFERROR(INDEX(集計!$J$3:$J$33,MATCH(A78,集計!$B$3:$B$33,0)),0),"")</f>
        <v/>
      </c>
      <c r="AB78" s="25" t="str">
        <f aca="false">IF(ISNUMBER(A78),IFERROR(INDEX(設定!$F$4:$F$27,MATCH(K78,設定!$E$4:$E$27,0)),""),"")</f>
        <v/>
      </c>
    </row>
    <row r="79" customFormat="false" ht="15" hidden="false" customHeight="false" outlineLevel="0" collapsed="false">
      <c r="Z79" s="25" t="str">
        <f aca="false">IF(ISNUMBER(A79),IF(COUNTIF(祝日!$A:$A,A79)&gt;0,"祝",CHOOSE(WEEKDAY(A79,2),"月","火","水","木","金","土","日")),"")</f>
        <v/>
      </c>
      <c r="AA79" s="25" t="str">
        <f aca="false">IF(ISNUMBER(A79),IFERROR(INDEX(集計!$J$3:$J$33,MATCH(A79,集計!$B$3:$B$33,0)),0),"")</f>
        <v/>
      </c>
      <c r="AB79" s="25" t="str">
        <f aca="false">IF(ISNUMBER(A79),IFERROR(INDEX(設定!$F$4:$F$27,MATCH(K79,設定!$E$4:$E$27,0)),""),"")</f>
        <v/>
      </c>
    </row>
    <row r="80" customFormat="false" ht="15" hidden="false" customHeight="false" outlineLevel="0" collapsed="false">
      <c r="Z80" s="25" t="str">
        <f aca="false">IF(ISNUMBER(A80),IF(COUNTIF(祝日!$A:$A,A80)&gt;0,"祝",CHOOSE(WEEKDAY(A80,2),"月","火","水","木","金","土","日")),"")</f>
        <v/>
      </c>
      <c r="AA80" s="25" t="str">
        <f aca="false">IF(ISNUMBER(A80),IFERROR(INDEX(集計!$J$3:$J$33,MATCH(A80,集計!$B$3:$B$33,0)),0),"")</f>
        <v/>
      </c>
      <c r="AB80" s="25" t="str">
        <f aca="false">IF(ISNUMBER(A80),IFERROR(INDEX(設定!$F$4:$F$27,MATCH(K80,設定!$E$4:$E$27,0)),""),"")</f>
        <v/>
      </c>
    </row>
    <row r="81" customFormat="false" ht="15" hidden="false" customHeight="false" outlineLevel="0" collapsed="false">
      <c r="Z81" s="25" t="str">
        <f aca="false">IF(ISNUMBER(A81),IF(COUNTIF(祝日!$A:$A,A81)&gt;0,"祝",CHOOSE(WEEKDAY(A81,2),"月","火","水","木","金","土","日")),"")</f>
        <v/>
      </c>
      <c r="AA81" s="25" t="str">
        <f aca="false">IF(ISNUMBER(A81),IFERROR(INDEX(集計!$J$3:$J$33,MATCH(A81,集計!$B$3:$B$33,0)),0),"")</f>
        <v/>
      </c>
      <c r="AB81" s="25" t="str">
        <f aca="false">IF(ISNUMBER(A81),IFERROR(INDEX(設定!$F$4:$F$27,MATCH(K81,設定!$E$4:$E$27,0)),""),"")</f>
        <v/>
      </c>
    </row>
    <row r="82" customFormat="false" ht="15" hidden="false" customHeight="false" outlineLevel="0" collapsed="false">
      <c r="Z82" s="25" t="str">
        <f aca="false">IF(ISNUMBER(A82),IF(COUNTIF(祝日!$A:$A,A82)&gt;0,"祝",CHOOSE(WEEKDAY(A82,2),"月","火","水","木","金","土","日")),"")</f>
        <v/>
      </c>
      <c r="AA82" s="25" t="str">
        <f aca="false">IF(ISNUMBER(A82),IFERROR(INDEX(集計!$J$3:$J$33,MATCH(A82,集計!$B$3:$B$33,0)),0),"")</f>
        <v/>
      </c>
      <c r="AB82" s="25" t="str">
        <f aca="false">IF(ISNUMBER(A82),IFERROR(INDEX(設定!$F$4:$F$27,MATCH(K82,設定!$E$4:$E$27,0)),""),"")</f>
        <v/>
      </c>
    </row>
    <row r="83" customFormat="false" ht="15" hidden="false" customHeight="false" outlineLevel="0" collapsed="false">
      <c r="Z83" s="25" t="str">
        <f aca="false">IF(ISNUMBER(A83),IF(COUNTIF(祝日!$A:$A,A83)&gt;0,"祝",CHOOSE(WEEKDAY(A83,2),"月","火","水","木","金","土","日")),"")</f>
        <v/>
      </c>
      <c r="AA83" s="25" t="str">
        <f aca="false">IF(ISNUMBER(A83),IFERROR(INDEX(集計!$J$3:$J$33,MATCH(A83,集計!$B$3:$B$33,0)),0),"")</f>
        <v/>
      </c>
      <c r="AB83" s="25" t="str">
        <f aca="false">IF(ISNUMBER(A83),IFERROR(INDEX(設定!$F$4:$F$27,MATCH(K83,設定!$E$4:$E$27,0)),""),"")</f>
        <v/>
      </c>
    </row>
    <row r="84" customFormat="false" ht="15" hidden="false" customHeight="false" outlineLevel="0" collapsed="false">
      <c r="Z84" s="25" t="str">
        <f aca="false">IF(ISNUMBER(A84),IF(COUNTIF(祝日!$A:$A,A84)&gt;0,"祝",CHOOSE(WEEKDAY(A84,2),"月","火","水","木","金","土","日")),"")</f>
        <v/>
      </c>
      <c r="AA84" s="25" t="str">
        <f aca="false">IF(ISNUMBER(A84),IFERROR(INDEX(集計!$J$3:$J$33,MATCH(A84,集計!$B$3:$B$33,0)),0),"")</f>
        <v/>
      </c>
      <c r="AB84" s="25" t="str">
        <f aca="false">IF(ISNUMBER(A84),IFERROR(INDEX(設定!$F$4:$F$27,MATCH(K84,設定!$E$4:$E$27,0)),""),"")</f>
        <v/>
      </c>
    </row>
    <row r="85" customFormat="false" ht="15" hidden="false" customHeight="false" outlineLevel="0" collapsed="false">
      <c r="Z85" s="25" t="str">
        <f aca="false">IF(ISNUMBER(A85),IF(COUNTIF(祝日!$A:$A,A85)&gt;0,"祝",CHOOSE(WEEKDAY(A85,2),"月","火","水","木","金","土","日")),"")</f>
        <v/>
      </c>
      <c r="AA85" s="25" t="str">
        <f aca="false">IF(ISNUMBER(A85),IFERROR(INDEX(集計!$J$3:$J$33,MATCH(A85,集計!$B$3:$B$33,0)),0),"")</f>
        <v/>
      </c>
      <c r="AB85" s="25" t="str">
        <f aca="false">IF(ISNUMBER(A85),IFERROR(INDEX(設定!$F$4:$F$27,MATCH(K85,設定!$E$4:$E$27,0)),""),"")</f>
        <v/>
      </c>
    </row>
    <row r="86" customFormat="false" ht="15" hidden="false" customHeight="false" outlineLevel="0" collapsed="false">
      <c r="Z86" s="25" t="str">
        <f aca="false">IF(ISNUMBER(A86),IF(COUNTIF(祝日!$A:$A,A86)&gt;0,"祝",CHOOSE(WEEKDAY(A86,2),"月","火","水","木","金","土","日")),"")</f>
        <v/>
      </c>
      <c r="AA86" s="25" t="str">
        <f aca="false">IF(ISNUMBER(A86),IFERROR(INDEX(集計!$J$3:$J$33,MATCH(A86,集計!$B$3:$B$33,0)),0),"")</f>
        <v/>
      </c>
      <c r="AB86" s="25" t="str">
        <f aca="false">IF(ISNUMBER(A86),IFERROR(INDEX(設定!$F$4:$F$27,MATCH(K86,設定!$E$4:$E$27,0)),""),"")</f>
        <v/>
      </c>
    </row>
    <row r="87" customFormat="false" ht="15" hidden="false" customHeight="false" outlineLevel="0" collapsed="false">
      <c r="Z87" s="25" t="str">
        <f aca="false">IF(ISNUMBER(A87),IF(COUNTIF(祝日!$A:$A,A87)&gt;0,"祝",CHOOSE(WEEKDAY(A87,2),"月","火","水","木","金","土","日")),"")</f>
        <v/>
      </c>
      <c r="AA87" s="25" t="str">
        <f aca="false">IF(ISNUMBER(A87),IFERROR(INDEX(集計!$J$3:$J$33,MATCH(A87,集計!$B$3:$B$33,0)),0),"")</f>
        <v/>
      </c>
      <c r="AB87" s="25" t="str">
        <f aca="false">IF(ISNUMBER(A87),IFERROR(INDEX(設定!$F$4:$F$27,MATCH(K87,設定!$E$4:$E$27,0)),""),"")</f>
        <v/>
      </c>
    </row>
    <row r="88" customFormat="false" ht="15" hidden="false" customHeight="false" outlineLevel="0" collapsed="false">
      <c r="Z88" s="25" t="str">
        <f aca="false">IF(ISNUMBER(A88),IF(COUNTIF(祝日!$A:$A,A88)&gt;0,"祝",CHOOSE(WEEKDAY(A88,2),"月","火","水","木","金","土","日")),"")</f>
        <v/>
      </c>
      <c r="AA88" s="25" t="str">
        <f aca="false">IF(ISNUMBER(A88),IFERROR(INDEX(集計!$J$3:$J$33,MATCH(A88,集計!$B$3:$B$33,0)),0),"")</f>
        <v/>
      </c>
      <c r="AB88" s="25" t="str">
        <f aca="false">IF(ISNUMBER(A88),IFERROR(INDEX(設定!$F$4:$F$27,MATCH(K88,設定!$E$4:$E$27,0)),""),"")</f>
        <v/>
      </c>
    </row>
    <row r="89" customFormat="false" ht="15" hidden="false" customHeight="false" outlineLevel="0" collapsed="false">
      <c r="Z89" s="25" t="str">
        <f aca="false">IF(ISNUMBER(A89),IF(COUNTIF(祝日!$A:$A,A89)&gt;0,"祝",CHOOSE(WEEKDAY(A89,2),"月","火","水","木","金","土","日")),"")</f>
        <v/>
      </c>
      <c r="AA89" s="25" t="str">
        <f aca="false">IF(ISNUMBER(A89),IFERROR(INDEX(集計!$J$3:$J$33,MATCH(A89,集計!$B$3:$B$33,0)),0),"")</f>
        <v/>
      </c>
      <c r="AB89" s="25" t="str">
        <f aca="false">IF(ISNUMBER(A89),IFERROR(INDEX(設定!$F$4:$F$27,MATCH(K89,設定!$E$4:$E$27,0)),""),"")</f>
        <v/>
      </c>
    </row>
    <row r="90" customFormat="false" ht="15" hidden="false" customHeight="false" outlineLevel="0" collapsed="false">
      <c r="Z90" s="25" t="str">
        <f aca="false">IF(ISNUMBER(A90),IF(COUNTIF(祝日!$A:$A,A90)&gt;0,"祝",CHOOSE(WEEKDAY(A90,2),"月","火","水","木","金","土","日")),"")</f>
        <v/>
      </c>
      <c r="AA90" s="25" t="str">
        <f aca="false">IF(ISNUMBER(A90),IFERROR(INDEX(集計!$J$3:$J$33,MATCH(A90,集計!$B$3:$B$33,0)),0),"")</f>
        <v/>
      </c>
      <c r="AB90" s="25" t="str">
        <f aca="false">IF(ISNUMBER(A90),IFERROR(INDEX(設定!$F$4:$F$27,MATCH(K90,設定!$E$4:$E$27,0)),""),"")</f>
        <v/>
      </c>
    </row>
    <row r="91" customFormat="false" ht="15" hidden="false" customHeight="false" outlineLevel="0" collapsed="false">
      <c r="Z91" s="25" t="str">
        <f aca="false">IF(ISNUMBER(A91),IF(COUNTIF(祝日!$A:$A,A91)&gt;0,"祝",CHOOSE(WEEKDAY(A91,2),"月","火","水","木","金","土","日")),"")</f>
        <v/>
      </c>
      <c r="AA91" s="25" t="str">
        <f aca="false">IF(ISNUMBER(A91),IFERROR(INDEX(集計!$J$3:$J$33,MATCH(A91,集計!$B$3:$B$33,0)),0),"")</f>
        <v/>
      </c>
      <c r="AB91" s="25" t="str">
        <f aca="false">IF(ISNUMBER(A91),IFERROR(INDEX(設定!$F$4:$F$27,MATCH(K91,設定!$E$4:$E$27,0)),""),"")</f>
        <v/>
      </c>
    </row>
    <row r="92" customFormat="false" ht="15" hidden="false" customHeight="false" outlineLevel="0" collapsed="false">
      <c r="Z92" s="25" t="str">
        <f aca="false">IF(ISNUMBER(A92),IF(COUNTIF(祝日!$A:$A,A92)&gt;0,"祝",CHOOSE(WEEKDAY(A92,2),"月","火","水","木","金","土","日")),"")</f>
        <v/>
      </c>
      <c r="AA92" s="25" t="str">
        <f aca="false">IF(ISNUMBER(A92),IFERROR(INDEX(集計!$J$3:$J$33,MATCH(A92,集計!$B$3:$B$33,0)),0),"")</f>
        <v/>
      </c>
      <c r="AB92" s="25" t="str">
        <f aca="false">IF(ISNUMBER(A92),IFERROR(INDEX(設定!$F$4:$F$27,MATCH(K92,設定!$E$4:$E$27,0)),""),"")</f>
        <v/>
      </c>
    </row>
    <row r="93" customFormat="false" ht="15" hidden="false" customHeight="false" outlineLevel="0" collapsed="false">
      <c r="Z93" s="25" t="str">
        <f aca="false">IF(ISNUMBER(A93),IF(COUNTIF(祝日!$A:$A,A93)&gt;0,"祝",CHOOSE(WEEKDAY(A93,2),"月","火","水","木","金","土","日")),"")</f>
        <v/>
      </c>
      <c r="AA93" s="25" t="str">
        <f aca="false">IF(ISNUMBER(A93),IFERROR(INDEX(集計!$J$3:$J$33,MATCH(A93,集計!$B$3:$B$33,0)),0),"")</f>
        <v/>
      </c>
      <c r="AB93" s="25" t="str">
        <f aca="false">IF(ISNUMBER(A93),IFERROR(INDEX(設定!$F$4:$F$27,MATCH(K93,設定!$E$4:$E$27,0)),""),"")</f>
        <v/>
      </c>
    </row>
    <row r="94" customFormat="false" ht="15" hidden="false" customHeight="false" outlineLevel="0" collapsed="false">
      <c r="Z94" s="25" t="str">
        <f aca="false">IF(ISNUMBER(A94),IF(COUNTIF(祝日!$A:$A,A94)&gt;0,"祝",CHOOSE(WEEKDAY(A94,2),"月","火","水","木","金","土","日")),"")</f>
        <v/>
      </c>
      <c r="AA94" s="25" t="str">
        <f aca="false">IF(ISNUMBER(A94),IFERROR(INDEX(集計!$J$3:$J$33,MATCH(A94,集計!$B$3:$B$33,0)),0),"")</f>
        <v/>
      </c>
      <c r="AB94" s="25" t="str">
        <f aca="false">IF(ISNUMBER(A94),IFERROR(INDEX(設定!$F$4:$F$27,MATCH(K94,設定!$E$4:$E$27,0)),""),"")</f>
        <v/>
      </c>
    </row>
    <row r="95" customFormat="false" ht="15" hidden="false" customHeight="false" outlineLevel="0" collapsed="false">
      <c r="Z95" s="25" t="str">
        <f aca="false">IF(ISNUMBER(A95),IF(COUNTIF(祝日!$A:$A,A95)&gt;0,"祝",CHOOSE(WEEKDAY(A95,2),"月","火","水","木","金","土","日")),"")</f>
        <v/>
      </c>
      <c r="AA95" s="25" t="str">
        <f aca="false">IF(ISNUMBER(A95),IFERROR(INDEX(集計!$J$3:$J$33,MATCH(A95,集計!$B$3:$B$33,0)),0),"")</f>
        <v/>
      </c>
      <c r="AB95" s="25" t="str">
        <f aca="false">IF(ISNUMBER(A95),IFERROR(INDEX(設定!$F$4:$F$27,MATCH(K95,設定!$E$4:$E$27,0)),""),"")</f>
        <v/>
      </c>
    </row>
    <row r="96" customFormat="false" ht="15" hidden="false" customHeight="false" outlineLevel="0" collapsed="false">
      <c r="Z96" s="25" t="str">
        <f aca="false">IF(ISNUMBER(A96),IF(COUNTIF(祝日!$A:$A,A96)&gt;0,"祝",CHOOSE(WEEKDAY(A96,2),"月","火","水","木","金","土","日")),"")</f>
        <v/>
      </c>
      <c r="AA96" s="25" t="str">
        <f aca="false">IF(ISNUMBER(A96),IFERROR(INDEX(集計!$J$3:$J$33,MATCH(A96,集計!$B$3:$B$33,0)),0),"")</f>
        <v/>
      </c>
      <c r="AB96" s="25" t="str">
        <f aca="false">IF(ISNUMBER(A96),IFERROR(INDEX(設定!$F$4:$F$27,MATCH(K96,設定!$E$4:$E$27,0)),""),"")</f>
        <v/>
      </c>
    </row>
    <row r="97" customFormat="false" ht="15" hidden="false" customHeight="false" outlineLevel="0" collapsed="false">
      <c r="Z97" s="25" t="str">
        <f aca="false">IF(ISNUMBER(A97),IF(COUNTIF(祝日!$A:$A,A97)&gt;0,"祝",CHOOSE(WEEKDAY(A97,2),"月","火","水","木","金","土","日")),"")</f>
        <v/>
      </c>
      <c r="AA97" s="25" t="str">
        <f aca="false">IF(ISNUMBER(A97),IFERROR(INDEX(集計!$J$3:$J$33,MATCH(A97,集計!$B$3:$B$33,0)),0),"")</f>
        <v/>
      </c>
      <c r="AB97" s="25" t="str">
        <f aca="false">IF(ISNUMBER(A97),IFERROR(INDEX(設定!$F$4:$F$27,MATCH(K97,設定!$E$4:$E$27,0)),""),"")</f>
        <v/>
      </c>
    </row>
    <row r="98" customFormat="false" ht="15" hidden="false" customHeight="false" outlineLevel="0" collapsed="false">
      <c r="Z98" s="25" t="str">
        <f aca="false">IF(ISNUMBER(A98),IF(COUNTIF(祝日!$A:$A,A98)&gt;0,"祝",CHOOSE(WEEKDAY(A98,2),"月","火","水","木","金","土","日")),"")</f>
        <v/>
      </c>
      <c r="AA98" s="25" t="str">
        <f aca="false">IF(ISNUMBER(A98),IFERROR(INDEX(集計!$J$3:$J$33,MATCH(A98,集計!$B$3:$B$33,0)),0),"")</f>
        <v/>
      </c>
      <c r="AB98" s="25" t="str">
        <f aca="false">IF(ISNUMBER(A98),IFERROR(INDEX(設定!$F$4:$F$27,MATCH(K98,設定!$E$4:$E$27,0)),""),"")</f>
        <v/>
      </c>
    </row>
    <row r="99" customFormat="false" ht="15" hidden="false" customHeight="false" outlineLevel="0" collapsed="false">
      <c r="Z99" s="25" t="str">
        <f aca="false">IF(ISNUMBER(A99),IF(COUNTIF(祝日!$A:$A,A99)&gt;0,"祝",CHOOSE(WEEKDAY(A99,2),"月","火","水","木","金","土","日")),"")</f>
        <v/>
      </c>
      <c r="AA99" s="25" t="str">
        <f aca="false">IF(ISNUMBER(A99),IFERROR(INDEX(集計!$J$3:$J$33,MATCH(A99,集計!$B$3:$B$33,0)),0),"")</f>
        <v/>
      </c>
      <c r="AB99" s="25" t="str">
        <f aca="false">IF(ISNUMBER(A99),IFERROR(INDEX(設定!$F$4:$F$27,MATCH(K99,設定!$E$4:$E$27,0)),""),"")</f>
        <v/>
      </c>
    </row>
    <row r="100" customFormat="false" ht="15" hidden="false" customHeight="false" outlineLevel="0" collapsed="false">
      <c r="Z100" s="25" t="str">
        <f aca="false">IF(ISNUMBER(A100),IF(COUNTIF(祝日!$A:$A,A100)&gt;0,"祝",CHOOSE(WEEKDAY(A100,2),"月","火","水","木","金","土","日")),"")</f>
        <v/>
      </c>
      <c r="AA100" s="25" t="str">
        <f aca="false">IF(ISNUMBER(A100),IFERROR(INDEX(集計!$J$3:$J$33,MATCH(A100,集計!$B$3:$B$33,0)),0),"")</f>
        <v/>
      </c>
      <c r="AB100" s="25" t="str">
        <f aca="false">IF(ISNUMBER(A100),IFERROR(INDEX(設定!$F$4:$F$27,MATCH(K100,設定!$E$4:$E$27,0)),""),"")</f>
        <v/>
      </c>
    </row>
    <row r="101" customFormat="false" ht="15" hidden="false" customHeight="false" outlineLevel="0" collapsed="false">
      <c r="Z101" s="25" t="str">
        <f aca="false">IF(ISNUMBER(A101),IF(COUNTIF(祝日!$A:$A,A101)&gt;0,"祝",CHOOSE(WEEKDAY(A101,2),"月","火","水","木","金","土","日")),"")</f>
        <v/>
      </c>
      <c r="AA101" s="25" t="str">
        <f aca="false">IF(ISNUMBER(A101),IFERROR(INDEX(集計!$J$3:$J$33,MATCH(A101,集計!$B$3:$B$33,0)),0),"")</f>
        <v/>
      </c>
      <c r="AB101" s="25" t="str">
        <f aca="false">IF(ISNUMBER(A101),IFERROR(INDEX(設定!$F$4:$F$27,MATCH(K101,設定!$E$4:$E$27,0)),""),"")</f>
        <v/>
      </c>
    </row>
    <row r="102" customFormat="false" ht="15" hidden="false" customHeight="false" outlineLevel="0" collapsed="false">
      <c r="Z102" s="25" t="str">
        <f aca="false">IF(ISNUMBER(A102),IF(COUNTIF(祝日!$A:$A,A102)&gt;0,"祝",CHOOSE(WEEKDAY(A102,2),"月","火","水","木","金","土","日")),"")</f>
        <v/>
      </c>
      <c r="AA102" s="25" t="str">
        <f aca="false">IF(ISNUMBER(A102),IFERROR(INDEX(集計!$J$3:$J$33,MATCH(A102,集計!$B$3:$B$33,0)),0),"")</f>
        <v/>
      </c>
      <c r="AB102" s="25" t="str">
        <f aca="false">IF(ISNUMBER(A102),IFERROR(INDEX(設定!$F$4:$F$27,MATCH(K102,設定!$E$4:$E$27,0)),""),"")</f>
        <v/>
      </c>
    </row>
    <row r="103" customFormat="false" ht="15" hidden="false" customHeight="false" outlineLevel="0" collapsed="false">
      <c r="Z103" s="25" t="str">
        <f aca="false">IF(ISNUMBER(A103),IF(COUNTIF(祝日!$A:$A,A103)&gt;0,"祝",CHOOSE(WEEKDAY(A103,2),"月","火","水","木","金","土","日")),"")</f>
        <v/>
      </c>
      <c r="AA103" s="25" t="str">
        <f aca="false">IF(ISNUMBER(A103),IFERROR(INDEX(集計!$J$3:$J$33,MATCH(A103,集計!$B$3:$B$33,0)),0),"")</f>
        <v/>
      </c>
      <c r="AB103" s="25" t="str">
        <f aca="false">IF(ISNUMBER(A103),IFERROR(INDEX(設定!$F$4:$F$27,MATCH(K103,設定!$E$4:$E$27,0)),""),"")</f>
        <v/>
      </c>
    </row>
    <row r="104" customFormat="false" ht="15" hidden="false" customHeight="false" outlineLevel="0" collapsed="false">
      <c r="Z104" s="25" t="str">
        <f aca="false">IF(ISNUMBER(A104),IF(COUNTIF(祝日!$A:$A,A104)&gt;0,"祝",CHOOSE(WEEKDAY(A104,2),"月","火","水","木","金","土","日")),"")</f>
        <v/>
      </c>
      <c r="AA104" s="25" t="str">
        <f aca="false">IF(ISNUMBER(A104),IFERROR(INDEX(集計!$J$3:$J$33,MATCH(A104,集計!$B$3:$B$33,0)),0),"")</f>
        <v/>
      </c>
      <c r="AB104" s="25" t="str">
        <f aca="false">IF(ISNUMBER(A104),IFERROR(INDEX(設定!$F$4:$F$27,MATCH(K104,設定!$E$4:$E$27,0)),""),"")</f>
        <v/>
      </c>
    </row>
    <row r="105" customFormat="false" ht="15" hidden="false" customHeight="false" outlineLevel="0" collapsed="false">
      <c r="Z105" s="25" t="str">
        <f aca="false">IF(ISNUMBER(A105),IF(COUNTIF(祝日!$A:$A,A105)&gt;0,"祝",CHOOSE(WEEKDAY(A105,2),"月","火","水","木","金","土","日")),"")</f>
        <v/>
      </c>
      <c r="AA105" s="25" t="str">
        <f aca="false">IF(ISNUMBER(A105),IFERROR(INDEX(集計!$J$3:$J$33,MATCH(A105,集計!$B$3:$B$33,0)),0),"")</f>
        <v/>
      </c>
      <c r="AB105" s="25" t="str">
        <f aca="false">IF(ISNUMBER(A105),IFERROR(INDEX(設定!$F$4:$F$27,MATCH(K105,設定!$E$4:$E$27,0)),""),"")</f>
        <v/>
      </c>
    </row>
    <row r="106" customFormat="false" ht="15" hidden="false" customHeight="false" outlineLevel="0" collapsed="false">
      <c r="Z106" s="25" t="str">
        <f aca="false">IF(ISNUMBER(A106),IF(COUNTIF(祝日!$A:$A,A106)&gt;0,"祝",CHOOSE(WEEKDAY(A106,2),"月","火","水","木","金","土","日")),"")</f>
        <v/>
      </c>
      <c r="AA106" s="25" t="str">
        <f aca="false">IF(ISNUMBER(A106),IFERROR(INDEX(集計!$J$3:$J$33,MATCH(A106,集計!$B$3:$B$33,0)),0),"")</f>
        <v/>
      </c>
      <c r="AB106" s="25" t="str">
        <f aca="false">IF(ISNUMBER(A106),IFERROR(INDEX(設定!$F$4:$F$27,MATCH(K106,設定!$E$4:$E$27,0)),""),"")</f>
        <v/>
      </c>
    </row>
    <row r="107" customFormat="false" ht="15" hidden="false" customHeight="false" outlineLevel="0" collapsed="false">
      <c r="Z107" s="25" t="str">
        <f aca="false">IF(ISNUMBER(A107),IF(COUNTIF(祝日!$A:$A,A107)&gt;0,"祝",CHOOSE(WEEKDAY(A107,2),"月","火","水","木","金","土","日")),"")</f>
        <v/>
      </c>
      <c r="AA107" s="25" t="str">
        <f aca="false">IF(ISNUMBER(A107),IFERROR(INDEX(集計!$J$3:$J$33,MATCH(A107,集計!$B$3:$B$33,0)),0),"")</f>
        <v/>
      </c>
      <c r="AB107" s="25" t="str">
        <f aca="false">IF(ISNUMBER(A107),IFERROR(INDEX(設定!$F$4:$F$27,MATCH(K107,設定!$E$4:$E$27,0)),""),"")</f>
        <v/>
      </c>
    </row>
    <row r="108" customFormat="false" ht="15" hidden="false" customHeight="false" outlineLevel="0" collapsed="false">
      <c r="Z108" s="25" t="str">
        <f aca="false">IF(ISNUMBER(A108),IF(COUNTIF(祝日!$A:$A,A108)&gt;0,"祝",CHOOSE(WEEKDAY(A108,2),"月","火","水","木","金","土","日")),"")</f>
        <v/>
      </c>
      <c r="AA108" s="25" t="str">
        <f aca="false">IF(ISNUMBER(A108),IFERROR(INDEX(集計!$J$3:$J$33,MATCH(A108,集計!$B$3:$B$33,0)),0),"")</f>
        <v/>
      </c>
      <c r="AB108" s="25" t="str">
        <f aca="false">IF(ISNUMBER(A108),IFERROR(INDEX(設定!$F$4:$F$27,MATCH(K108,設定!$E$4:$E$27,0)),""),"")</f>
        <v/>
      </c>
    </row>
    <row r="109" customFormat="false" ht="15" hidden="false" customHeight="false" outlineLevel="0" collapsed="false">
      <c r="Z109" s="25" t="str">
        <f aca="false">IF(ISNUMBER(A109),IF(COUNTIF(祝日!$A:$A,A109)&gt;0,"祝",CHOOSE(WEEKDAY(A109,2),"月","火","水","木","金","土","日")),"")</f>
        <v/>
      </c>
      <c r="AA109" s="25" t="str">
        <f aca="false">IF(ISNUMBER(A109),IFERROR(INDEX(集計!$J$3:$J$33,MATCH(A109,集計!$B$3:$B$33,0)),0),"")</f>
        <v/>
      </c>
      <c r="AB109" s="25" t="str">
        <f aca="false">IF(ISNUMBER(A109),IFERROR(INDEX(設定!$F$4:$F$27,MATCH(K109,設定!$E$4:$E$27,0)),""),"")</f>
        <v/>
      </c>
    </row>
    <row r="110" customFormat="false" ht="15" hidden="false" customHeight="false" outlineLevel="0" collapsed="false">
      <c r="Z110" s="25" t="str">
        <f aca="false">IF(ISNUMBER(A110),IF(COUNTIF(祝日!$A:$A,A110)&gt;0,"祝",CHOOSE(WEEKDAY(A110,2),"月","火","水","木","金","土","日")),"")</f>
        <v/>
      </c>
      <c r="AA110" s="25" t="str">
        <f aca="false">IF(ISNUMBER(A110),IFERROR(INDEX(集計!$J$3:$J$33,MATCH(A110,集計!$B$3:$B$33,0)),0),"")</f>
        <v/>
      </c>
      <c r="AB110" s="25" t="str">
        <f aca="false">IF(ISNUMBER(A110),IFERROR(INDEX(設定!$F$4:$F$27,MATCH(K110,設定!$E$4:$E$27,0)),""),"")</f>
        <v/>
      </c>
    </row>
    <row r="111" customFormat="false" ht="15" hidden="false" customHeight="false" outlineLevel="0" collapsed="false">
      <c r="Z111" s="25" t="str">
        <f aca="false">IF(ISNUMBER(A111),IF(COUNTIF(祝日!$A:$A,A111)&gt;0,"祝",CHOOSE(WEEKDAY(A111,2),"月","火","水","木","金","土","日")),"")</f>
        <v/>
      </c>
      <c r="AA111" s="25" t="str">
        <f aca="false">IF(ISNUMBER(A111),IFERROR(INDEX(集計!$J$3:$J$33,MATCH(A111,集計!$B$3:$B$33,0)),0),"")</f>
        <v/>
      </c>
      <c r="AB111" s="25" t="str">
        <f aca="false">IF(ISNUMBER(A111),IFERROR(INDEX(設定!$F$4:$F$27,MATCH(K111,設定!$E$4:$E$27,0)),""),"")</f>
        <v/>
      </c>
    </row>
    <row r="112" customFormat="false" ht="15" hidden="false" customHeight="false" outlineLevel="0" collapsed="false">
      <c r="Z112" s="25" t="str">
        <f aca="false">IF(ISNUMBER(A112),IF(COUNTIF(祝日!$A:$A,A112)&gt;0,"祝",CHOOSE(WEEKDAY(A112,2),"月","火","水","木","金","土","日")),"")</f>
        <v/>
      </c>
      <c r="AA112" s="25" t="str">
        <f aca="false">IF(ISNUMBER(A112),IFERROR(INDEX(集計!$J$3:$J$33,MATCH(A112,集計!$B$3:$B$33,0)),0),"")</f>
        <v/>
      </c>
      <c r="AB112" s="25" t="str">
        <f aca="false">IF(ISNUMBER(A112),IFERROR(INDEX(設定!$F$4:$F$27,MATCH(K112,設定!$E$4:$E$27,0)),""),"")</f>
        <v/>
      </c>
    </row>
    <row r="113" customFormat="false" ht="15" hidden="false" customHeight="false" outlineLevel="0" collapsed="false">
      <c r="Z113" s="25" t="str">
        <f aca="false">IF(ISNUMBER(A113),IF(COUNTIF(祝日!$A:$A,A113)&gt;0,"祝",CHOOSE(WEEKDAY(A113,2),"月","火","水","木","金","土","日")),"")</f>
        <v/>
      </c>
      <c r="AA113" s="25" t="str">
        <f aca="false">IF(ISNUMBER(A113),IFERROR(INDEX(集計!$J$3:$J$33,MATCH(A113,集計!$B$3:$B$33,0)),0),"")</f>
        <v/>
      </c>
      <c r="AB113" s="25" t="str">
        <f aca="false">IF(ISNUMBER(A113),IFERROR(INDEX(設定!$F$4:$F$27,MATCH(K113,設定!$E$4:$E$27,0)),""),"")</f>
        <v/>
      </c>
    </row>
    <row r="114" customFormat="false" ht="15" hidden="false" customHeight="false" outlineLevel="0" collapsed="false">
      <c r="Z114" s="25" t="str">
        <f aca="false">IF(ISNUMBER(A114),IF(COUNTIF(祝日!$A:$A,A114)&gt;0,"祝",CHOOSE(WEEKDAY(A114,2),"月","火","水","木","金","土","日")),"")</f>
        <v/>
      </c>
      <c r="AA114" s="25" t="str">
        <f aca="false">IF(ISNUMBER(A114),IFERROR(INDEX(集計!$J$3:$J$33,MATCH(A114,集計!$B$3:$B$33,0)),0),"")</f>
        <v/>
      </c>
      <c r="AB114" s="25" t="str">
        <f aca="false">IF(ISNUMBER(A114),IFERROR(INDEX(設定!$F$4:$F$27,MATCH(K114,設定!$E$4:$E$27,0)),""),"")</f>
        <v/>
      </c>
    </row>
    <row r="115" customFormat="false" ht="15" hidden="false" customHeight="false" outlineLevel="0" collapsed="false">
      <c r="Z115" s="25" t="str">
        <f aca="false">IF(ISNUMBER(A115),IF(COUNTIF(祝日!$A:$A,A115)&gt;0,"祝",CHOOSE(WEEKDAY(A115,2),"月","火","水","木","金","土","日")),"")</f>
        <v/>
      </c>
      <c r="AA115" s="25" t="str">
        <f aca="false">IF(ISNUMBER(A115),IFERROR(INDEX(集計!$J$3:$J$33,MATCH(A115,集計!$B$3:$B$33,0)),0),"")</f>
        <v/>
      </c>
      <c r="AB115" s="25" t="str">
        <f aca="false">IF(ISNUMBER(A115),IFERROR(INDEX(設定!$F$4:$F$27,MATCH(K115,設定!$E$4:$E$27,0)),""),"")</f>
        <v/>
      </c>
    </row>
    <row r="116" customFormat="false" ht="15" hidden="false" customHeight="false" outlineLevel="0" collapsed="false">
      <c r="Z116" s="25" t="str">
        <f aca="false">IF(ISNUMBER(A116),IF(COUNTIF(祝日!$A:$A,A116)&gt;0,"祝",CHOOSE(WEEKDAY(A116,2),"月","火","水","木","金","土","日")),"")</f>
        <v/>
      </c>
      <c r="AA116" s="25" t="str">
        <f aca="false">IF(ISNUMBER(A116),IFERROR(INDEX(集計!$J$3:$J$33,MATCH(A116,集計!$B$3:$B$33,0)),0),"")</f>
        <v/>
      </c>
      <c r="AB116" s="25" t="str">
        <f aca="false">IF(ISNUMBER(A116),IFERROR(INDEX(設定!$F$4:$F$27,MATCH(K116,設定!$E$4:$E$27,0)),""),"")</f>
        <v/>
      </c>
    </row>
    <row r="117" customFormat="false" ht="15" hidden="false" customHeight="false" outlineLevel="0" collapsed="false">
      <c r="Z117" s="25" t="str">
        <f aca="false">IF(ISNUMBER(A117),IF(COUNTIF(祝日!$A:$A,A117)&gt;0,"祝",CHOOSE(WEEKDAY(A117,2),"月","火","水","木","金","土","日")),"")</f>
        <v/>
      </c>
      <c r="AA117" s="25" t="str">
        <f aca="false">IF(ISNUMBER(A117),IFERROR(INDEX(集計!$J$3:$J$33,MATCH(A117,集計!$B$3:$B$33,0)),0),"")</f>
        <v/>
      </c>
      <c r="AB117" s="25" t="str">
        <f aca="false">IF(ISNUMBER(A117),IFERROR(INDEX(設定!$F$4:$F$27,MATCH(K117,設定!$E$4:$E$27,0)),""),"")</f>
        <v/>
      </c>
    </row>
    <row r="118" customFormat="false" ht="15" hidden="false" customHeight="false" outlineLevel="0" collapsed="false">
      <c r="Z118" s="25" t="str">
        <f aca="false">IF(ISNUMBER(A118),IF(COUNTIF(祝日!$A:$A,A118)&gt;0,"祝",CHOOSE(WEEKDAY(A118,2),"月","火","水","木","金","土","日")),"")</f>
        <v/>
      </c>
      <c r="AA118" s="25" t="str">
        <f aca="false">IF(ISNUMBER(A118),IFERROR(INDEX(集計!$J$3:$J$33,MATCH(A118,集計!$B$3:$B$33,0)),0),"")</f>
        <v/>
      </c>
      <c r="AB118" s="25" t="str">
        <f aca="false">IF(ISNUMBER(A118),IFERROR(INDEX(設定!$F$4:$F$27,MATCH(K118,設定!$E$4:$E$27,0)),""),"")</f>
        <v/>
      </c>
    </row>
    <row r="119" customFormat="false" ht="15" hidden="false" customHeight="false" outlineLevel="0" collapsed="false">
      <c r="Z119" s="25" t="str">
        <f aca="false">IF(ISNUMBER(A119),IF(COUNTIF(祝日!$A:$A,A119)&gt;0,"祝",CHOOSE(WEEKDAY(A119,2),"月","火","水","木","金","土","日")),"")</f>
        <v/>
      </c>
      <c r="AA119" s="25" t="str">
        <f aca="false">IF(ISNUMBER(A119),IFERROR(INDEX(集計!$J$3:$J$33,MATCH(A119,集計!$B$3:$B$33,0)),0),"")</f>
        <v/>
      </c>
      <c r="AB119" s="25" t="str">
        <f aca="false">IF(ISNUMBER(A119),IFERROR(INDEX(設定!$F$4:$F$27,MATCH(K119,設定!$E$4:$E$27,0)),""),"")</f>
        <v/>
      </c>
    </row>
    <row r="120" customFormat="false" ht="15" hidden="false" customHeight="false" outlineLevel="0" collapsed="false">
      <c r="Z120" s="25" t="str">
        <f aca="false">IF(ISNUMBER(A120),IF(COUNTIF(祝日!$A:$A,A120)&gt;0,"祝",CHOOSE(WEEKDAY(A120,2),"月","火","水","木","金","土","日")),"")</f>
        <v/>
      </c>
      <c r="AA120" s="25" t="str">
        <f aca="false">IF(ISNUMBER(A120),IFERROR(INDEX(集計!$J$3:$J$33,MATCH(A120,集計!$B$3:$B$33,0)),0),"")</f>
        <v/>
      </c>
      <c r="AB120" s="25" t="str">
        <f aca="false">IF(ISNUMBER(A120),IFERROR(INDEX(設定!$F$4:$F$27,MATCH(K120,設定!$E$4:$E$27,0)),""),"")</f>
        <v/>
      </c>
    </row>
    <row r="121" customFormat="false" ht="15" hidden="false" customHeight="false" outlineLevel="0" collapsed="false">
      <c r="Z121" s="25" t="str">
        <f aca="false">IF(ISNUMBER(A121),IF(COUNTIF(祝日!$A:$A,A121)&gt;0,"祝",CHOOSE(WEEKDAY(A121,2),"月","火","水","木","金","土","日")),"")</f>
        <v/>
      </c>
      <c r="AA121" s="25" t="str">
        <f aca="false">IF(ISNUMBER(A121),IFERROR(INDEX(集計!$J$3:$J$33,MATCH(A121,集計!$B$3:$B$33,0)),0),"")</f>
        <v/>
      </c>
      <c r="AB121" s="25" t="str">
        <f aca="false">IF(ISNUMBER(A121),IFERROR(INDEX(設定!$F$4:$F$27,MATCH(K121,設定!$E$4:$E$27,0)),""),"")</f>
        <v/>
      </c>
    </row>
    <row r="122" customFormat="false" ht="15" hidden="false" customHeight="false" outlineLevel="0" collapsed="false">
      <c r="Z122" s="25" t="str">
        <f aca="false">IF(ISNUMBER(A122),IF(COUNTIF(祝日!$A:$A,A122)&gt;0,"祝",CHOOSE(WEEKDAY(A122,2),"月","火","水","木","金","土","日")),"")</f>
        <v/>
      </c>
      <c r="AA122" s="25" t="str">
        <f aca="false">IF(ISNUMBER(A122),IFERROR(INDEX(集計!$J$3:$J$33,MATCH(A122,集計!$B$3:$B$33,0)),0),"")</f>
        <v/>
      </c>
      <c r="AB122" s="25" t="str">
        <f aca="false">IF(ISNUMBER(A122),IFERROR(INDEX(設定!$F$4:$F$27,MATCH(K122,設定!$E$4:$E$27,0)),""),"")</f>
        <v/>
      </c>
    </row>
    <row r="123" customFormat="false" ht="15" hidden="false" customHeight="false" outlineLevel="0" collapsed="false">
      <c r="Z123" s="25" t="str">
        <f aca="false">IF(ISNUMBER(A123),IF(COUNTIF(祝日!$A:$A,A123)&gt;0,"祝",CHOOSE(WEEKDAY(A123,2),"月","火","水","木","金","土","日")),"")</f>
        <v/>
      </c>
      <c r="AA123" s="25" t="str">
        <f aca="false">IF(ISNUMBER(A123),IFERROR(INDEX(集計!$J$3:$J$33,MATCH(A123,集計!$B$3:$B$33,0)),0),"")</f>
        <v/>
      </c>
      <c r="AB123" s="25" t="str">
        <f aca="false">IF(ISNUMBER(A123),IFERROR(INDEX(設定!$F$4:$F$27,MATCH(K123,設定!$E$4:$E$27,0)),""),"")</f>
        <v/>
      </c>
    </row>
    <row r="124" customFormat="false" ht="15" hidden="false" customHeight="false" outlineLevel="0" collapsed="false">
      <c r="Z124" s="25" t="str">
        <f aca="false">IF(ISNUMBER(A124),IF(COUNTIF(祝日!$A:$A,A124)&gt;0,"祝",CHOOSE(WEEKDAY(A124,2),"月","火","水","木","金","土","日")),"")</f>
        <v/>
      </c>
      <c r="AA124" s="25" t="str">
        <f aca="false">IF(ISNUMBER(A124),IFERROR(INDEX(集計!$J$3:$J$33,MATCH(A124,集計!$B$3:$B$33,0)),0),"")</f>
        <v/>
      </c>
      <c r="AB124" s="25" t="str">
        <f aca="false">IF(ISNUMBER(A124),IFERROR(INDEX(設定!$F$4:$F$27,MATCH(K124,設定!$E$4:$E$27,0)),""),"")</f>
        <v/>
      </c>
    </row>
    <row r="125" customFormat="false" ht="15" hidden="false" customHeight="false" outlineLevel="0" collapsed="false">
      <c r="Z125" s="25" t="str">
        <f aca="false">IF(ISNUMBER(A125),IF(COUNTIF(祝日!$A:$A,A125)&gt;0,"祝",CHOOSE(WEEKDAY(A125,2),"月","火","水","木","金","土","日")),"")</f>
        <v/>
      </c>
      <c r="AA125" s="25" t="str">
        <f aca="false">IF(ISNUMBER(A125),IFERROR(INDEX(集計!$J$3:$J$33,MATCH(A125,集計!$B$3:$B$33,0)),0),"")</f>
        <v/>
      </c>
      <c r="AB125" s="25" t="str">
        <f aca="false">IF(ISNUMBER(A125),IFERROR(INDEX(設定!$F$4:$F$27,MATCH(K125,設定!$E$4:$E$27,0)),""),"")</f>
        <v/>
      </c>
    </row>
    <row r="126" customFormat="false" ht="15" hidden="false" customHeight="false" outlineLevel="0" collapsed="false">
      <c r="Z126" s="25" t="str">
        <f aca="false">IF(ISNUMBER(A126),IF(COUNTIF(祝日!$A:$A,A126)&gt;0,"祝",CHOOSE(WEEKDAY(A126,2),"月","火","水","木","金","土","日")),"")</f>
        <v/>
      </c>
      <c r="AA126" s="25" t="str">
        <f aca="false">IF(ISNUMBER(A126),IFERROR(INDEX(集計!$J$3:$J$33,MATCH(A126,集計!$B$3:$B$33,0)),0),"")</f>
        <v/>
      </c>
      <c r="AB126" s="25" t="str">
        <f aca="false">IF(ISNUMBER(A126),IFERROR(INDEX(設定!$F$4:$F$27,MATCH(K126,設定!$E$4:$E$27,0)),""),"")</f>
        <v/>
      </c>
    </row>
    <row r="127" customFormat="false" ht="15" hidden="false" customHeight="false" outlineLevel="0" collapsed="false">
      <c r="Z127" s="25" t="str">
        <f aca="false">IF(ISNUMBER(A127),IF(COUNTIF(祝日!$A:$A,A127)&gt;0,"祝",CHOOSE(WEEKDAY(A127,2),"月","火","水","木","金","土","日")),"")</f>
        <v/>
      </c>
      <c r="AA127" s="25" t="str">
        <f aca="false">IF(ISNUMBER(A127),IFERROR(INDEX(集計!$J$3:$J$33,MATCH(A127,集計!$B$3:$B$33,0)),0),"")</f>
        <v/>
      </c>
      <c r="AB127" s="25" t="str">
        <f aca="false">IF(ISNUMBER(A127),IFERROR(INDEX(設定!$F$4:$F$27,MATCH(K127,設定!$E$4:$E$27,0)),""),"")</f>
        <v/>
      </c>
    </row>
    <row r="128" customFormat="false" ht="15" hidden="false" customHeight="false" outlineLevel="0" collapsed="false">
      <c r="Z128" s="25" t="str">
        <f aca="false">IF(ISNUMBER(A128),IF(COUNTIF(祝日!$A:$A,A128)&gt;0,"祝",CHOOSE(WEEKDAY(A128,2),"月","火","水","木","金","土","日")),"")</f>
        <v/>
      </c>
      <c r="AA128" s="25" t="str">
        <f aca="false">IF(ISNUMBER(A128),IFERROR(INDEX(集計!$J$3:$J$33,MATCH(A128,集計!$B$3:$B$33,0)),0),"")</f>
        <v/>
      </c>
      <c r="AB128" s="25" t="str">
        <f aca="false">IF(ISNUMBER(A128),IFERROR(INDEX(設定!$F$4:$F$27,MATCH(K128,設定!$E$4:$E$27,0)),""),"")</f>
        <v/>
      </c>
    </row>
    <row r="129" customFormat="false" ht="15" hidden="false" customHeight="false" outlineLevel="0" collapsed="false">
      <c r="Z129" s="25" t="str">
        <f aca="false">IF(ISNUMBER(A129),IF(COUNTIF(祝日!$A:$A,A129)&gt;0,"祝",CHOOSE(WEEKDAY(A129,2),"月","火","水","木","金","土","日")),"")</f>
        <v/>
      </c>
      <c r="AA129" s="25" t="str">
        <f aca="false">IF(ISNUMBER(A129),IFERROR(INDEX(集計!$J$3:$J$33,MATCH(A129,集計!$B$3:$B$33,0)),0),"")</f>
        <v/>
      </c>
      <c r="AB129" s="25" t="str">
        <f aca="false">IF(ISNUMBER(A129),IFERROR(INDEX(設定!$F$4:$F$27,MATCH(K129,設定!$E$4:$E$27,0)),""),"")</f>
        <v/>
      </c>
    </row>
    <row r="130" customFormat="false" ht="15" hidden="false" customHeight="false" outlineLevel="0" collapsed="false">
      <c r="Z130" s="25" t="str">
        <f aca="false">IF(ISNUMBER(A130),IF(COUNTIF(祝日!$A:$A,A130)&gt;0,"祝",CHOOSE(WEEKDAY(A130,2),"月","火","水","木","金","土","日")),"")</f>
        <v/>
      </c>
      <c r="AA130" s="25" t="str">
        <f aca="false">IF(ISNUMBER(A130),IFERROR(INDEX(集計!$J$3:$J$33,MATCH(A130,集計!$B$3:$B$33,0)),0),"")</f>
        <v/>
      </c>
      <c r="AB130" s="25" t="str">
        <f aca="false">IF(ISNUMBER(A130),IFERROR(INDEX(設定!$F$4:$F$27,MATCH(K130,設定!$E$4:$E$27,0)),""),"")</f>
        <v/>
      </c>
    </row>
    <row r="131" customFormat="false" ht="15" hidden="false" customHeight="false" outlineLevel="0" collapsed="false">
      <c r="Z131" s="25" t="str">
        <f aca="false">IF(ISNUMBER(A131),IF(COUNTIF(祝日!$A:$A,A131)&gt;0,"祝",CHOOSE(WEEKDAY(A131,2),"月","火","水","木","金","土","日")),"")</f>
        <v/>
      </c>
      <c r="AA131" s="25" t="str">
        <f aca="false">IF(ISNUMBER(A131),IFERROR(INDEX(集計!$J$3:$J$33,MATCH(A131,集計!$B$3:$B$33,0)),0),"")</f>
        <v/>
      </c>
      <c r="AB131" s="25" t="str">
        <f aca="false">IF(ISNUMBER(A131),IFERROR(INDEX(設定!$F$4:$F$27,MATCH(K131,設定!$E$4:$E$27,0)),""),"")</f>
        <v/>
      </c>
    </row>
    <row r="132" customFormat="false" ht="15" hidden="false" customHeight="false" outlineLevel="0" collapsed="false">
      <c r="Z132" s="25" t="str">
        <f aca="false">IF(ISNUMBER(A132),IF(COUNTIF(祝日!$A:$A,A132)&gt;0,"祝",CHOOSE(WEEKDAY(A132,2),"月","火","水","木","金","土","日")),"")</f>
        <v/>
      </c>
      <c r="AA132" s="25" t="str">
        <f aca="false">IF(ISNUMBER(A132),IFERROR(INDEX(集計!$J$3:$J$33,MATCH(A132,集計!$B$3:$B$33,0)),0),"")</f>
        <v/>
      </c>
      <c r="AB132" s="25" t="str">
        <f aca="false">IF(ISNUMBER(A132),IFERROR(INDEX(設定!$F$4:$F$27,MATCH(K132,設定!$E$4:$E$27,0)),""),"")</f>
        <v/>
      </c>
    </row>
    <row r="133" customFormat="false" ht="15" hidden="false" customHeight="false" outlineLevel="0" collapsed="false">
      <c r="Z133" s="25" t="str">
        <f aca="false">IF(ISNUMBER(A133),IF(COUNTIF(祝日!$A:$A,A133)&gt;0,"祝",CHOOSE(WEEKDAY(A133,2),"月","火","水","木","金","土","日")),"")</f>
        <v/>
      </c>
      <c r="AA133" s="25" t="str">
        <f aca="false">IF(ISNUMBER(A133),IFERROR(INDEX(集計!$J$3:$J$33,MATCH(A133,集計!$B$3:$B$33,0)),0),"")</f>
        <v/>
      </c>
      <c r="AB133" s="25" t="str">
        <f aca="false">IF(ISNUMBER(A133),IFERROR(INDEX(設定!$F$4:$F$27,MATCH(K133,設定!$E$4:$E$27,0)),""),"")</f>
        <v/>
      </c>
    </row>
    <row r="134" customFormat="false" ht="15" hidden="false" customHeight="false" outlineLevel="0" collapsed="false">
      <c r="Z134" s="25" t="str">
        <f aca="false">IF(ISNUMBER(A134),IF(COUNTIF(祝日!$A:$A,A134)&gt;0,"祝",CHOOSE(WEEKDAY(A134,2),"月","火","水","木","金","土","日")),"")</f>
        <v/>
      </c>
      <c r="AA134" s="25" t="str">
        <f aca="false">IF(ISNUMBER(A134),IFERROR(INDEX(集計!$J$3:$J$33,MATCH(A134,集計!$B$3:$B$33,0)),0),"")</f>
        <v/>
      </c>
      <c r="AB134" s="25" t="str">
        <f aca="false">IF(ISNUMBER(A134),IFERROR(INDEX(設定!$F$4:$F$27,MATCH(K134,設定!$E$4:$E$27,0)),""),"")</f>
        <v/>
      </c>
    </row>
    <row r="135" customFormat="false" ht="15" hidden="false" customHeight="false" outlineLevel="0" collapsed="false">
      <c r="Z135" s="25" t="str">
        <f aca="false">IF(ISNUMBER(A135),IF(COUNTIF(祝日!$A:$A,A135)&gt;0,"祝",CHOOSE(WEEKDAY(A135,2),"月","火","水","木","金","土","日")),"")</f>
        <v/>
      </c>
      <c r="AA135" s="25" t="str">
        <f aca="false">IF(ISNUMBER(A135),IFERROR(INDEX(集計!$J$3:$J$33,MATCH(A135,集計!$B$3:$B$33,0)),0),"")</f>
        <v/>
      </c>
      <c r="AB135" s="25" t="str">
        <f aca="false">IF(ISNUMBER(A135),IFERROR(INDEX(設定!$F$4:$F$27,MATCH(K135,設定!$E$4:$E$27,0)),""),"")</f>
        <v/>
      </c>
    </row>
    <row r="136" customFormat="false" ht="15" hidden="false" customHeight="false" outlineLevel="0" collapsed="false">
      <c r="Z136" s="25" t="str">
        <f aca="false">IF(ISNUMBER(A136),IF(COUNTIF(祝日!$A:$A,A136)&gt;0,"祝",CHOOSE(WEEKDAY(A136,2),"月","火","水","木","金","土","日")),"")</f>
        <v/>
      </c>
      <c r="AA136" s="25" t="str">
        <f aca="false">IF(ISNUMBER(A136),IFERROR(INDEX(集計!$J$3:$J$33,MATCH(A136,集計!$B$3:$B$33,0)),0),"")</f>
        <v/>
      </c>
      <c r="AB136" s="25" t="str">
        <f aca="false">IF(ISNUMBER(A136),IFERROR(INDEX(設定!$F$4:$F$27,MATCH(K136,設定!$E$4:$E$27,0)),""),"")</f>
        <v/>
      </c>
    </row>
    <row r="137" customFormat="false" ht="15" hidden="false" customHeight="false" outlineLevel="0" collapsed="false">
      <c r="Z137" s="25" t="str">
        <f aca="false">IF(ISNUMBER(A137),IF(COUNTIF(祝日!$A:$A,A137)&gt;0,"祝",CHOOSE(WEEKDAY(A137,2),"月","火","水","木","金","土","日")),"")</f>
        <v/>
      </c>
      <c r="AA137" s="25" t="str">
        <f aca="false">IF(ISNUMBER(A137),IFERROR(INDEX(集計!$J$3:$J$33,MATCH(A137,集計!$B$3:$B$33,0)),0),"")</f>
        <v/>
      </c>
      <c r="AB137" s="25" t="str">
        <f aca="false">IF(ISNUMBER(A137),IFERROR(INDEX(設定!$F$4:$F$27,MATCH(K137,設定!$E$4:$E$27,0)),""),"")</f>
        <v/>
      </c>
    </row>
    <row r="138" customFormat="false" ht="15" hidden="false" customHeight="false" outlineLevel="0" collapsed="false">
      <c r="Z138" s="25" t="str">
        <f aca="false">IF(ISNUMBER(A138),IF(COUNTIF(祝日!$A:$A,A138)&gt;0,"祝",CHOOSE(WEEKDAY(A138,2),"月","火","水","木","金","土","日")),"")</f>
        <v/>
      </c>
      <c r="AA138" s="25" t="str">
        <f aca="false">IF(ISNUMBER(A138),IFERROR(INDEX(集計!$J$3:$J$33,MATCH(A138,集計!$B$3:$B$33,0)),0),"")</f>
        <v/>
      </c>
      <c r="AB138" s="25" t="str">
        <f aca="false">IF(ISNUMBER(A138),IFERROR(INDEX(設定!$F$4:$F$27,MATCH(K138,設定!$E$4:$E$27,0)),""),"")</f>
        <v/>
      </c>
    </row>
    <row r="139" customFormat="false" ht="15" hidden="false" customHeight="false" outlineLevel="0" collapsed="false">
      <c r="Z139" s="25" t="str">
        <f aca="false">IF(ISNUMBER(A139),IF(COUNTIF(祝日!$A:$A,A139)&gt;0,"祝",CHOOSE(WEEKDAY(A139,2),"月","火","水","木","金","土","日")),"")</f>
        <v/>
      </c>
      <c r="AA139" s="25" t="str">
        <f aca="false">IF(ISNUMBER(A139),IFERROR(INDEX(集計!$J$3:$J$33,MATCH(A139,集計!$B$3:$B$33,0)),0),"")</f>
        <v/>
      </c>
      <c r="AB139" s="25" t="str">
        <f aca="false">IF(ISNUMBER(A139),IFERROR(INDEX(設定!$F$4:$F$27,MATCH(K139,設定!$E$4:$E$27,0)),""),"")</f>
        <v/>
      </c>
    </row>
    <row r="140" customFormat="false" ht="15" hidden="false" customHeight="false" outlineLevel="0" collapsed="false">
      <c r="Z140" s="25" t="str">
        <f aca="false">IF(ISNUMBER(A140),IF(COUNTIF(祝日!$A:$A,A140)&gt;0,"祝",CHOOSE(WEEKDAY(A140,2),"月","火","水","木","金","土","日")),"")</f>
        <v/>
      </c>
      <c r="AA140" s="25" t="str">
        <f aca="false">IF(ISNUMBER(A140),IFERROR(INDEX(集計!$J$3:$J$33,MATCH(A140,集計!$B$3:$B$33,0)),0),"")</f>
        <v/>
      </c>
      <c r="AB140" s="25" t="str">
        <f aca="false">IF(ISNUMBER(A140),IFERROR(INDEX(設定!$F$4:$F$27,MATCH(K140,設定!$E$4:$E$27,0)),""),"")</f>
        <v/>
      </c>
    </row>
    <row r="141" customFormat="false" ht="15" hidden="false" customHeight="false" outlineLevel="0" collapsed="false">
      <c r="Z141" s="25" t="str">
        <f aca="false">IF(ISNUMBER(A141),IF(COUNTIF(祝日!$A:$A,A141)&gt;0,"祝",CHOOSE(WEEKDAY(A141,2),"月","火","水","木","金","土","日")),"")</f>
        <v/>
      </c>
      <c r="AA141" s="25" t="str">
        <f aca="false">IF(ISNUMBER(A141),IFERROR(INDEX(集計!$J$3:$J$33,MATCH(A141,集計!$B$3:$B$33,0)),0),"")</f>
        <v/>
      </c>
      <c r="AB141" s="25" t="str">
        <f aca="false">IF(ISNUMBER(A141),IFERROR(INDEX(設定!$F$4:$F$27,MATCH(K141,設定!$E$4:$E$27,0)),""),"")</f>
        <v/>
      </c>
    </row>
    <row r="142" customFormat="false" ht="15" hidden="false" customHeight="false" outlineLevel="0" collapsed="false">
      <c r="Z142" s="25" t="str">
        <f aca="false">IF(ISNUMBER(A142),IF(COUNTIF(祝日!$A:$A,A142)&gt;0,"祝",CHOOSE(WEEKDAY(A142,2),"月","火","水","木","金","土","日")),"")</f>
        <v/>
      </c>
      <c r="AA142" s="25" t="str">
        <f aca="false">IF(ISNUMBER(A142),IFERROR(INDEX(集計!$J$3:$J$33,MATCH(A142,集計!$B$3:$B$33,0)),0),"")</f>
        <v/>
      </c>
      <c r="AB142" s="25" t="str">
        <f aca="false">IF(ISNUMBER(A142),IFERROR(INDEX(設定!$F$4:$F$27,MATCH(K142,設定!$E$4:$E$27,0)),""),"")</f>
        <v/>
      </c>
    </row>
    <row r="143" customFormat="false" ht="15" hidden="false" customHeight="false" outlineLevel="0" collapsed="false">
      <c r="Z143" s="25" t="str">
        <f aca="false">IF(ISNUMBER(A143),IF(COUNTIF(祝日!$A:$A,A143)&gt;0,"祝",CHOOSE(WEEKDAY(A143,2),"月","火","水","木","金","土","日")),"")</f>
        <v/>
      </c>
      <c r="AA143" s="25" t="str">
        <f aca="false">IF(ISNUMBER(A143),IFERROR(INDEX(集計!$J$3:$J$33,MATCH(A143,集計!$B$3:$B$33,0)),0),"")</f>
        <v/>
      </c>
      <c r="AB143" s="25" t="str">
        <f aca="false">IF(ISNUMBER(A143),IFERROR(INDEX(設定!$F$4:$F$27,MATCH(K143,設定!$E$4:$E$27,0)),""),"")</f>
        <v/>
      </c>
    </row>
    <row r="144" customFormat="false" ht="15" hidden="false" customHeight="false" outlineLevel="0" collapsed="false">
      <c r="Z144" s="25" t="str">
        <f aca="false">IF(ISNUMBER(A144),IF(COUNTIF(祝日!$A:$A,A144)&gt;0,"祝",CHOOSE(WEEKDAY(A144,2),"月","火","水","木","金","土","日")),"")</f>
        <v/>
      </c>
      <c r="AA144" s="25" t="str">
        <f aca="false">IF(ISNUMBER(A144),IFERROR(INDEX(集計!$J$3:$J$33,MATCH(A144,集計!$B$3:$B$33,0)),0),"")</f>
        <v/>
      </c>
      <c r="AB144" s="25" t="str">
        <f aca="false">IF(ISNUMBER(A144),IFERROR(INDEX(設定!$F$4:$F$27,MATCH(K144,設定!$E$4:$E$27,0)),""),"")</f>
        <v/>
      </c>
    </row>
    <row r="145" customFormat="false" ht="15" hidden="false" customHeight="false" outlineLevel="0" collapsed="false">
      <c r="Z145" s="25" t="str">
        <f aca="false">IF(ISNUMBER(A145),IF(COUNTIF(祝日!$A:$A,A145)&gt;0,"祝",CHOOSE(WEEKDAY(A145,2),"月","火","水","木","金","土","日")),"")</f>
        <v/>
      </c>
      <c r="AA145" s="25" t="str">
        <f aca="false">IF(ISNUMBER(A145),IFERROR(INDEX(集計!$J$3:$J$33,MATCH(A145,集計!$B$3:$B$33,0)),0),"")</f>
        <v/>
      </c>
      <c r="AB145" s="25" t="str">
        <f aca="false">IF(ISNUMBER(A145),IFERROR(INDEX(設定!$F$4:$F$27,MATCH(K145,設定!$E$4:$E$27,0)),""),"")</f>
        <v/>
      </c>
    </row>
    <row r="146" customFormat="false" ht="15" hidden="false" customHeight="false" outlineLevel="0" collapsed="false">
      <c r="Z146" s="25" t="str">
        <f aca="false">IF(ISNUMBER(A146),IF(COUNTIF(祝日!$A:$A,A146)&gt;0,"祝",CHOOSE(WEEKDAY(A146,2),"月","火","水","木","金","土","日")),"")</f>
        <v/>
      </c>
      <c r="AA146" s="25" t="str">
        <f aca="false">IF(ISNUMBER(A146),IFERROR(INDEX(集計!$J$3:$J$33,MATCH(A146,集計!$B$3:$B$33,0)),0),"")</f>
        <v/>
      </c>
      <c r="AB146" s="25" t="str">
        <f aca="false">IF(ISNUMBER(A146),IFERROR(INDEX(設定!$F$4:$F$27,MATCH(K146,設定!$E$4:$E$27,0)),""),"")</f>
        <v/>
      </c>
    </row>
    <row r="147" customFormat="false" ht="15" hidden="false" customHeight="false" outlineLevel="0" collapsed="false">
      <c r="Z147" s="25" t="str">
        <f aca="false">IF(ISNUMBER(A147),IF(COUNTIF(祝日!$A:$A,A147)&gt;0,"祝",CHOOSE(WEEKDAY(A147,2),"月","火","水","木","金","土","日")),"")</f>
        <v/>
      </c>
      <c r="AA147" s="25" t="str">
        <f aca="false">IF(ISNUMBER(A147),IFERROR(INDEX(集計!$J$3:$J$33,MATCH(A147,集計!$B$3:$B$33,0)),0),"")</f>
        <v/>
      </c>
      <c r="AB147" s="25" t="str">
        <f aca="false">IF(ISNUMBER(A147),IFERROR(INDEX(設定!$F$4:$F$27,MATCH(K147,設定!$E$4:$E$27,0)),""),"")</f>
        <v/>
      </c>
    </row>
    <row r="148" customFormat="false" ht="15" hidden="false" customHeight="false" outlineLevel="0" collapsed="false">
      <c r="Z148" s="25" t="str">
        <f aca="false">IF(ISNUMBER(A148),IF(COUNTIF(祝日!$A:$A,A148)&gt;0,"祝",CHOOSE(WEEKDAY(A148,2),"月","火","水","木","金","土","日")),"")</f>
        <v/>
      </c>
      <c r="AA148" s="25" t="str">
        <f aca="false">IF(ISNUMBER(A148),IFERROR(INDEX(集計!$J$3:$J$33,MATCH(A148,集計!$B$3:$B$33,0)),0),"")</f>
        <v/>
      </c>
      <c r="AB148" s="25" t="str">
        <f aca="false">IF(ISNUMBER(A148),IFERROR(INDEX(設定!$F$4:$F$27,MATCH(K148,設定!$E$4:$E$27,0)),""),"")</f>
        <v/>
      </c>
    </row>
    <row r="149" customFormat="false" ht="15" hidden="false" customHeight="false" outlineLevel="0" collapsed="false">
      <c r="Z149" s="25" t="str">
        <f aca="false">IF(ISNUMBER(A149),IF(COUNTIF(祝日!$A:$A,A149)&gt;0,"祝",CHOOSE(WEEKDAY(A149,2),"月","火","水","木","金","土","日")),"")</f>
        <v/>
      </c>
      <c r="AA149" s="25" t="str">
        <f aca="false">IF(ISNUMBER(A149),IFERROR(INDEX(集計!$J$3:$J$33,MATCH(A149,集計!$B$3:$B$33,0)),0),"")</f>
        <v/>
      </c>
      <c r="AB149" s="25" t="str">
        <f aca="false">IF(ISNUMBER(A149),IFERROR(INDEX(設定!$F$4:$F$27,MATCH(K149,設定!$E$4:$E$27,0)),""),"")</f>
        <v/>
      </c>
    </row>
    <row r="150" customFormat="false" ht="15" hidden="false" customHeight="false" outlineLevel="0" collapsed="false">
      <c r="Z150" s="25" t="str">
        <f aca="false">IF(ISNUMBER(A150),IF(COUNTIF(祝日!$A:$A,A150)&gt;0,"祝",CHOOSE(WEEKDAY(A150,2),"月","火","水","木","金","土","日")),"")</f>
        <v/>
      </c>
      <c r="AA150" s="25" t="str">
        <f aca="false">IF(ISNUMBER(A150),IFERROR(INDEX(集計!$J$3:$J$33,MATCH(A150,集計!$B$3:$B$33,0)),0),"")</f>
        <v/>
      </c>
      <c r="AB150" s="25" t="str">
        <f aca="false">IF(ISNUMBER(A150),IFERROR(INDEX(設定!$F$4:$F$27,MATCH(K150,設定!$E$4:$E$27,0)),""),"")</f>
        <v/>
      </c>
    </row>
    <row r="151" customFormat="false" ht="15" hidden="false" customHeight="false" outlineLevel="0" collapsed="false">
      <c r="Z151" s="25" t="str">
        <f aca="false">IF(ISNUMBER(A151),IF(COUNTIF(祝日!$A:$A,A151)&gt;0,"祝",CHOOSE(WEEKDAY(A151,2),"月","火","水","木","金","土","日")),"")</f>
        <v/>
      </c>
      <c r="AA151" s="25" t="str">
        <f aca="false">IF(ISNUMBER(A151),IFERROR(INDEX(集計!$J$3:$J$33,MATCH(A151,集計!$B$3:$B$33,0)),0),"")</f>
        <v/>
      </c>
      <c r="AB151" s="25" t="str">
        <f aca="false">IF(ISNUMBER(A151),IFERROR(INDEX(設定!$F$4:$F$27,MATCH(K151,設定!$E$4:$E$27,0)),""),"")</f>
        <v/>
      </c>
    </row>
    <row r="152" customFormat="false" ht="15" hidden="false" customHeight="false" outlineLevel="0" collapsed="false">
      <c r="Z152" s="25" t="str">
        <f aca="false">IF(ISNUMBER(A152),IF(COUNTIF(祝日!$A:$A,A152)&gt;0,"祝",CHOOSE(WEEKDAY(A152,2),"月","火","水","木","金","土","日")),"")</f>
        <v/>
      </c>
      <c r="AA152" s="25" t="str">
        <f aca="false">IF(ISNUMBER(A152),IFERROR(INDEX(集計!$J$3:$J$33,MATCH(A152,集計!$B$3:$B$33,0)),0),"")</f>
        <v/>
      </c>
      <c r="AB152" s="25" t="str">
        <f aca="false">IF(ISNUMBER(A152),IFERROR(INDEX(設定!$F$4:$F$27,MATCH(K152,設定!$E$4:$E$27,0)),""),"")</f>
        <v/>
      </c>
    </row>
    <row r="153" customFormat="false" ht="15" hidden="false" customHeight="false" outlineLevel="0" collapsed="false">
      <c r="Z153" s="25" t="str">
        <f aca="false">IF(ISNUMBER(A153),IF(COUNTIF(祝日!$A:$A,A153)&gt;0,"祝",CHOOSE(WEEKDAY(A153,2),"月","火","水","木","金","土","日")),"")</f>
        <v/>
      </c>
      <c r="AA153" s="25" t="str">
        <f aca="false">IF(ISNUMBER(A153),IFERROR(INDEX(集計!$J$3:$J$33,MATCH(A153,集計!$B$3:$B$33,0)),0),"")</f>
        <v/>
      </c>
      <c r="AB153" s="25" t="str">
        <f aca="false">IF(ISNUMBER(A153),IFERROR(INDEX(設定!$F$4:$F$27,MATCH(K153,設定!$E$4:$E$27,0)),""),"")</f>
        <v/>
      </c>
    </row>
    <row r="154" customFormat="false" ht="15" hidden="false" customHeight="false" outlineLevel="0" collapsed="false">
      <c r="Z154" s="25" t="str">
        <f aca="false">IF(ISNUMBER(A154),IF(COUNTIF(祝日!$A:$A,A154)&gt;0,"祝",CHOOSE(WEEKDAY(A154,2),"月","火","水","木","金","土","日")),"")</f>
        <v/>
      </c>
      <c r="AA154" s="25" t="str">
        <f aca="false">IF(ISNUMBER(A154),IFERROR(INDEX(集計!$J$3:$J$33,MATCH(A154,集計!$B$3:$B$33,0)),0),"")</f>
        <v/>
      </c>
      <c r="AB154" s="25" t="str">
        <f aca="false">IF(ISNUMBER(A154),IFERROR(INDEX(設定!$F$4:$F$27,MATCH(K154,設定!$E$4:$E$27,0)),""),"")</f>
        <v/>
      </c>
    </row>
    <row r="155" customFormat="false" ht="15" hidden="false" customHeight="false" outlineLevel="0" collapsed="false">
      <c r="Z155" s="25" t="str">
        <f aca="false">IF(ISNUMBER(A155),IF(COUNTIF(祝日!$A:$A,A155)&gt;0,"祝",CHOOSE(WEEKDAY(A155,2),"月","火","水","木","金","土","日")),"")</f>
        <v/>
      </c>
      <c r="AA155" s="25" t="str">
        <f aca="false">IF(ISNUMBER(A155),IFERROR(INDEX(集計!$J$3:$J$33,MATCH(A155,集計!$B$3:$B$33,0)),0),"")</f>
        <v/>
      </c>
      <c r="AB155" s="25" t="str">
        <f aca="false">IF(ISNUMBER(A155),IFERROR(INDEX(設定!$F$4:$F$27,MATCH(K155,設定!$E$4:$E$27,0)),""),"")</f>
        <v/>
      </c>
    </row>
    <row r="156" customFormat="false" ht="15" hidden="false" customHeight="false" outlineLevel="0" collapsed="false">
      <c r="Z156" s="25" t="str">
        <f aca="false">IF(ISNUMBER(A156),IF(COUNTIF(祝日!$A:$A,A156)&gt;0,"祝",CHOOSE(WEEKDAY(A156,2),"月","火","水","木","金","土","日")),"")</f>
        <v/>
      </c>
      <c r="AA156" s="25" t="str">
        <f aca="false">IF(ISNUMBER(A156),IFERROR(INDEX(集計!$J$3:$J$33,MATCH(A156,集計!$B$3:$B$33,0)),0),"")</f>
        <v/>
      </c>
      <c r="AB156" s="25" t="str">
        <f aca="false">IF(ISNUMBER(A156),IFERROR(INDEX(設定!$F$4:$F$27,MATCH(K156,設定!$E$4:$E$27,0)),""),"")</f>
        <v/>
      </c>
    </row>
    <row r="157" customFormat="false" ht="15" hidden="false" customHeight="false" outlineLevel="0" collapsed="false">
      <c r="Z157" s="25" t="str">
        <f aca="false">IF(ISNUMBER(A157),IF(COUNTIF(祝日!$A:$A,A157)&gt;0,"祝",CHOOSE(WEEKDAY(A157,2),"月","火","水","木","金","土","日")),"")</f>
        <v/>
      </c>
      <c r="AA157" s="25" t="str">
        <f aca="false">IF(ISNUMBER(A157),IFERROR(INDEX(集計!$J$3:$J$33,MATCH(A157,集計!$B$3:$B$33,0)),0),"")</f>
        <v/>
      </c>
      <c r="AB157" s="25" t="str">
        <f aca="false">IF(ISNUMBER(A157),IFERROR(INDEX(設定!$F$4:$F$27,MATCH(K157,設定!$E$4:$E$27,0)),""),"")</f>
        <v/>
      </c>
    </row>
    <row r="158" customFormat="false" ht="15" hidden="false" customHeight="false" outlineLevel="0" collapsed="false">
      <c r="Z158" s="25" t="str">
        <f aca="false">IF(ISNUMBER(A158),IF(COUNTIF(祝日!$A:$A,A158)&gt;0,"祝",CHOOSE(WEEKDAY(A158,2),"月","火","水","木","金","土","日")),"")</f>
        <v/>
      </c>
      <c r="AA158" s="25" t="str">
        <f aca="false">IF(ISNUMBER(A158),IFERROR(INDEX(集計!$J$3:$J$33,MATCH(A158,集計!$B$3:$B$33,0)),0),"")</f>
        <v/>
      </c>
      <c r="AB158" s="25" t="str">
        <f aca="false">IF(ISNUMBER(A158),IFERROR(INDEX(設定!$F$4:$F$27,MATCH(K158,設定!$E$4:$E$27,0)),""),"")</f>
        <v/>
      </c>
    </row>
    <row r="159" customFormat="false" ht="15" hidden="false" customHeight="false" outlineLevel="0" collapsed="false">
      <c r="Z159" s="25" t="str">
        <f aca="false">IF(ISNUMBER(A159),IF(COUNTIF(祝日!$A:$A,A159)&gt;0,"祝",CHOOSE(WEEKDAY(A159,2),"月","火","水","木","金","土","日")),"")</f>
        <v/>
      </c>
      <c r="AA159" s="25" t="str">
        <f aca="false">IF(ISNUMBER(A159),IFERROR(INDEX(集計!$J$3:$J$33,MATCH(A159,集計!$B$3:$B$33,0)),0),"")</f>
        <v/>
      </c>
      <c r="AB159" s="25" t="str">
        <f aca="false">IF(ISNUMBER(A159),IFERROR(INDEX(設定!$F$4:$F$27,MATCH(K159,設定!$E$4:$E$27,0)),""),"")</f>
        <v/>
      </c>
    </row>
    <row r="160" customFormat="false" ht="15" hidden="false" customHeight="false" outlineLevel="0" collapsed="false">
      <c r="Z160" s="25" t="str">
        <f aca="false">IF(ISNUMBER(A160),IF(COUNTIF(祝日!$A:$A,A160)&gt;0,"祝",CHOOSE(WEEKDAY(A160,2),"月","火","水","木","金","土","日")),"")</f>
        <v/>
      </c>
      <c r="AA160" s="25" t="str">
        <f aca="false">IF(ISNUMBER(A160),IFERROR(INDEX(集計!$J$3:$J$33,MATCH(A160,集計!$B$3:$B$33,0)),0),"")</f>
        <v/>
      </c>
      <c r="AB160" s="25" t="str">
        <f aca="false">IF(ISNUMBER(A160),IFERROR(INDEX(設定!$F$4:$F$27,MATCH(K160,設定!$E$4:$E$27,0)),""),"")</f>
        <v/>
      </c>
    </row>
    <row r="161" customFormat="false" ht="15" hidden="false" customHeight="false" outlineLevel="0" collapsed="false">
      <c r="Z161" s="25" t="str">
        <f aca="false">IF(ISNUMBER(A161),IF(COUNTIF(祝日!$A:$A,A161)&gt;0,"祝",CHOOSE(WEEKDAY(A161,2),"月","火","水","木","金","土","日")),"")</f>
        <v/>
      </c>
      <c r="AA161" s="25" t="str">
        <f aca="false">IF(ISNUMBER(A161),IFERROR(INDEX(集計!$J$3:$J$33,MATCH(A161,集計!$B$3:$B$33,0)),0),"")</f>
        <v/>
      </c>
      <c r="AB161" s="25" t="str">
        <f aca="false">IF(ISNUMBER(A161),IFERROR(INDEX(設定!$F$4:$F$27,MATCH(K161,設定!$E$4:$E$27,0)),""),"")</f>
        <v/>
      </c>
    </row>
    <row r="162" customFormat="false" ht="15" hidden="false" customHeight="false" outlineLevel="0" collapsed="false">
      <c r="Z162" s="25" t="str">
        <f aca="false">IF(ISNUMBER(A162),IF(COUNTIF(祝日!$A:$A,A162)&gt;0,"祝",CHOOSE(WEEKDAY(A162,2),"月","火","水","木","金","土","日")),"")</f>
        <v/>
      </c>
      <c r="AA162" s="25" t="str">
        <f aca="false">IF(ISNUMBER(A162),IFERROR(INDEX(集計!$J$3:$J$33,MATCH(A162,集計!$B$3:$B$33,0)),0),"")</f>
        <v/>
      </c>
      <c r="AB162" s="25" t="str">
        <f aca="false">IF(ISNUMBER(A162),IFERROR(INDEX(設定!$F$4:$F$27,MATCH(K162,設定!$E$4:$E$27,0)),""),"")</f>
        <v/>
      </c>
    </row>
    <row r="163" customFormat="false" ht="15" hidden="false" customHeight="false" outlineLevel="0" collapsed="false">
      <c r="Z163" s="25" t="str">
        <f aca="false">IF(ISNUMBER(A163),IF(COUNTIF(祝日!$A:$A,A163)&gt;0,"祝",CHOOSE(WEEKDAY(A163,2),"月","火","水","木","金","土","日")),"")</f>
        <v/>
      </c>
      <c r="AA163" s="25" t="str">
        <f aca="false">IF(ISNUMBER(A163),IFERROR(INDEX(集計!$J$3:$J$33,MATCH(A163,集計!$B$3:$B$33,0)),0),"")</f>
        <v/>
      </c>
      <c r="AB163" s="25" t="str">
        <f aca="false">IF(ISNUMBER(A163),IFERROR(INDEX(設定!$F$4:$F$27,MATCH(K163,設定!$E$4:$E$27,0)),""),"")</f>
        <v/>
      </c>
    </row>
    <row r="164" customFormat="false" ht="15" hidden="false" customHeight="false" outlineLevel="0" collapsed="false">
      <c r="Z164" s="25" t="str">
        <f aca="false">IF(ISNUMBER(A164),IF(COUNTIF(祝日!$A:$A,A164)&gt;0,"祝",CHOOSE(WEEKDAY(A164,2),"月","火","水","木","金","土","日")),"")</f>
        <v/>
      </c>
      <c r="AA164" s="25" t="str">
        <f aca="false">IF(ISNUMBER(A164),IFERROR(INDEX(集計!$J$3:$J$33,MATCH(A164,集計!$B$3:$B$33,0)),0),"")</f>
        <v/>
      </c>
      <c r="AB164" s="25" t="str">
        <f aca="false">IF(ISNUMBER(A164),IFERROR(INDEX(設定!$F$4:$F$27,MATCH(K164,設定!$E$4:$E$27,0)),""),"")</f>
        <v/>
      </c>
    </row>
    <row r="165" customFormat="false" ht="15" hidden="false" customHeight="false" outlineLevel="0" collapsed="false">
      <c r="Z165" s="25" t="str">
        <f aca="false">IF(ISNUMBER(A165),IF(COUNTIF(祝日!$A:$A,A165)&gt;0,"祝",CHOOSE(WEEKDAY(A165,2),"月","火","水","木","金","土","日")),"")</f>
        <v/>
      </c>
      <c r="AA165" s="25" t="str">
        <f aca="false">IF(ISNUMBER(A165),IFERROR(INDEX(集計!$J$3:$J$33,MATCH(A165,集計!$B$3:$B$33,0)),0),"")</f>
        <v/>
      </c>
      <c r="AB165" s="25" t="str">
        <f aca="false">IF(ISNUMBER(A165),IFERROR(INDEX(設定!$F$4:$F$27,MATCH(K165,設定!$E$4:$E$27,0)),""),"")</f>
        <v/>
      </c>
    </row>
    <row r="166" customFormat="false" ht="15" hidden="false" customHeight="false" outlineLevel="0" collapsed="false">
      <c r="Z166" s="25" t="str">
        <f aca="false">IF(ISNUMBER(A166),IF(COUNTIF(祝日!$A:$A,A166)&gt;0,"祝",CHOOSE(WEEKDAY(A166,2),"月","火","水","木","金","土","日")),"")</f>
        <v/>
      </c>
      <c r="AA166" s="25" t="str">
        <f aca="false">IF(ISNUMBER(A166),IFERROR(INDEX(集計!$J$3:$J$33,MATCH(A166,集計!$B$3:$B$33,0)),0),"")</f>
        <v/>
      </c>
      <c r="AB166" s="25" t="str">
        <f aca="false">IF(ISNUMBER(A166),IFERROR(INDEX(設定!$F$4:$F$27,MATCH(K166,設定!$E$4:$E$27,0)),""),"")</f>
        <v/>
      </c>
    </row>
    <row r="167" customFormat="false" ht="15" hidden="false" customHeight="false" outlineLevel="0" collapsed="false">
      <c r="Z167" s="25" t="str">
        <f aca="false">IF(ISNUMBER(A167),IF(COUNTIF(祝日!$A:$A,A167)&gt;0,"祝",CHOOSE(WEEKDAY(A167,2),"月","火","水","木","金","土","日")),"")</f>
        <v/>
      </c>
      <c r="AA167" s="25" t="str">
        <f aca="false">IF(ISNUMBER(A167),IFERROR(INDEX(集計!$J$3:$J$33,MATCH(A167,集計!$B$3:$B$33,0)),0),"")</f>
        <v/>
      </c>
      <c r="AB167" s="25" t="str">
        <f aca="false">IF(ISNUMBER(A167),IFERROR(INDEX(設定!$F$4:$F$27,MATCH(K167,設定!$E$4:$E$27,0)),""),"")</f>
        <v/>
      </c>
    </row>
    <row r="168" customFormat="false" ht="15" hidden="false" customHeight="false" outlineLevel="0" collapsed="false">
      <c r="Z168" s="25" t="str">
        <f aca="false">IF(ISNUMBER(A168),IF(COUNTIF(祝日!$A:$A,A168)&gt;0,"祝",CHOOSE(WEEKDAY(A168,2),"月","火","水","木","金","土","日")),"")</f>
        <v/>
      </c>
      <c r="AA168" s="25" t="str">
        <f aca="false">IF(ISNUMBER(A168),IFERROR(INDEX(集計!$J$3:$J$33,MATCH(A168,集計!$B$3:$B$33,0)),0),"")</f>
        <v/>
      </c>
      <c r="AB168" s="25" t="str">
        <f aca="false">IF(ISNUMBER(A168),IFERROR(INDEX(設定!$F$4:$F$27,MATCH(K168,設定!$E$4:$E$27,0)),""),"")</f>
        <v/>
      </c>
    </row>
    <row r="169" customFormat="false" ht="15" hidden="false" customHeight="false" outlineLevel="0" collapsed="false">
      <c r="Z169" s="25" t="str">
        <f aca="false">IF(ISNUMBER(A169),IF(COUNTIF(祝日!$A:$A,A169)&gt;0,"祝",CHOOSE(WEEKDAY(A169,2),"月","火","水","木","金","土","日")),"")</f>
        <v/>
      </c>
      <c r="AA169" s="25" t="str">
        <f aca="false">IF(ISNUMBER(A169),IFERROR(INDEX(集計!$J$3:$J$33,MATCH(A169,集計!$B$3:$B$33,0)),0),"")</f>
        <v/>
      </c>
      <c r="AB169" s="25" t="str">
        <f aca="false">IF(ISNUMBER(A169),IFERROR(INDEX(設定!$F$4:$F$27,MATCH(K169,設定!$E$4:$E$27,0)),""),"")</f>
        <v/>
      </c>
    </row>
    <row r="170" customFormat="false" ht="15" hidden="false" customHeight="false" outlineLevel="0" collapsed="false">
      <c r="Z170" s="25" t="str">
        <f aca="false">IF(ISNUMBER(A170),IF(COUNTIF(祝日!$A:$A,A170)&gt;0,"祝",CHOOSE(WEEKDAY(A170,2),"月","火","水","木","金","土","日")),"")</f>
        <v/>
      </c>
      <c r="AA170" s="25" t="str">
        <f aca="false">IF(ISNUMBER(A170),IFERROR(INDEX(集計!$J$3:$J$33,MATCH(A170,集計!$B$3:$B$33,0)),0),"")</f>
        <v/>
      </c>
      <c r="AB170" s="25" t="str">
        <f aca="false">IF(ISNUMBER(A170),IFERROR(INDEX(設定!$F$4:$F$27,MATCH(K170,設定!$E$4:$E$27,0)),""),"")</f>
        <v/>
      </c>
    </row>
    <row r="171" customFormat="false" ht="15" hidden="false" customHeight="false" outlineLevel="0" collapsed="false">
      <c r="Z171" s="25" t="str">
        <f aca="false">IF(ISNUMBER(A171),IF(COUNTIF(祝日!$A:$A,A171)&gt;0,"祝",CHOOSE(WEEKDAY(A171,2),"月","火","水","木","金","土","日")),"")</f>
        <v/>
      </c>
      <c r="AA171" s="25" t="str">
        <f aca="false">IF(ISNUMBER(A171),IFERROR(INDEX(集計!$J$3:$J$33,MATCH(A171,集計!$B$3:$B$33,0)),0),"")</f>
        <v/>
      </c>
      <c r="AB171" s="25" t="str">
        <f aca="false">IF(ISNUMBER(A171),IFERROR(INDEX(設定!$F$4:$F$27,MATCH(K171,設定!$E$4:$E$27,0)),""),"")</f>
        <v/>
      </c>
    </row>
    <row r="172" customFormat="false" ht="15" hidden="false" customHeight="false" outlineLevel="0" collapsed="false">
      <c r="Z172" s="25" t="str">
        <f aca="false">IF(ISNUMBER(A172),IF(COUNTIF(祝日!$A:$A,A172)&gt;0,"祝",CHOOSE(WEEKDAY(A172,2),"月","火","水","木","金","土","日")),"")</f>
        <v/>
      </c>
      <c r="AA172" s="25" t="str">
        <f aca="false">IF(ISNUMBER(A172),IFERROR(INDEX(集計!$J$3:$J$33,MATCH(A172,集計!$B$3:$B$33,0)),0),"")</f>
        <v/>
      </c>
      <c r="AB172" s="25" t="str">
        <f aca="false">IF(ISNUMBER(A172),IFERROR(INDEX(設定!$F$4:$F$27,MATCH(K172,設定!$E$4:$E$27,0)),""),"")</f>
        <v/>
      </c>
    </row>
    <row r="173" customFormat="false" ht="15" hidden="false" customHeight="false" outlineLevel="0" collapsed="false">
      <c r="Z173" s="25" t="str">
        <f aca="false">IF(ISNUMBER(A173),IF(COUNTIF(祝日!$A:$A,A173)&gt;0,"祝",CHOOSE(WEEKDAY(A173,2),"月","火","水","木","金","土","日")),"")</f>
        <v/>
      </c>
      <c r="AA173" s="25" t="str">
        <f aca="false">IF(ISNUMBER(A173),IFERROR(INDEX(集計!$J$3:$J$33,MATCH(A173,集計!$B$3:$B$33,0)),0),"")</f>
        <v/>
      </c>
      <c r="AB173" s="25" t="str">
        <f aca="false">IF(ISNUMBER(A173),IFERROR(INDEX(設定!$F$4:$F$27,MATCH(K173,設定!$E$4:$E$27,0)),""),"")</f>
        <v/>
      </c>
    </row>
    <row r="174" customFormat="false" ht="15" hidden="false" customHeight="false" outlineLevel="0" collapsed="false">
      <c r="Z174" s="25" t="str">
        <f aca="false">IF(ISNUMBER(A174),IF(COUNTIF(祝日!$A:$A,A174)&gt;0,"祝",CHOOSE(WEEKDAY(A174,2),"月","火","水","木","金","土","日")),"")</f>
        <v/>
      </c>
      <c r="AA174" s="25" t="str">
        <f aca="false">IF(ISNUMBER(A174),IFERROR(INDEX(集計!$J$3:$J$33,MATCH(A174,集計!$B$3:$B$33,0)),0),"")</f>
        <v/>
      </c>
      <c r="AB174" s="25" t="str">
        <f aca="false">IF(ISNUMBER(A174),IFERROR(INDEX(設定!$F$4:$F$27,MATCH(K174,設定!$E$4:$E$27,0)),""),"")</f>
        <v/>
      </c>
    </row>
    <row r="175" customFormat="false" ht="15" hidden="false" customHeight="false" outlineLevel="0" collapsed="false">
      <c r="Z175" s="25" t="str">
        <f aca="false">IF(ISNUMBER(A175),IF(COUNTIF(祝日!$A:$A,A175)&gt;0,"祝",CHOOSE(WEEKDAY(A175,2),"月","火","水","木","金","土","日")),"")</f>
        <v/>
      </c>
      <c r="AA175" s="25" t="str">
        <f aca="false">IF(ISNUMBER(A175),IFERROR(INDEX(集計!$J$3:$J$33,MATCH(A175,集計!$B$3:$B$33,0)),0),"")</f>
        <v/>
      </c>
      <c r="AB175" s="25" t="str">
        <f aca="false">IF(ISNUMBER(A175),IFERROR(INDEX(設定!$F$4:$F$27,MATCH(K175,設定!$E$4:$E$27,0)),""),"")</f>
        <v/>
      </c>
    </row>
    <row r="176" customFormat="false" ht="15" hidden="false" customHeight="false" outlineLevel="0" collapsed="false">
      <c r="Z176" s="25" t="str">
        <f aca="false">IF(ISNUMBER(A176),IF(COUNTIF(祝日!$A:$A,A176)&gt;0,"祝",CHOOSE(WEEKDAY(A176,2),"月","火","水","木","金","土","日")),"")</f>
        <v/>
      </c>
      <c r="AA176" s="25" t="str">
        <f aca="false">IF(ISNUMBER(A176),IFERROR(INDEX(集計!$J$3:$J$33,MATCH(A176,集計!$B$3:$B$33,0)),0),"")</f>
        <v/>
      </c>
      <c r="AB176" s="25" t="str">
        <f aca="false">IF(ISNUMBER(A176),IFERROR(INDEX(設定!$F$4:$F$27,MATCH(K176,設定!$E$4:$E$27,0)),""),"")</f>
        <v/>
      </c>
    </row>
    <row r="177" customFormat="false" ht="15" hidden="false" customHeight="false" outlineLevel="0" collapsed="false">
      <c r="Z177" s="25" t="str">
        <f aca="false">IF(ISNUMBER(A177),IF(COUNTIF(祝日!$A:$A,A177)&gt;0,"祝",CHOOSE(WEEKDAY(A177,2),"月","火","水","木","金","土","日")),"")</f>
        <v/>
      </c>
      <c r="AA177" s="25" t="str">
        <f aca="false">IF(ISNUMBER(A177),IFERROR(INDEX(集計!$J$3:$J$33,MATCH(A177,集計!$B$3:$B$33,0)),0),"")</f>
        <v/>
      </c>
      <c r="AB177" s="25" t="str">
        <f aca="false">IF(ISNUMBER(A177),IFERROR(INDEX(設定!$F$4:$F$27,MATCH(K177,設定!$E$4:$E$27,0)),""),"")</f>
        <v/>
      </c>
    </row>
    <row r="178" customFormat="false" ht="15" hidden="false" customHeight="false" outlineLevel="0" collapsed="false">
      <c r="Z178" s="25" t="str">
        <f aca="false">IF(ISNUMBER(A178),IF(COUNTIF(祝日!$A:$A,A178)&gt;0,"祝",CHOOSE(WEEKDAY(A178,2),"月","火","水","木","金","土","日")),"")</f>
        <v/>
      </c>
      <c r="AA178" s="25" t="str">
        <f aca="false">IF(ISNUMBER(A178),IFERROR(INDEX(集計!$J$3:$J$33,MATCH(A178,集計!$B$3:$B$33,0)),0),"")</f>
        <v/>
      </c>
      <c r="AB178" s="25" t="str">
        <f aca="false">IF(ISNUMBER(A178),IFERROR(INDEX(設定!$F$4:$F$27,MATCH(K178,設定!$E$4:$E$27,0)),""),"")</f>
        <v/>
      </c>
    </row>
    <row r="179" customFormat="false" ht="15" hidden="false" customHeight="false" outlineLevel="0" collapsed="false">
      <c r="Z179" s="25" t="str">
        <f aca="false">IF(ISNUMBER(A179),IF(COUNTIF(祝日!$A:$A,A179)&gt;0,"祝",CHOOSE(WEEKDAY(A179,2),"月","火","水","木","金","土","日")),"")</f>
        <v/>
      </c>
      <c r="AA179" s="25" t="str">
        <f aca="false">IF(ISNUMBER(A179),IFERROR(INDEX(集計!$J$3:$J$33,MATCH(A179,集計!$B$3:$B$33,0)),0),"")</f>
        <v/>
      </c>
      <c r="AB179" s="25" t="str">
        <f aca="false">IF(ISNUMBER(A179),IFERROR(INDEX(設定!$F$4:$F$27,MATCH(K179,設定!$E$4:$E$27,0)),""),"")</f>
        <v/>
      </c>
    </row>
    <row r="180" customFormat="false" ht="15" hidden="false" customHeight="false" outlineLevel="0" collapsed="false">
      <c r="Z180" s="25" t="str">
        <f aca="false">IF(ISNUMBER(A180),IF(COUNTIF(祝日!$A:$A,A180)&gt;0,"祝",CHOOSE(WEEKDAY(A180,2),"月","火","水","木","金","土","日")),"")</f>
        <v/>
      </c>
      <c r="AA180" s="25" t="str">
        <f aca="false">IF(ISNUMBER(A180),IFERROR(INDEX(集計!$J$3:$J$33,MATCH(A180,集計!$B$3:$B$33,0)),0),"")</f>
        <v/>
      </c>
      <c r="AB180" s="25" t="str">
        <f aca="false">IF(ISNUMBER(A180),IFERROR(INDEX(設定!$F$4:$F$27,MATCH(K180,設定!$E$4:$E$27,0)),""),"")</f>
        <v/>
      </c>
    </row>
    <row r="181" customFormat="false" ht="15" hidden="false" customHeight="false" outlineLevel="0" collapsed="false">
      <c r="Z181" s="25" t="str">
        <f aca="false">IF(ISNUMBER(A181),IF(COUNTIF(祝日!$A:$A,A181)&gt;0,"祝",CHOOSE(WEEKDAY(A181,2),"月","火","水","木","金","土","日")),"")</f>
        <v/>
      </c>
      <c r="AA181" s="25" t="str">
        <f aca="false">IF(ISNUMBER(A181),IFERROR(INDEX(集計!$J$3:$J$33,MATCH(A181,集計!$B$3:$B$33,0)),0),"")</f>
        <v/>
      </c>
      <c r="AB181" s="25" t="str">
        <f aca="false">IF(ISNUMBER(A181),IFERROR(INDEX(設定!$F$4:$F$27,MATCH(K181,設定!$E$4:$E$27,0)),""),"")</f>
        <v/>
      </c>
    </row>
    <row r="182" customFormat="false" ht="15" hidden="false" customHeight="false" outlineLevel="0" collapsed="false">
      <c r="Z182" s="25" t="str">
        <f aca="false">IF(ISNUMBER(A182),IF(COUNTIF(祝日!$A:$A,A182)&gt;0,"祝",CHOOSE(WEEKDAY(A182,2),"月","火","水","木","金","土","日")),"")</f>
        <v/>
      </c>
      <c r="AA182" s="25" t="str">
        <f aca="false">IF(ISNUMBER(A182),IFERROR(INDEX(集計!$J$3:$J$33,MATCH(A182,集計!$B$3:$B$33,0)),0),"")</f>
        <v/>
      </c>
      <c r="AB182" s="25" t="str">
        <f aca="false">IF(ISNUMBER(A182),IFERROR(INDEX(設定!$F$4:$F$27,MATCH(K182,設定!$E$4:$E$27,0)),""),"")</f>
        <v/>
      </c>
    </row>
    <row r="183" customFormat="false" ht="15" hidden="false" customHeight="false" outlineLevel="0" collapsed="false">
      <c r="Z183" s="25" t="str">
        <f aca="false">IF(ISNUMBER(A183),IF(COUNTIF(祝日!$A:$A,A183)&gt;0,"祝",CHOOSE(WEEKDAY(A183,2),"月","火","水","木","金","土","日")),"")</f>
        <v/>
      </c>
      <c r="AA183" s="25" t="str">
        <f aca="false">IF(ISNUMBER(A183),IFERROR(INDEX(集計!$J$3:$J$33,MATCH(A183,集計!$B$3:$B$33,0)),0),"")</f>
        <v/>
      </c>
      <c r="AB183" s="25" t="str">
        <f aca="false">IF(ISNUMBER(A183),IFERROR(INDEX(設定!$F$4:$F$27,MATCH(K183,設定!$E$4:$E$27,0)),""),"")</f>
        <v/>
      </c>
    </row>
    <row r="184" customFormat="false" ht="15" hidden="false" customHeight="false" outlineLevel="0" collapsed="false">
      <c r="Z184" s="25" t="str">
        <f aca="false">IF(ISNUMBER(A184),IF(COUNTIF(祝日!$A:$A,A184)&gt;0,"祝",CHOOSE(WEEKDAY(A184,2),"月","火","水","木","金","土","日")),"")</f>
        <v/>
      </c>
      <c r="AA184" s="25" t="str">
        <f aca="false">IF(ISNUMBER(A184),IFERROR(INDEX(集計!$J$3:$J$33,MATCH(A184,集計!$B$3:$B$33,0)),0),"")</f>
        <v/>
      </c>
      <c r="AB184" s="25" t="str">
        <f aca="false">IF(ISNUMBER(A184),IFERROR(INDEX(設定!$F$4:$F$27,MATCH(K184,設定!$E$4:$E$27,0)),""),"")</f>
        <v/>
      </c>
    </row>
    <row r="185" customFormat="false" ht="15" hidden="false" customHeight="false" outlineLevel="0" collapsed="false">
      <c r="Z185" s="25" t="str">
        <f aca="false">IF(ISNUMBER(A185),IF(COUNTIF(祝日!$A:$A,A185)&gt;0,"祝",CHOOSE(WEEKDAY(A185,2),"月","火","水","木","金","土","日")),"")</f>
        <v/>
      </c>
      <c r="AA185" s="25" t="str">
        <f aca="false">IF(ISNUMBER(A185),IFERROR(INDEX(集計!$J$3:$J$33,MATCH(A185,集計!$B$3:$B$33,0)),0),"")</f>
        <v/>
      </c>
      <c r="AB185" s="25" t="str">
        <f aca="false">IF(ISNUMBER(A185),IFERROR(INDEX(設定!$F$4:$F$27,MATCH(K185,設定!$E$4:$E$27,0)),""),"")</f>
        <v/>
      </c>
    </row>
    <row r="186" customFormat="false" ht="15" hidden="false" customHeight="false" outlineLevel="0" collapsed="false">
      <c r="Z186" s="25" t="str">
        <f aca="false">IF(ISNUMBER(A186),IF(COUNTIF(祝日!$A:$A,A186)&gt;0,"祝",CHOOSE(WEEKDAY(A186,2),"月","火","水","木","金","土","日")),"")</f>
        <v/>
      </c>
      <c r="AA186" s="25" t="str">
        <f aca="false">IF(ISNUMBER(A186),IFERROR(INDEX(集計!$J$3:$J$33,MATCH(A186,集計!$B$3:$B$33,0)),0),"")</f>
        <v/>
      </c>
      <c r="AB186" s="25" t="str">
        <f aca="false">IF(ISNUMBER(A186),IFERROR(INDEX(設定!$F$4:$F$27,MATCH(K186,設定!$E$4:$E$27,0)),""),"")</f>
        <v/>
      </c>
    </row>
    <row r="187" customFormat="false" ht="15" hidden="false" customHeight="false" outlineLevel="0" collapsed="false">
      <c r="Z187" s="25" t="str">
        <f aca="false">IF(ISNUMBER(A187),IF(COUNTIF(祝日!$A:$A,A187)&gt;0,"祝",CHOOSE(WEEKDAY(A187,2),"月","火","水","木","金","土","日")),"")</f>
        <v/>
      </c>
      <c r="AA187" s="25" t="str">
        <f aca="false">IF(ISNUMBER(A187),IFERROR(INDEX(集計!$J$3:$J$33,MATCH(A187,集計!$B$3:$B$33,0)),0),"")</f>
        <v/>
      </c>
      <c r="AB187" s="25" t="str">
        <f aca="false">IF(ISNUMBER(A187),IFERROR(INDEX(設定!$F$4:$F$27,MATCH(K187,設定!$E$4:$E$27,0)),""),"")</f>
        <v/>
      </c>
    </row>
    <row r="188" customFormat="false" ht="15" hidden="false" customHeight="false" outlineLevel="0" collapsed="false">
      <c r="Z188" s="25" t="str">
        <f aca="false">IF(ISNUMBER(A188),IF(COUNTIF(祝日!$A:$A,A188)&gt;0,"祝",CHOOSE(WEEKDAY(A188,2),"月","火","水","木","金","土","日")),"")</f>
        <v/>
      </c>
      <c r="AA188" s="25" t="str">
        <f aca="false">IF(ISNUMBER(A188),IFERROR(INDEX(集計!$J$3:$J$33,MATCH(A188,集計!$B$3:$B$33,0)),0),"")</f>
        <v/>
      </c>
      <c r="AB188" s="25" t="str">
        <f aca="false">IF(ISNUMBER(A188),IFERROR(INDEX(設定!$F$4:$F$27,MATCH(K188,設定!$E$4:$E$27,0)),""),"")</f>
        <v/>
      </c>
    </row>
    <row r="189" customFormat="false" ht="15" hidden="false" customHeight="false" outlineLevel="0" collapsed="false">
      <c r="Z189" s="25" t="str">
        <f aca="false">IF(ISNUMBER(A189),IF(COUNTIF(祝日!$A:$A,A189)&gt;0,"祝",CHOOSE(WEEKDAY(A189,2),"月","火","水","木","金","土","日")),"")</f>
        <v/>
      </c>
      <c r="AA189" s="25" t="str">
        <f aca="false">IF(ISNUMBER(A189),IFERROR(INDEX(集計!$J$3:$J$33,MATCH(A189,集計!$B$3:$B$33,0)),0),"")</f>
        <v/>
      </c>
      <c r="AB189" s="25" t="str">
        <f aca="false">IF(ISNUMBER(A189),IFERROR(INDEX(設定!$F$4:$F$27,MATCH(K189,設定!$E$4:$E$27,0)),""),"")</f>
        <v/>
      </c>
    </row>
    <row r="190" customFormat="false" ht="15" hidden="false" customHeight="false" outlineLevel="0" collapsed="false">
      <c r="Z190" s="25" t="str">
        <f aca="false">IF(ISNUMBER(A190),IF(COUNTIF(祝日!$A:$A,A190)&gt;0,"祝",CHOOSE(WEEKDAY(A190,2),"月","火","水","木","金","土","日")),"")</f>
        <v/>
      </c>
      <c r="AA190" s="25" t="str">
        <f aca="false">IF(ISNUMBER(A190),IFERROR(INDEX(集計!$J$3:$J$33,MATCH(A190,集計!$B$3:$B$33,0)),0),"")</f>
        <v/>
      </c>
      <c r="AB190" s="25" t="str">
        <f aca="false">IF(ISNUMBER(A190),IFERROR(INDEX(設定!$F$4:$F$27,MATCH(K190,設定!$E$4:$E$27,0)),""),"")</f>
        <v/>
      </c>
    </row>
    <row r="191" customFormat="false" ht="15" hidden="false" customHeight="false" outlineLevel="0" collapsed="false">
      <c r="Z191" s="25" t="str">
        <f aca="false">IF(ISNUMBER(A191),IF(COUNTIF(祝日!$A:$A,A191)&gt;0,"祝",CHOOSE(WEEKDAY(A191,2),"月","火","水","木","金","土","日")),"")</f>
        <v/>
      </c>
      <c r="AA191" s="25" t="str">
        <f aca="false">IF(ISNUMBER(A191),IFERROR(INDEX(集計!$J$3:$J$33,MATCH(A191,集計!$B$3:$B$33,0)),0),"")</f>
        <v/>
      </c>
      <c r="AB191" s="25" t="str">
        <f aca="false">IF(ISNUMBER(A191),IFERROR(INDEX(設定!$F$4:$F$27,MATCH(K191,設定!$E$4:$E$27,0)),""),"")</f>
        <v/>
      </c>
    </row>
    <row r="192" customFormat="false" ht="15" hidden="false" customHeight="false" outlineLevel="0" collapsed="false">
      <c r="Z192" s="25" t="str">
        <f aca="false">IF(ISNUMBER(A192),IF(COUNTIF(祝日!$A:$A,A192)&gt;0,"祝",CHOOSE(WEEKDAY(A192,2),"月","火","水","木","金","土","日")),"")</f>
        <v/>
      </c>
      <c r="AA192" s="25" t="str">
        <f aca="false">IF(ISNUMBER(A192),IFERROR(INDEX(集計!$J$3:$J$33,MATCH(A192,集計!$B$3:$B$33,0)),0),"")</f>
        <v/>
      </c>
      <c r="AB192" s="25" t="str">
        <f aca="false">IF(ISNUMBER(A192),IFERROR(INDEX(設定!$F$4:$F$27,MATCH(K192,設定!$E$4:$E$27,0)),""),"")</f>
        <v/>
      </c>
    </row>
    <row r="193" customFormat="false" ht="15" hidden="false" customHeight="false" outlineLevel="0" collapsed="false">
      <c r="Z193" s="25" t="str">
        <f aca="false">IF(ISNUMBER(A193),IF(COUNTIF(祝日!$A:$A,A193)&gt;0,"祝",CHOOSE(WEEKDAY(A193,2),"月","火","水","木","金","土","日")),"")</f>
        <v/>
      </c>
      <c r="AA193" s="25" t="str">
        <f aca="false">IF(ISNUMBER(A193),IFERROR(INDEX(集計!$J$3:$J$33,MATCH(A193,集計!$B$3:$B$33,0)),0),"")</f>
        <v/>
      </c>
      <c r="AB193" s="25" t="str">
        <f aca="false">IF(ISNUMBER(A193),IFERROR(INDEX(設定!$F$4:$F$27,MATCH(K193,設定!$E$4:$E$27,0)),""),"")</f>
        <v/>
      </c>
    </row>
    <row r="194" customFormat="false" ht="15" hidden="false" customHeight="false" outlineLevel="0" collapsed="false">
      <c r="Z194" s="25" t="str">
        <f aca="false">IF(ISNUMBER(A194),IF(COUNTIF(祝日!$A:$A,A194)&gt;0,"祝",CHOOSE(WEEKDAY(A194,2),"月","火","水","木","金","土","日")),"")</f>
        <v/>
      </c>
      <c r="AA194" s="25" t="str">
        <f aca="false">IF(ISNUMBER(A194),IFERROR(INDEX(集計!$J$3:$J$33,MATCH(A194,集計!$B$3:$B$33,0)),0),"")</f>
        <v/>
      </c>
      <c r="AB194" s="25" t="str">
        <f aca="false">IF(ISNUMBER(A194),IFERROR(INDEX(設定!$F$4:$F$27,MATCH(K194,設定!$E$4:$E$27,0)),""),"")</f>
        <v/>
      </c>
    </row>
    <row r="195" customFormat="false" ht="15" hidden="false" customHeight="false" outlineLevel="0" collapsed="false">
      <c r="Z195" s="25" t="str">
        <f aca="false">IF(ISNUMBER(A195),IF(COUNTIF(祝日!$A:$A,A195)&gt;0,"祝",CHOOSE(WEEKDAY(A195,2),"月","火","水","木","金","土","日")),"")</f>
        <v/>
      </c>
      <c r="AA195" s="25" t="str">
        <f aca="false">IF(ISNUMBER(A195),IFERROR(INDEX(集計!$J$3:$J$33,MATCH(A195,集計!$B$3:$B$33,0)),0),"")</f>
        <v/>
      </c>
      <c r="AB195" s="25" t="str">
        <f aca="false">IF(ISNUMBER(A195),IFERROR(INDEX(設定!$F$4:$F$27,MATCH(K195,設定!$E$4:$E$27,0)),""),"")</f>
        <v/>
      </c>
    </row>
    <row r="196" customFormat="false" ht="15" hidden="false" customHeight="false" outlineLevel="0" collapsed="false">
      <c r="Z196" s="25" t="str">
        <f aca="false">IF(ISNUMBER(A196),IF(COUNTIF(祝日!$A:$A,A196)&gt;0,"祝",CHOOSE(WEEKDAY(A196,2),"月","火","水","木","金","土","日")),"")</f>
        <v/>
      </c>
      <c r="AA196" s="25" t="str">
        <f aca="false">IF(ISNUMBER(A196),IFERROR(INDEX(集計!$J$3:$J$33,MATCH(A196,集計!$B$3:$B$33,0)),0),"")</f>
        <v/>
      </c>
      <c r="AB196" s="25" t="str">
        <f aca="false">IF(ISNUMBER(A196),IFERROR(INDEX(設定!$F$4:$F$27,MATCH(K196,設定!$E$4:$E$27,0)),""),"")</f>
        <v/>
      </c>
    </row>
    <row r="197" customFormat="false" ht="15" hidden="false" customHeight="false" outlineLevel="0" collapsed="false">
      <c r="Z197" s="25" t="str">
        <f aca="false">IF(ISNUMBER(A197),IF(COUNTIF(祝日!$A:$A,A197)&gt;0,"祝",CHOOSE(WEEKDAY(A197,2),"月","火","水","木","金","土","日")),"")</f>
        <v/>
      </c>
      <c r="AA197" s="25" t="str">
        <f aca="false">IF(ISNUMBER(A197),IFERROR(INDEX(集計!$J$3:$J$33,MATCH(A197,集計!$B$3:$B$33,0)),0),"")</f>
        <v/>
      </c>
      <c r="AB197" s="25" t="str">
        <f aca="false">IF(ISNUMBER(A197),IFERROR(INDEX(設定!$F$4:$F$27,MATCH(K197,設定!$E$4:$E$27,0)),""),"")</f>
        <v/>
      </c>
    </row>
    <row r="198" customFormat="false" ht="15" hidden="false" customHeight="false" outlineLevel="0" collapsed="false">
      <c r="Z198" s="25" t="str">
        <f aca="false">IF(ISNUMBER(A198),IF(COUNTIF(祝日!$A:$A,A198)&gt;0,"祝",CHOOSE(WEEKDAY(A198,2),"月","火","水","木","金","土","日")),"")</f>
        <v/>
      </c>
      <c r="AA198" s="25" t="str">
        <f aca="false">IF(ISNUMBER(A198),IFERROR(INDEX(集計!$J$3:$J$33,MATCH(A198,集計!$B$3:$B$33,0)),0),"")</f>
        <v/>
      </c>
      <c r="AB198" s="25" t="str">
        <f aca="false">IF(ISNUMBER(A198),IFERROR(INDEX(設定!$F$4:$F$27,MATCH(K198,設定!$E$4:$E$27,0)),""),"")</f>
        <v/>
      </c>
    </row>
    <row r="199" customFormat="false" ht="15" hidden="false" customHeight="false" outlineLevel="0" collapsed="false">
      <c r="Z199" s="25" t="str">
        <f aca="false">IF(ISNUMBER(A199),IF(COUNTIF(祝日!$A:$A,A199)&gt;0,"祝",CHOOSE(WEEKDAY(A199,2),"月","火","水","木","金","土","日")),"")</f>
        <v/>
      </c>
      <c r="AA199" s="25" t="str">
        <f aca="false">IF(ISNUMBER(A199),IFERROR(INDEX(集計!$J$3:$J$33,MATCH(A199,集計!$B$3:$B$33,0)),0),"")</f>
        <v/>
      </c>
      <c r="AB199" s="25" t="str">
        <f aca="false">IF(ISNUMBER(A199),IFERROR(INDEX(設定!$F$4:$F$27,MATCH(K199,設定!$E$4:$E$27,0)),""),"")</f>
        <v/>
      </c>
    </row>
    <row r="200" customFormat="false" ht="15" hidden="false" customHeight="false" outlineLevel="0" collapsed="false">
      <c r="Z200" s="25" t="str">
        <f aca="false">IF(ISNUMBER(A200),IF(COUNTIF(祝日!$A:$A,A200)&gt;0,"祝",CHOOSE(WEEKDAY(A200,2),"月","火","水","木","金","土","日")),"")</f>
        <v/>
      </c>
      <c r="AA200" s="25" t="str">
        <f aca="false">IF(ISNUMBER(A200),IFERROR(INDEX(集計!$J$3:$J$33,MATCH(A200,集計!$B$3:$B$33,0)),0),"")</f>
        <v/>
      </c>
      <c r="AB200" s="25" t="str">
        <f aca="false">IF(ISNUMBER(A200),IFERROR(INDEX(設定!$F$4:$F$27,MATCH(K200,設定!$E$4:$E$27,0)),""),"")</f>
        <v/>
      </c>
    </row>
    <row r="201" customFormat="false" ht="15" hidden="false" customHeight="false" outlineLevel="0" collapsed="false">
      <c r="Z201" s="25" t="str">
        <f aca="false">IF(ISNUMBER(A201),IF(COUNTIF(祝日!$A:$A,A201)&gt;0,"祝",CHOOSE(WEEKDAY(A201,2),"月","火","水","木","金","土","日")),"")</f>
        <v/>
      </c>
      <c r="AA201" s="25" t="str">
        <f aca="false">IF(ISNUMBER(A201),IFERROR(INDEX(集計!$J$3:$J$33,MATCH(A201,集計!$B$3:$B$33,0)),0),"")</f>
        <v/>
      </c>
      <c r="AB201" s="25" t="str">
        <f aca="false">IF(ISNUMBER(A201),IFERROR(INDEX(設定!$F$4:$F$27,MATCH(K201,設定!$E$4:$E$27,0)),""),"")</f>
        <v/>
      </c>
    </row>
    <row r="202" customFormat="false" ht="15" hidden="false" customHeight="false" outlineLevel="0" collapsed="false">
      <c r="Z202" s="25" t="str">
        <f aca="false">IF(ISNUMBER(A202),IF(COUNTIF(祝日!$A:$A,A202)&gt;0,"祝",CHOOSE(WEEKDAY(A202,2),"月","火","水","木","金","土","日")),"")</f>
        <v/>
      </c>
      <c r="AA202" s="25" t="str">
        <f aca="false">IF(ISNUMBER(A202),IFERROR(INDEX(集計!$J$3:$J$33,MATCH(A202,集計!$B$3:$B$33,0)),0),"")</f>
        <v/>
      </c>
      <c r="AB202" s="25" t="str">
        <f aca="false">IF(ISNUMBER(A202),IFERROR(INDEX(設定!$F$4:$F$27,MATCH(K202,設定!$E$4:$E$27,0)),""),"")</f>
        <v/>
      </c>
    </row>
    <row r="203" customFormat="false" ht="15" hidden="false" customHeight="false" outlineLevel="0" collapsed="false">
      <c r="Z203" s="25" t="str">
        <f aca="false">IF(ISNUMBER(A203),IF(COUNTIF(祝日!$A:$A,A203)&gt;0,"祝",CHOOSE(WEEKDAY(A203,2),"月","火","水","木","金","土","日")),"")</f>
        <v/>
      </c>
      <c r="AA203" s="25" t="str">
        <f aca="false">IF(ISNUMBER(A203),IFERROR(INDEX(集計!$J$3:$J$33,MATCH(A203,集計!$B$3:$B$33,0)),0),"")</f>
        <v/>
      </c>
      <c r="AB203" s="25" t="str">
        <f aca="false">IF(ISNUMBER(A203),IFERROR(INDEX(設定!$F$4:$F$27,MATCH(K203,設定!$E$4:$E$27,0)),""),"")</f>
        <v/>
      </c>
    </row>
    <row r="204" customFormat="false" ht="15" hidden="false" customHeight="false" outlineLevel="0" collapsed="false">
      <c r="Z204" s="25" t="str">
        <f aca="false">IF(ISNUMBER(A204),IF(COUNTIF(祝日!$A:$A,A204)&gt;0,"祝",CHOOSE(WEEKDAY(A204,2),"月","火","水","木","金","土","日")),"")</f>
        <v/>
      </c>
      <c r="AA204" s="25" t="str">
        <f aca="false">IF(ISNUMBER(A204),IFERROR(INDEX(集計!$J$3:$J$33,MATCH(A204,集計!$B$3:$B$33,0)),0),"")</f>
        <v/>
      </c>
      <c r="AB204" s="25" t="str">
        <f aca="false">IF(ISNUMBER(A204),IFERROR(INDEX(設定!$F$4:$F$27,MATCH(K204,設定!$E$4:$E$27,0)),""),"")</f>
        <v/>
      </c>
    </row>
    <row r="205" customFormat="false" ht="15" hidden="false" customHeight="false" outlineLevel="0" collapsed="false">
      <c r="Z205" s="25" t="str">
        <f aca="false">IF(ISNUMBER(A205),IF(COUNTIF(祝日!$A:$A,A205)&gt;0,"祝",CHOOSE(WEEKDAY(A205,2),"月","火","水","木","金","土","日")),"")</f>
        <v/>
      </c>
      <c r="AA205" s="25" t="str">
        <f aca="false">IF(ISNUMBER(A205),IFERROR(INDEX(集計!$J$3:$J$33,MATCH(A205,集計!$B$3:$B$33,0)),0),"")</f>
        <v/>
      </c>
      <c r="AB205" s="25" t="str">
        <f aca="false">IF(ISNUMBER(A205),IFERROR(INDEX(設定!$F$4:$F$27,MATCH(K205,設定!$E$4:$E$27,0)),""),"")</f>
        <v/>
      </c>
    </row>
    <row r="206" customFormat="false" ht="15" hidden="false" customHeight="false" outlineLevel="0" collapsed="false">
      <c r="Z206" s="25" t="str">
        <f aca="false">IF(ISNUMBER(A206),IF(COUNTIF(祝日!$A:$A,A206)&gt;0,"祝",CHOOSE(WEEKDAY(A206,2),"月","火","水","木","金","土","日")),"")</f>
        <v/>
      </c>
      <c r="AA206" s="25" t="str">
        <f aca="false">IF(ISNUMBER(A206),IFERROR(INDEX(集計!$J$3:$J$33,MATCH(A206,集計!$B$3:$B$33,0)),0),"")</f>
        <v/>
      </c>
      <c r="AB206" s="25" t="str">
        <f aca="false">IF(ISNUMBER(A206),IFERROR(INDEX(設定!$F$4:$F$27,MATCH(K206,設定!$E$4:$E$27,0)),""),"")</f>
        <v/>
      </c>
    </row>
    <row r="207" customFormat="false" ht="15" hidden="false" customHeight="false" outlineLevel="0" collapsed="false">
      <c r="Z207" s="25" t="str">
        <f aca="false">IF(ISNUMBER(A207),IF(COUNTIF(祝日!$A:$A,A207)&gt;0,"祝",CHOOSE(WEEKDAY(A207,2),"月","火","水","木","金","土","日")),"")</f>
        <v/>
      </c>
      <c r="AA207" s="25" t="str">
        <f aca="false">IF(ISNUMBER(A207),IFERROR(INDEX(集計!$J$3:$J$33,MATCH(A207,集計!$B$3:$B$33,0)),0),"")</f>
        <v/>
      </c>
      <c r="AB207" s="25" t="str">
        <f aca="false">IF(ISNUMBER(A207),IFERROR(INDEX(設定!$F$4:$F$27,MATCH(K207,設定!$E$4:$E$27,0)),""),"")</f>
        <v/>
      </c>
    </row>
    <row r="208" customFormat="false" ht="15" hidden="false" customHeight="false" outlineLevel="0" collapsed="false">
      <c r="Z208" s="25" t="str">
        <f aca="false">IF(ISNUMBER(A208),IF(COUNTIF(祝日!$A:$A,A208)&gt;0,"祝",CHOOSE(WEEKDAY(A208,2),"月","火","水","木","金","土","日")),"")</f>
        <v/>
      </c>
      <c r="AA208" s="25" t="str">
        <f aca="false">IF(ISNUMBER(A208),IFERROR(INDEX(集計!$J$3:$J$33,MATCH(A208,集計!$B$3:$B$33,0)),0),"")</f>
        <v/>
      </c>
      <c r="AB208" s="25" t="str">
        <f aca="false">IF(ISNUMBER(A208),IFERROR(INDEX(設定!$F$4:$F$27,MATCH(K208,設定!$E$4:$E$27,0)),""),"")</f>
        <v/>
      </c>
    </row>
    <row r="209" customFormat="false" ht="15" hidden="false" customHeight="false" outlineLevel="0" collapsed="false">
      <c r="Z209" s="25" t="str">
        <f aca="false">IF(ISNUMBER(A209),IF(COUNTIF(祝日!$A:$A,A209)&gt;0,"祝",CHOOSE(WEEKDAY(A209,2),"月","火","水","木","金","土","日")),"")</f>
        <v/>
      </c>
      <c r="AA209" s="25" t="str">
        <f aca="false">IF(ISNUMBER(A209),IFERROR(INDEX(集計!$J$3:$J$33,MATCH(A209,集計!$B$3:$B$33,0)),0),"")</f>
        <v/>
      </c>
      <c r="AB209" s="25" t="str">
        <f aca="false">IF(ISNUMBER(A209),IFERROR(INDEX(設定!$F$4:$F$27,MATCH(K209,設定!$E$4:$E$27,0)),""),"")</f>
        <v/>
      </c>
    </row>
    <row r="210" customFormat="false" ht="15" hidden="false" customHeight="false" outlineLevel="0" collapsed="false">
      <c r="Z210" s="25" t="str">
        <f aca="false">IF(ISNUMBER(A210),IF(COUNTIF(祝日!$A:$A,A210)&gt;0,"祝",CHOOSE(WEEKDAY(A210,2),"月","火","水","木","金","土","日")),"")</f>
        <v/>
      </c>
      <c r="AA210" s="25" t="str">
        <f aca="false">IF(ISNUMBER(A210),IFERROR(INDEX(集計!$J$3:$J$33,MATCH(A210,集計!$B$3:$B$33,0)),0),"")</f>
        <v/>
      </c>
      <c r="AB210" s="25" t="str">
        <f aca="false">IF(ISNUMBER(A210),IFERROR(INDEX(設定!$F$4:$F$27,MATCH(K210,設定!$E$4:$E$27,0)),""),"")</f>
        <v/>
      </c>
    </row>
    <row r="211" customFormat="false" ht="15" hidden="false" customHeight="false" outlineLevel="0" collapsed="false">
      <c r="Z211" s="25" t="str">
        <f aca="false">IF(ISNUMBER(A211),IF(COUNTIF(祝日!$A:$A,A211)&gt;0,"祝",CHOOSE(WEEKDAY(A211,2),"月","火","水","木","金","土","日")),"")</f>
        <v/>
      </c>
      <c r="AA211" s="25" t="str">
        <f aca="false">IF(ISNUMBER(A211),IFERROR(INDEX(集計!$J$3:$J$33,MATCH(A211,集計!$B$3:$B$33,0)),0),"")</f>
        <v/>
      </c>
      <c r="AB211" s="25" t="str">
        <f aca="false">IF(ISNUMBER(A211),IFERROR(INDEX(設定!$F$4:$F$27,MATCH(K211,設定!$E$4:$E$27,0)),""),"")</f>
        <v/>
      </c>
    </row>
    <row r="212" customFormat="false" ht="15" hidden="false" customHeight="false" outlineLevel="0" collapsed="false">
      <c r="Z212" s="25" t="str">
        <f aca="false">IF(ISNUMBER(A212),IF(COUNTIF(祝日!$A:$A,A212)&gt;0,"祝",CHOOSE(WEEKDAY(A212,2),"月","火","水","木","金","土","日")),"")</f>
        <v/>
      </c>
      <c r="AA212" s="25" t="str">
        <f aca="false">IF(ISNUMBER(A212),IFERROR(INDEX(集計!$J$3:$J$33,MATCH(A212,集計!$B$3:$B$33,0)),0),"")</f>
        <v/>
      </c>
      <c r="AB212" s="25" t="str">
        <f aca="false">IF(ISNUMBER(A212),IFERROR(INDEX(設定!$F$4:$F$27,MATCH(K212,設定!$E$4:$E$27,0)),""),"")</f>
        <v/>
      </c>
    </row>
    <row r="213" customFormat="false" ht="15" hidden="false" customHeight="false" outlineLevel="0" collapsed="false">
      <c r="Z213" s="25" t="str">
        <f aca="false">IF(ISNUMBER(A213),IF(COUNTIF(祝日!$A:$A,A213)&gt;0,"祝",CHOOSE(WEEKDAY(A213,2),"月","火","水","木","金","土","日")),"")</f>
        <v/>
      </c>
      <c r="AA213" s="25" t="str">
        <f aca="false">IF(ISNUMBER(A213),IFERROR(INDEX(集計!$J$3:$J$33,MATCH(A213,集計!$B$3:$B$33,0)),0),"")</f>
        <v/>
      </c>
      <c r="AB213" s="25" t="str">
        <f aca="false">IF(ISNUMBER(A213),IFERROR(INDEX(設定!$F$4:$F$27,MATCH(K213,設定!$E$4:$E$27,0)),""),"")</f>
        <v/>
      </c>
    </row>
    <row r="214" customFormat="false" ht="15" hidden="false" customHeight="false" outlineLevel="0" collapsed="false">
      <c r="Z214" s="25" t="str">
        <f aca="false">IF(ISNUMBER(A214),IF(COUNTIF(祝日!$A:$A,A214)&gt;0,"祝",CHOOSE(WEEKDAY(A214,2),"月","火","水","木","金","土","日")),"")</f>
        <v/>
      </c>
      <c r="AA214" s="25" t="str">
        <f aca="false">IF(ISNUMBER(A214),IFERROR(INDEX(集計!$J$3:$J$33,MATCH(A214,集計!$B$3:$B$33,0)),0),"")</f>
        <v/>
      </c>
      <c r="AB214" s="25" t="str">
        <f aca="false">IF(ISNUMBER(A214),IFERROR(INDEX(設定!$F$4:$F$27,MATCH(K214,設定!$E$4:$E$27,0)),""),"")</f>
        <v/>
      </c>
    </row>
    <row r="215" customFormat="false" ht="15" hidden="false" customHeight="false" outlineLevel="0" collapsed="false">
      <c r="Z215" s="25" t="str">
        <f aca="false">IF(ISNUMBER(A215),IF(COUNTIF(祝日!$A:$A,A215)&gt;0,"祝",CHOOSE(WEEKDAY(A215,2),"月","火","水","木","金","土","日")),"")</f>
        <v/>
      </c>
      <c r="AA215" s="25" t="str">
        <f aca="false">IF(ISNUMBER(A215),IFERROR(INDEX(集計!$J$3:$J$33,MATCH(A215,集計!$B$3:$B$33,0)),0),"")</f>
        <v/>
      </c>
      <c r="AB215" s="25" t="str">
        <f aca="false">IF(ISNUMBER(A215),IFERROR(INDEX(設定!$F$4:$F$27,MATCH(K215,設定!$E$4:$E$27,0)),""),"")</f>
        <v/>
      </c>
    </row>
    <row r="216" customFormat="false" ht="15" hidden="false" customHeight="false" outlineLevel="0" collapsed="false">
      <c r="Z216" s="25" t="str">
        <f aca="false">IF(ISNUMBER(A216),IF(COUNTIF(祝日!$A:$A,A216)&gt;0,"祝",CHOOSE(WEEKDAY(A216,2),"月","火","水","木","金","土","日")),"")</f>
        <v/>
      </c>
      <c r="AA216" s="25" t="str">
        <f aca="false">IF(ISNUMBER(A216),IFERROR(INDEX(集計!$J$3:$J$33,MATCH(A216,集計!$B$3:$B$33,0)),0),"")</f>
        <v/>
      </c>
      <c r="AB216" s="25" t="str">
        <f aca="false">IF(ISNUMBER(A216),IFERROR(INDEX(設定!$F$4:$F$27,MATCH(K216,設定!$E$4:$E$27,0)),""),"")</f>
        <v/>
      </c>
    </row>
    <row r="217" customFormat="false" ht="15" hidden="false" customHeight="false" outlineLevel="0" collapsed="false">
      <c r="Z217" s="25" t="str">
        <f aca="false">IF(ISNUMBER(A217),IF(COUNTIF(祝日!$A:$A,A217)&gt;0,"祝",CHOOSE(WEEKDAY(A217,2),"月","火","水","木","金","土","日")),"")</f>
        <v/>
      </c>
      <c r="AA217" s="25" t="str">
        <f aca="false">IF(ISNUMBER(A217),IFERROR(INDEX(集計!$J$3:$J$33,MATCH(A217,集計!$B$3:$B$33,0)),0),"")</f>
        <v/>
      </c>
      <c r="AB217" s="25" t="str">
        <f aca="false">IF(ISNUMBER(A217),IFERROR(INDEX(設定!$F$4:$F$27,MATCH(K217,設定!$E$4:$E$27,0)),""),"")</f>
        <v/>
      </c>
    </row>
    <row r="218" customFormat="false" ht="15" hidden="false" customHeight="false" outlineLevel="0" collapsed="false">
      <c r="Z218" s="25" t="str">
        <f aca="false">IF(ISNUMBER(A218),IF(COUNTIF(祝日!$A:$A,A218)&gt;0,"祝",CHOOSE(WEEKDAY(A218,2),"月","火","水","木","金","土","日")),"")</f>
        <v/>
      </c>
      <c r="AA218" s="25" t="str">
        <f aca="false">IF(ISNUMBER(A218),IFERROR(INDEX(集計!$J$3:$J$33,MATCH(A218,集計!$B$3:$B$33,0)),0),"")</f>
        <v/>
      </c>
      <c r="AB218" s="25" t="str">
        <f aca="false">IF(ISNUMBER(A218),IFERROR(INDEX(設定!$F$4:$F$27,MATCH(K218,設定!$E$4:$E$27,0)),""),"")</f>
        <v/>
      </c>
    </row>
    <row r="219" customFormat="false" ht="15" hidden="false" customHeight="false" outlineLevel="0" collapsed="false">
      <c r="Z219" s="25" t="str">
        <f aca="false">IF(ISNUMBER(A219),IF(COUNTIF(祝日!$A:$A,A219)&gt;0,"祝",CHOOSE(WEEKDAY(A219,2),"月","火","水","木","金","土","日")),"")</f>
        <v/>
      </c>
      <c r="AA219" s="25" t="str">
        <f aca="false">IF(ISNUMBER(A219),IFERROR(INDEX(集計!$J$3:$J$33,MATCH(A219,集計!$B$3:$B$33,0)),0),"")</f>
        <v/>
      </c>
      <c r="AB219" s="25" t="str">
        <f aca="false">IF(ISNUMBER(A219),IFERROR(INDEX(設定!$F$4:$F$27,MATCH(K219,設定!$E$4:$E$27,0)),""),"")</f>
        <v/>
      </c>
    </row>
    <row r="220" customFormat="false" ht="15" hidden="false" customHeight="false" outlineLevel="0" collapsed="false">
      <c r="Z220" s="25" t="str">
        <f aca="false">IF(ISNUMBER(A220),IF(COUNTIF(祝日!$A:$A,A220)&gt;0,"祝",CHOOSE(WEEKDAY(A220,2),"月","火","水","木","金","土","日")),"")</f>
        <v/>
      </c>
      <c r="AA220" s="25" t="str">
        <f aca="false">IF(ISNUMBER(A220),IFERROR(INDEX(集計!$J$3:$J$33,MATCH(A220,集計!$B$3:$B$33,0)),0),"")</f>
        <v/>
      </c>
      <c r="AB220" s="25" t="str">
        <f aca="false">IF(ISNUMBER(A220),IFERROR(INDEX(設定!$F$4:$F$27,MATCH(K220,設定!$E$4:$E$27,0)),""),"")</f>
        <v/>
      </c>
    </row>
    <row r="221" customFormat="false" ht="15" hidden="false" customHeight="false" outlineLevel="0" collapsed="false">
      <c r="Z221" s="25" t="str">
        <f aca="false">IF(ISNUMBER(A221),IF(COUNTIF(祝日!$A:$A,A221)&gt;0,"祝",CHOOSE(WEEKDAY(A221,2),"月","火","水","木","金","土","日")),"")</f>
        <v/>
      </c>
      <c r="AA221" s="25" t="str">
        <f aca="false">IF(ISNUMBER(A221),IFERROR(INDEX(集計!$J$3:$J$33,MATCH(A221,集計!$B$3:$B$33,0)),0),"")</f>
        <v/>
      </c>
      <c r="AB221" s="25" t="str">
        <f aca="false">IF(ISNUMBER(A221),IFERROR(INDEX(設定!$F$4:$F$27,MATCH(K221,設定!$E$4:$E$27,0)),""),"")</f>
        <v/>
      </c>
    </row>
    <row r="222" customFormat="false" ht="15" hidden="false" customHeight="false" outlineLevel="0" collapsed="false">
      <c r="Z222" s="25" t="str">
        <f aca="false">IF(ISNUMBER(A222),IF(COUNTIF(祝日!$A:$A,A222)&gt;0,"祝",CHOOSE(WEEKDAY(A222,2),"月","火","水","木","金","土","日")),"")</f>
        <v/>
      </c>
      <c r="AA222" s="25" t="str">
        <f aca="false">IF(ISNUMBER(A222),IFERROR(INDEX(集計!$J$3:$J$33,MATCH(A222,集計!$B$3:$B$33,0)),0),"")</f>
        <v/>
      </c>
      <c r="AB222" s="25" t="str">
        <f aca="false">IF(ISNUMBER(A222),IFERROR(INDEX(設定!$F$4:$F$27,MATCH(K222,設定!$E$4:$E$27,0)),""),"")</f>
        <v/>
      </c>
    </row>
    <row r="223" customFormat="false" ht="15" hidden="false" customHeight="false" outlineLevel="0" collapsed="false">
      <c r="Z223" s="25" t="str">
        <f aca="false">IF(ISNUMBER(A223),IF(COUNTIF(祝日!$A:$A,A223)&gt;0,"祝",CHOOSE(WEEKDAY(A223,2),"月","火","水","木","金","土","日")),"")</f>
        <v/>
      </c>
      <c r="AA223" s="25" t="str">
        <f aca="false">IF(ISNUMBER(A223),IFERROR(INDEX(集計!$J$3:$J$33,MATCH(A223,集計!$B$3:$B$33,0)),0),"")</f>
        <v/>
      </c>
      <c r="AB223" s="25" t="str">
        <f aca="false">IF(ISNUMBER(A223),IFERROR(INDEX(設定!$F$4:$F$27,MATCH(K223,設定!$E$4:$E$27,0)),""),"")</f>
        <v/>
      </c>
    </row>
    <row r="224" customFormat="false" ht="15" hidden="false" customHeight="false" outlineLevel="0" collapsed="false">
      <c r="Z224" s="25" t="str">
        <f aca="false">IF(ISNUMBER(A224),IF(COUNTIF(祝日!$A:$A,A224)&gt;0,"祝",CHOOSE(WEEKDAY(A224,2),"月","火","水","木","金","土","日")),"")</f>
        <v/>
      </c>
      <c r="AA224" s="25" t="str">
        <f aca="false">IF(ISNUMBER(A224),IFERROR(INDEX(集計!$J$3:$J$33,MATCH(A224,集計!$B$3:$B$33,0)),0),"")</f>
        <v/>
      </c>
      <c r="AB224" s="25" t="str">
        <f aca="false">IF(ISNUMBER(A224),IFERROR(INDEX(設定!$F$4:$F$27,MATCH(K224,設定!$E$4:$E$27,0)),""),"")</f>
        <v/>
      </c>
    </row>
    <row r="225" customFormat="false" ht="15" hidden="false" customHeight="false" outlineLevel="0" collapsed="false">
      <c r="Z225" s="25" t="str">
        <f aca="false">IF(ISNUMBER(A225),IF(COUNTIF(祝日!$A:$A,A225)&gt;0,"祝",CHOOSE(WEEKDAY(A225,2),"月","火","水","木","金","土","日")),"")</f>
        <v/>
      </c>
      <c r="AA225" s="25" t="str">
        <f aca="false">IF(ISNUMBER(A225),IFERROR(INDEX(集計!$J$3:$J$33,MATCH(A225,集計!$B$3:$B$33,0)),0),"")</f>
        <v/>
      </c>
      <c r="AB225" s="25" t="str">
        <f aca="false">IF(ISNUMBER(A225),IFERROR(INDEX(設定!$F$4:$F$27,MATCH(K225,設定!$E$4:$E$27,0)),""),"")</f>
        <v/>
      </c>
    </row>
    <row r="226" customFormat="false" ht="15" hidden="false" customHeight="false" outlineLevel="0" collapsed="false">
      <c r="Z226" s="25" t="str">
        <f aca="false">IF(ISNUMBER(A226),IF(COUNTIF(祝日!$A:$A,A226)&gt;0,"祝",CHOOSE(WEEKDAY(A226,2),"月","火","水","木","金","土","日")),"")</f>
        <v/>
      </c>
      <c r="AA226" s="25" t="str">
        <f aca="false">IF(ISNUMBER(A226),IFERROR(INDEX(集計!$J$3:$J$33,MATCH(A226,集計!$B$3:$B$33,0)),0),"")</f>
        <v/>
      </c>
      <c r="AB226" s="25" t="str">
        <f aca="false">IF(ISNUMBER(A226),IFERROR(INDEX(設定!$F$4:$F$27,MATCH(K226,設定!$E$4:$E$27,0)),""),"")</f>
        <v/>
      </c>
    </row>
    <row r="227" customFormat="false" ht="15" hidden="false" customHeight="false" outlineLevel="0" collapsed="false">
      <c r="Z227" s="25" t="str">
        <f aca="false">IF(ISNUMBER(A227),IF(COUNTIF(祝日!$A:$A,A227)&gt;0,"祝",CHOOSE(WEEKDAY(A227,2),"月","火","水","木","金","土","日")),"")</f>
        <v/>
      </c>
      <c r="AA227" s="25" t="str">
        <f aca="false">IF(ISNUMBER(A227),IFERROR(INDEX(集計!$J$3:$J$33,MATCH(A227,集計!$B$3:$B$33,0)),0),"")</f>
        <v/>
      </c>
      <c r="AB227" s="25" t="str">
        <f aca="false">IF(ISNUMBER(A227),IFERROR(INDEX(設定!$F$4:$F$27,MATCH(K227,設定!$E$4:$E$27,0)),""),"")</f>
        <v/>
      </c>
    </row>
    <row r="228" customFormat="false" ht="15" hidden="false" customHeight="false" outlineLevel="0" collapsed="false">
      <c r="Z228" s="25" t="str">
        <f aca="false">IF(ISNUMBER(A228),IF(COUNTIF(祝日!$A:$A,A228)&gt;0,"祝",CHOOSE(WEEKDAY(A228,2),"月","火","水","木","金","土","日")),"")</f>
        <v/>
      </c>
      <c r="AA228" s="25" t="str">
        <f aca="false">IF(ISNUMBER(A228),IFERROR(INDEX(集計!$J$3:$J$33,MATCH(A228,集計!$B$3:$B$33,0)),0),"")</f>
        <v/>
      </c>
      <c r="AB228" s="25" t="str">
        <f aca="false">IF(ISNUMBER(A228),IFERROR(INDEX(設定!$F$4:$F$27,MATCH(K228,設定!$E$4:$E$27,0)),""),"")</f>
        <v/>
      </c>
    </row>
    <row r="229" customFormat="false" ht="15" hidden="false" customHeight="false" outlineLevel="0" collapsed="false">
      <c r="Z229" s="25" t="str">
        <f aca="false">IF(ISNUMBER(A229),IF(COUNTIF(祝日!$A:$A,A229)&gt;0,"祝",CHOOSE(WEEKDAY(A229,2),"月","火","水","木","金","土","日")),"")</f>
        <v/>
      </c>
      <c r="AA229" s="25" t="str">
        <f aca="false">IF(ISNUMBER(A229),IFERROR(INDEX(集計!$J$3:$J$33,MATCH(A229,集計!$B$3:$B$33,0)),0),"")</f>
        <v/>
      </c>
      <c r="AB229" s="25" t="str">
        <f aca="false">IF(ISNUMBER(A229),IFERROR(INDEX(設定!$F$4:$F$27,MATCH(K229,設定!$E$4:$E$27,0)),""),"")</f>
        <v/>
      </c>
    </row>
    <row r="230" customFormat="false" ht="15" hidden="false" customHeight="false" outlineLevel="0" collapsed="false">
      <c r="Z230" s="25" t="str">
        <f aca="false">IF(ISNUMBER(A230),IF(COUNTIF(祝日!$A:$A,A230)&gt;0,"祝",CHOOSE(WEEKDAY(A230,2),"月","火","水","木","金","土","日")),"")</f>
        <v/>
      </c>
      <c r="AA230" s="25" t="str">
        <f aca="false">IF(ISNUMBER(A230),IFERROR(INDEX(集計!$J$3:$J$33,MATCH(A230,集計!$B$3:$B$33,0)),0),"")</f>
        <v/>
      </c>
      <c r="AB230" s="25" t="str">
        <f aca="false">IF(ISNUMBER(A230),IFERROR(INDEX(設定!$F$4:$F$27,MATCH(K230,設定!$E$4:$E$27,0)),""),"")</f>
        <v/>
      </c>
    </row>
    <row r="231" customFormat="false" ht="15" hidden="false" customHeight="false" outlineLevel="0" collapsed="false">
      <c r="Z231" s="25" t="str">
        <f aca="false">IF(ISNUMBER(A231),IF(COUNTIF(祝日!$A:$A,A231)&gt;0,"祝",CHOOSE(WEEKDAY(A231,2),"月","火","水","木","金","土","日")),"")</f>
        <v/>
      </c>
      <c r="AA231" s="25" t="str">
        <f aca="false">IF(ISNUMBER(A231),IFERROR(INDEX(集計!$J$3:$J$33,MATCH(A231,集計!$B$3:$B$33,0)),0),"")</f>
        <v/>
      </c>
      <c r="AB231" s="25" t="str">
        <f aca="false">IF(ISNUMBER(A231),IFERROR(INDEX(設定!$F$4:$F$27,MATCH(K231,設定!$E$4:$E$27,0)),""),"")</f>
        <v/>
      </c>
    </row>
    <row r="232" customFormat="false" ht="15" hidden="false" customHeight="false" outlineLevel="0" collapsed="false">
      <c r="Z232" s="25" t="str">
        <f aca="false">IF(ISNUMBER(A232),IF(COUNTIF(祝日!$A:$A,A232)&gt;0,"祝",CHOOSE(WEEKDAY(A232,2),"月","火","水","木","金","土","日")),"")</f>
        <v/>
      </c>
      <c r="AA232" s="25" t="str">
        <f aca="false">IF(ISNUMBER(A232),IFERROR(INDEX(集計!$J$3:$J$33,MATCH(A232,集計!$B$3:$B$33,0)),0),"")</f>
        <v/>
      </c>
      <c r="AB232" s="25" t="str">
        <f aca="false">IF(ISNUMBER(A232),IFERROR(INDEX(設定!$F$4:$F$27,MATCH(K232,設定!$E$4:$E$27,0)),""),"")</f>
        <v/>
      </c>
    </row>
    <row r="233" customFormat="false" ht="15" hidden="false" customHeight="false" outlineLevel="0" collapsed="false">
      <c r="Z233" s="25" t="str">
        <f aca="false">IF(ISNUMBER(A233),IF(COUNTIF(祝日!$A:$A,A233)&gt;0,"祝",CHOOSE(WEEKDAY(A233,2),"月","火","水","木","金","土","日")),"")</f>
        <v/>
      </c>
      <c r="AA233" s="25" t="str">
        <f aca="false">IF(ISNUMBER(A233),IFERROR(INDEX(集計!$J$3:$J$33,MATCH(A233,集計!$B$3:$B$33,0)),0),"")</f>
        <v/>
      </c>
      <c r="AB233" s="25" t="str">
        <f aca="false">IF(ISNUMBER(A233),IFERROR(INDEX(設定!$F$4:$F$27,MATCH(K233,設定!$E$4:$E$27,0)),""),"")</f>
        <v/>
      </c>
    </row>
    <row r="234" customFormat="false" ht="15" hidden="false" customHeight="false" outlineLevel="0" collapsed="false">
      <c r="Z234" s="25" t="str">
        <f aca="false">IF(ISNUMBER(A234),IF(COUNTIF(祝日!$A:$A,A234)&gt;0,"祝",CHOOSE(WEEKDAY(A234,2),"月","火","水","木","金","土","日")),"")</f>
        <v/>
      </c>
      <c r="AA234" s="25" t="str">
        <f aca="false">IF(ISNUMBER(A234),IFERROR(INDEX(集計!$J$3:$J$33,MATCH(A234,集計!$B$3:$B$33,0)),0),"")</f>
        <v/>
      </c>
      <c r="AB234" s="25" t="str">
        <f aca="false">IF(ISNUMBER(A234),IFERROR(INDEX(設定!$F$4:$F$27,MATCH(K234,設定!$E$4:$E$27,0)),""),"")</f>
        <v/>
      </c>
    </row>
    <row r="235" customFormat="false" ht="15" hidden="false" customHeight="false" outlineLevel="0" collapsed="false">
      <c r="Z235" s="25" t="str">
        <f aca="false">IF(ISNUMBER(A235),IF(COUNTIF(祝日!$A:$A,A235)&gt;0,"祝",CHOOSE(WEEKDAY(A235,2),"月","火","水","木","金","土","日")),"")</f>
        <v/>
      </c>
      <c r="AA235" s="25" t="str">
        <f aca="false">IF(ISNUMBER(A235),IFERROR(INDEX(集計!$J$3:$J$33,MATCH(A235,集計!$B$3:$B$33,0)),0),"")</f>
        <v/>
      </c>
      <c r="AB235" s="25" t="str">
        <f aca="false">IF(ISNUMBER(A235),IFERROR(INDEX(設定!$F$4:$F$27,MATCH(K235,設定!$E$4:$E$27,0)),""),"")</f>
        <v/>
      </c>
    </row>
    <row r="236" customFormat="false" ht="15" hidden="false" customHeight="false" outlineLevel="0" collapsed="false">
      <c r="Z236" s="25" t="str">
        <f aca="false">IF(ISNUMBER(A236),IF(COUNTIF(祝日!$A:$A,A236)&gt;0,"祝",CHOOSE(WEEKDAY(A236,2),"月","火","水","木","金","土","日")),"")</f>
        <v/>
      </c>
      <c r="AA236" s="25" t="str">
        <f aca="false">IF(ISNUMBER(A236),IFERROR(INDEX(集計!$J$3:$J$33,MATCH(A236,集計!$B$3:$B$33,0)),0),"")</f>
        <v/>
      </c>
      <c r="AB236" s="25" t="str">
        <f aca="false">IF(ISNUMBER(A236),IFERROR(INDEX(設定!$F$4:$F$27,MATCH(K236,設定!$E$4:$E$27,0)),""),"")</f>
        <v/>
      </c>
    </row>
    <row r="237" customFormat="false" ht="15" hidden="false" customHeight="false" outlineLevel="0" collapsed="false">
      <c r="Z237" s="25" t="str">
        <f aca="false">IF(ISNUMBER(A237),IF(COUNTIF(祝日!$A:$A,A237)&gt;0,"祝",CHOOSE(WEEKDAY(A237,2),"月","火","水","木","金","土","日")),"")</f>
        <v/>
      </c>
      <c r="AA237" s="25" t="str">
        <f aca="false">IF(ISNUMBER(A237),IFERROR(INDEX(集計!$J$3:$J$33,MATCH(A237,集計!$B$3:$B$33,0)),0),"")</f>
        <v/>
      </c>
      <c r="AB237" s="25" t="str">
        <f aca="false">IF(ISNUMBER(A237),IFERROR(INDEX(設定!$F$4:$F$27,MATCH(K237,設定!$E$4:$E$27,0)),""),"")</f>
        <v/>
      </c>
    </row>
    <row r="238" customFormat="false" ht="15" hidden="false" customHeight="false" outlineLevel="0" collapsed="false">
      <c r="Z238" s="25" t="str">
        <f aca="false">IF(ISNUMBER(A238),IF(COUNTIF(祝日!$A:$A,A238)&gt;0,"祝",CHOOSE(WEEKDAY(A238,2),"月","火","水","木","金","土","日")),"")</f>
        <v/>
      </c>
      <c r="AA238" s="25" t="str">
        <f aca="false">IF(ISNUMBER(A238),IFERROR(INDEX(集計!$J$3:$J$33,MATCH(A238,集計!$B$3:$B$33,0)),0),"")</f>
        <v/>
      </c>
      <c r="AB238" s="25" t="str">
        <f aca="false">IF(ISNUMBER(A238),IFERROR(INDEX(設定!$F$4:$F$27,MATCH(K238,設定!$E$4:$E$27,0)),""),"")</f>
        <v/>
      </c>
    </row>
    <row r="239" customFormat="false" ht="15" hidden="false" customHeight="false" outlineLevel="0" collapsed="false">
      <c r="Z239" s="25" t="str">
        <f aca="false">IF(ISNUMBER(A239),IF(COUNTIF(祝日!$A:$A,A239)&gt;0,"祝",CHOOSE(WEEKDAY(A239,2),"月","火","水","木","金","土","日")),"")</f>
        <v/>
      </c>
      <c r="AA239" s="25" t="str">
        <f aca="false">IF(ISNUMBER(A239),IFERROR(INDEX(集計!$J$3:$J$33,MATCH(A239,集計!$B$3:$B$33,0)),0),"")</f>
        <v/>
      </c>
      <c r="AB239" s="25" t="str">
        <f aca="false">IF(ISNUMBER(A239),IFERROR(INDEX(設定!$F$4:$F$27,MATCH(K239,設定!$E$4:$E$27,0)),""),"")</f>
        <v/>
      </c>
    </row>
    <row r="240" customFormat="false" ht="15" hidden="false" customHeight="false" outlineLevel="0" collapsed="false">
      <c r="Z240" s="25" t="str">
        <f aca="false">IF(ISNUMBER(A240),IF(COUNTIF(祝日!$A:$A,A240)&gt;0,"祝",CHOOSE(WEEKDAY(A240,2),"月","火","水","木","金","土","日")),"")</f>
        <v/>
      </c>
      <c r="AA240" s="25" t="str">
        <f aca="false">IF(ISNUMBER(A240),IFERROR(INDEX(集計!$J$3:$J$33,MATCH(A240,集計!$B$3:$B$33,0)),0),"")</f>
        <v/>
      </c>
      <c r="AB240" s="25" t="str">
        <f aca="false">IF(ISNUMBER(A240),IFERROR(INDEX(設定!$F$4:$F$27,MATCH(K240,設定!$E$4:$E$27,0)),""),"")</f>
        <v/>
      </c>
    </row>
    <row r="241" customFormat="false" ht="15" hidden="false" customHeight="false" outlineLevel="0" collapsed="false">
      <c r="Z241" s="25" t="str">
        <f aca="false">IF(ISNUMBER(A241),IF(COUNTIF(祝日!$A:$A,A241)&gt;0,"祝",CHOOSE(WEEKDAY(A241,2),"月","火","水","木","金","土","日")),"")</f>
        <v/>
      </c>
      <c r="AA241" s="25" t="str">
        <f aca="false">IF(ISNUMBER(A241),IFERROR(INDEX(集計!$J$3:$J$33,MATCH(A241,集計!$B$3:$B$33,0)),0),"")</f>
        <v/>
      </c>
      <c r="AB241" s="25" t="str">
        <f aca="false">IF(ISNUMBER(A241),IFERROR(INDEX(設定!$F$4:$F$27,MATCH(K241,設定!$E$4:$E$27,0)),""),"")</f>
        <v/>
      </c>
    </row>
    <row r="242" customFormat="false" ht="15" hidden="false" customHeight="false" outlineLevel="0" collapsed="false">
      <c r="Z242" s="25" t="str">
        <f aca="false">IF(ISNUMBER(A242),IF(COUNTIF(祝日!$A:$A,A242)&gt;0,"祝",CHOOSE(WEEKDAY(A242,2),"月","火","水","木","金","土","日")),"")</f>
        <v/>
      </c>
      <c r="AA242" s="25" t="str">
        <f aca="false">IF(ISNUMBER(A242),IFERROR(INDEX(集計!$J$3:$J$33,MATCH(A242,集計!$B$3:$B$33,0)),0),"")</f>
        <v/>
      </c>
      <c r="AB242" s="25" t="str">
        <f aca="false">IF(ISNUMBER(A242),IFERROR(INDEX(設定!$F$4:$F$27,MATCH(K242,設定!$E$4:$E$27,0)),""),"")</f>
        <v/>
      </c>
    </row>
    <row r="243" customFormat="false" ht="15" hidden="false" customHeight="false" outlineLevel="0" collapsed="false">
      <c r="Z243" s="25" t="str">
        <f aca="false">IF(ISNUMBER(A243),IF(COUNTIF(祝日!$A:$A,A243)&gt;0,"祝",CHOOSE(WEEKDAY(A243,2),"月","火","水","木","金","土","日")),"")</f>
        <v/>
      </c>
      <c r="AA243" s="25" t="str">
        <f aca="false">IF(ISNUMBER(A243),IFERROR(INDEX(集計!$J$3:$J$33,MATCH(A243,集計!$B$3:$B$33,0)),0),"")</f>
        <v/>
      </c>
      <c r="AB243" s="25" t="str">
        <f aca="false">IF(ISNUMBER(A243),IFERROR(INDEX(設定!$F$4:$F$27,MATCH(K243,設定!$E$4:$E$27,0)),""),"")</f>
        <v/>
      </c>
    </row>
    <row r="244" customFormat="false" ht="15" hidden="false" customHeight="false" outlineLevel="0" collapsed="false">
      <c r="Z244" s="25" t="str">
        <f aca="false">IF(ISNUMBER(A244),IF(COUNTIF(祝日!$A:$A,A244)&gt;0,"祝",CHOOSE(WEEKDAY(A244,2),"月","火","水","木","金","土","日")),"")</f>
        <v/>
      </c>
      <c r="AA244" s="25" t="str">
        <f aca="false">IF(ISNUMBER(A244),IFERROR(INDEX(集計!$J$3:$J$33,MATCH(A244,集計!$B$3:$B$33,0)),0),"")</f>
        <v/>
      </c>
      <c r="AB244" s="25" t="str">
        <f aca="false">IF(ISNUMBER(A244),IFERROR(INDEX(設定!$F$4:$F$27,MATCH(K244,設定!$E$4:$E$27,0)),""),"")</f>
        <v/>
      </c>
    </row>
    <row r="245" customFormat="false" ht="15" hidden="false" customHeight="false" outlineLevel="0" collapsed="false">
      <c r="Z245" s="25" t="str">
        <f aca="false">IF(ISNUMBER(A245),IF(COUNTIF(祝日!$A:$A,A245)&gt;0,"祝",CHOOSE(WEEKDAY(A245,2),"月","火","水","木","金","土","日")),"")</f>
        <v/>
      </c>
      <c r="AA245" s="25" t="str">
        <f aca="false">IF(ISNUMBER(A245),IFERROR(INDEX(集計!$J$3:$J$33,MATCH(A245,集計!$B$3:$B$33,0)),0),"")</f>
        <v/>
      </c>
      <c r="AB245" s="25" t="str">
        <f aca="false">IF(ISNUMBER(A245),IFERROR(INDEX(設定!$F$4:$F$27,MATCH(K245,設定!$E$4:$E$27,0)),""),"")</f>
        <v/>
      </c>
    </row>
    <row r="246" customFormat="false" ht="15" hidden="false" customHeight="false" outlineLevel="0" collapsed="false">
      <c r="Z246" s="25" t="str">
        <f aca="false">IF(ISNUMBER(A246),IF(COUNTIF(祝日!$A:$A,A246)&gt;0,"祝",CHOOSE(WEEKDAY(A246,2),"月","火","水","木","金","土","日")),"")</f>
        <v/>
      </c>
      <c r="AA246" s="25" t="str">
        <f aca="false">IF(ISNUMBER(A246),IFERROR(INDEX(集計!$J$3:$J$33,MATCH(A246,集計!$B$3:$B$33,0)),0),"")</f>
        <v/>
      </c>
      <c r="AB246" s="25" t="str">
        <f aca="false">IF(ISNUMBER(A246),IFERROR(INDEX(設定!$F$4:$F$27,MATCH(K246,設定!$E$4:$E$27,0)),""),"")</f>
        <v/>
      </c>
    </row>
    <row r="247" customFormat="false" ht="15" hidden="false" customHeight="false" outlineLevel="0" collapsed="false">
      <c r="Z247" s="25" t="str">
        <f aca="false">IF(ISNUMBER(A247),IF(COUNTIF(祝日!$A:$A,A247)&gt;0,"祝",CHOOSE(WEEKDAY(A247,2),"月","火","水","木","金","土","日")),"")</f>
        <v/>
      </c>
      <c r="AA247" s="25" t="str">
        <f aca="false">IF(ISNUMBER(A247),IFERROR(INDEX(集計!$J$3:$J$33,MATCH(A247,集計!$B$3:$B$33,0)),0),"")</f>
        <v/>
      </c>
      <c r="AB247" s="25" t="str">
        <f aca="false">IF(ISNUMBER(A247),IFERROR(INDEX(設定!$F$4:$F$27,MATCH(K247,設定!$E$4:$E$27,0)),""),"")</f>
        <v/>
      </c>
    </row>
    <row r="248" customFormat="false" ht="15" hidden="false" customHeight="false" outlineLevel="0" collapsed="false">
      <c r="Z248" s="25" t="str">
        <f aca="false">IF(ISNUMBER(A248),IF(COUNTIF(祝日!$A:$A,A248)&gt;0,"祝",CHOOSE(WEEKDAY(A248,2),"月","火","水","木","金","土","日")),"")</f>
        <v/>
      </c>
      <c r="AA248" s="25" t="str">
        <f aca="false">IF(ISNUMBER(A248),IFERROR(INDEX(集計!$J$3:$J$33,MATCH(A248,集計!$B$3:$B$33,0)),0),"")</f>
        <v/>
      </c>
      <c r="AB248" s="25" t="str">
        <f aca="false">IF(ISNUMBER(A248),IFERROR(INDEX(設定!$F$4:$F$27,MATCH(K248,設定!$E$4:$E$27,0)),""),"")</f>
        <v/>
      </c>
    </row>
    <row r="249" customFormat="false" ht="15" hidden="false" customHeight="false" outlineLevel="0" collapsed="false">
      <c r="Z249" s="25" t="str">
        <f aca="false">IF(ISNUMBER(A249),IF(COUNTIF(祝日!$A:$A,A249)&gt;0,"祝",CHOOSE(WEEKDAY(A249,2),"月","火","水","木","金","土","日")),"")</f>
        <v/>
      </c>
      <c r="AA249" s="25" t="str">
        <f aca="false">IF(ISNUMBER(A249),IFERROR(INDEX(集計!$J$3:$J$33,MATCH(A249,集計!$B$3:$B$33,0)),0),"")</f>
        <v/>
      </c>
      <c r="AB249" s="25" t="str">
        <f aca="false">IF(ISNUMBER(A249),IFERROR(INDEX(設定!$F$4:$F$27,MATCH(K249,設定!$E$4:$E$27,0)),""),"")</f>
        <v/>
      </c>
    </row>
    <row r="250" customFormat="false" ht="15" hidden="false" customHeight="false" outlineLevel="0" collapsed="false">
      <c r="Z250" s="25" t="str">
        <f aca="false">IF(ISNUMBER(A250),IF(COUNTIF(祝日!$A:$A,A250)&gt;0,"祝",CHOOSE(WEEKDAY(A250,2),"月","火","水","木","金","土","日")),"")</f>
        <v/>
      </c>
      <c r="AA250" s="25" t="str">
        <f aca="false">IF(ISNUMBER(A250),IFERROR(INDEX(集計!$J$3:$J$33,MATCH(A250,集計!$B$3:$B$33,0)),0),"")</f>
        <v/>
      </c>
      <c r="AB250" s="25" t="str">
        <f aca="false">IF(ISNUMBER(A250),IFERROR(INDEX(設定!$F$4:$F$27,MATCH(K250,設定!$E$4:$E$27,0)),""),"")</f>
        <v/>
      </c>
    </row>
    <row r="251" customFormat="false" ht="15" hidden="false" customHeight="false" outlineLevel="0" collapsed="false">
      <c r="Z251" s="25" t="str">
        <f aca="false">IF(ISNUMBER(A251),IF(COUNTIF(祝日!$A:$A,A251)&gt;0,"祝",CHOOSE(WEEKDAY(A251,2),"月","火","水","木","金","土","日")),"")</f>
        <v/>
      </c>
      <c r="AA251" s="25" t="str">
        <f aca="false">IF(ISNUMBER(A251),IFERROR(INDEX(集計!$J$3:$J$33,MATCH(A251,集計!$B$3:$B$33,0)),0),"")</f>
        <v/>
      </c>
      <c r="AB251" s="25" t="str">
        <f aca="false">IF(ISNUMBER(A251),IFERROR(INDEX(設定!$F$4:$F$27,MATCH(K251,設定!$E$4:$E$27,0)),""),"")</f>
        <v/>
      </c>
    </row>
    <row r="252" customFormat="false" ht="15" hidden="false" customHeight="false" outlineLevel="0" collapsed="false">
      <c r="Z252" s="25" t="str">
        <f aca="false">IF(ISNUMBER(A252),IF(COUNTIF(祝日!$A:$A,A252)&gt;0,"祝",CHOOSE(WEEKDAY(A252,2),"月","火","水","木","金","土","日")),"")</f>
        <v/>
      </c>
      <c r="AA252" s="25" t="str">
        <f aca="false">IF(ISNUMBER(A252),IFERROR(INDEX(集計!$J$3:$J$33,MATCH(A252,集計!$B$3:$B$33,0)),0),"")</f>
        <v/>
      </c>
      <c r="AB252" s="25" t="str">
        <f aca="false">IF(ISNUMBER(A252),IFERROR(INDEX(設定!$F$4:$F$27,MATCH(K252,設定!$E$4:$E$27,0)),""),"")</f>
        <v/>
      </c>
    </row>
    <row r="253" customFormat="false" ht="15" hidden="false" customHeight="false" outlineLevel="0" collapsed="false">
      <c r="Z253" s="25" t="str">
        <f aca="false">IF(ISNUMBER(A253),IF(COUNTIF(祝日!$A:$A,A253)&gt;0,"祝",CHOOSE(WEEKDAY(A253,2),"月","火","水","木","金","土","日")),"")</f>
        <v/>
      </c>
      <c r="AA253" s="25" t="str">
        <f aca="false">IF(ISNUMBER(A253),IFERROR(INDEX(集計!$J$3:$J$33,MATCH(A253,集計!$B$3:$B$33,0)),0),"")</f>
        <v/>
      </c>
      <c r="AB253" s="25" t="str">
        <f aca="false">IF(ISNUMBER(A253),IFERROR(INDEX(設定!$F$4:$F$27,MATCH(K253,設定!$E$4:$E$27,0)),""),"")</f>
        <v/>
      </c>
    </row>
    <row r="254" customFormat="false" ht="15" hidden="false" customHeight="false" outlineLevel="0" collapsed="false">
      <c r="Z254" s="25" t="str">
        <f aca="false">IF(ISNUMBER(A254),IF(COUNTIF(祝日!$A:$A,A254)&gt;0,"祝",CHOOSE(WEEKDAY(A254,2),"月","火","水","木","金","土","日")),"")</f>
        <v/>
      </c>
      <c r="AA254" s="25" t="str">
        <f aca="false">IF(ISNUMBER(A254),IFERROR(INDEX(集計!$J$3:$J$33,MATCH(A254,集計!$B$3:$B$33,0)),0),"")</f>
        <v/>
      </c>
      <c r="AB254" s="25" t="str">
        <f aca="false">IF(ISNUMBER(A254),IFERROR(INDEX(設定!$F$4:$F$27,MATCH(K254,設定!$E$4:$E$27,0)),""),"")</f>
        <v/>
      </c>
    </row>
    <row r="255" customFormat="false" ht="15" hidden="false" customHeight="false" outlineLevel="0" collapsed="false">
      <c r="Z255" s="25" t="str">
        <f aca="false">IF(ISNUMBER(A255),IF(COUNTIF(祝日!$A:$A,A255)&gt;0,"祝",CHOOSE(WEEKDAY(A255,2),"月","火","水","木","金","土","日")),"")</f>
        <v/>
      </c>
      <c r="AA255" s="25" t="str">
        <f aca="false">IF(ISNUMBER(A255),IFERROR(INDEX(集計!$J$3:$J$33,MATCH(A255,集計!$B$3:$B$33,0)),0),"")</f>
        <v/>
      </c>
      <c r="AB255" s="25" t="str">
        <f aca="false">IF(ISNUMBER(A255),IFERROR(INDEX(設定!$F$4:$F$27,MATCH(K255,設定!$E$4:$E$27,0)),""),"")</f>
        <v/>
      </c>
    </row>
    <row r="256" customFormat="false" ht="15" hidden="false" customHeight="false" outlineLevel="0" collapsed="false">
      <c r="Z256" s="25" t="str">
        <f aca="false">IF(ISNUMBER(A256),IF(COUNTIF(祝日!$A:$A,A256)&gt;0,"祝",CHOOSE(WEEKDAY(A256,2),"月","火","水","木","金","土","日")),"")</f>
        <v/>
      </c>
      <c r="AA256" s="25" t="str">
        <f aca="false">IF(ISNUMBER(A256),IFERROR(INDEX(集計!$J$3:$J$33,MATCH(A256,集計!$B$3:$B$33,0)),0),"")</f>
        <v/>
      </c>
      <c r="AB256" s="25" t="str">
        <f aca="false">IF(ISNUMBER(A256),IFERROR(INDEX(設定!$F$4:$F$27,MATCH(K256,設定!$E$4:$E$27,0)),""),"")</f>
        <v/>
      </c>
    </row>
    <row r="257" customFormat="false" ht="15" hidden="false" customHeight="false" outlineLevel="0" collapsed="false">
      <c r="Z257" s="25" t="str">
        <f aca="false">IF(ISNUMBER(A257),IF(COUNTIF(祝日!$A:$A,A257)&gt;0,"祝",CHOOSE(WEEKDAY(A257,2),"月","火","水","木","金","土","日")),"")</f>
        <v/>
      </c>
      <c r="AA257" s="25" t="str">
        <f aca="false">IF(ISNUMBER(A257),IFERROR(INDEX(集計!$J$3:$J$33,MATCH(A257,集計!$B$3:$B$33,0)),0),"")</f>
        <v/>
      </c>
      <c r="AB257" s="25" t="str">
        <f aca="false">IF(ISNUMBER(A257),IFERROR(INDEX(設定!$F$4:$F$27,MATCH(K257,設定!$E$4:$E$27,0)),""),"")</f>
        <v/>
      </c>
    </row>
    <row r="258" customFormat="false" ht="15" hidden="false" customHeight="false" outlineLevel="0" collapsed="false">
      <c r="Z258" s="25" t="str">
        <f aca="false">IF(ISNUMBER(A258),IF(COUNTIF(祝日!$A:$A,A258)&gt;0,"祝",CHOOSE(WEEKDAY(A258,2),"月","火","水","木","金","土","日")),"")</f>
        <v/>
      </c>
      <c r="AA258" s="25" t="str">
        <f aca="false">IF(ISNUMBER(A258),IFERROR(INDEX(集計!$J$3:$J$33,MATCH(A258,集計!$B$3:$B$33,0)),0),"")</f>
        <v/>
      </c>
      <c r="AB258" s="25" t="str">
        <f aca="false">IF(ISNUMBER(A258),IFERROR(INDEX(設定!$F$4:$F$27,MATCH(K258,設定!$E$4:$E$27,0)),""),"")</f>
        <v/>
      </c>
    </row>
    <row r="259" customFormat="false" ht="15" hidden="false" customHeight="false" outlineLevel="0" collapsed="false">
      <c r="Z259" s="25" t="str">
        <f aca="false">IF(ISNUMBER(A259),IF(COUNTIF(祝日!$A:$A,A259)&gt;0,"祝",CHOOSE(WEEKDAY(A259,2),"月","火","水","木","金","土","日")),"")</f>
        <v/>
      </c>
      <c r="AA259" s="25" t="str">
        <f aca="false">IF(ISNUMBER(A259),IFERROR(INDEX(集計!$J$3:$J$33,MATCH(A259,集計!$B$3:$B$33,0)),0),"")</f>
        <v/>
      </c>
      <c r="AB259" s="25" t="str">
        <f aca="false">IF(ISNUMBER(A259),IFERROR(INDEX(設定!$F$4:$F$27,MATCH(K259,設定!$E$4:$E$27,0)),""),"")</f>
        <v/>
      </c>
    </row>
    <row r="260" customFormat="false" ht="15" hidden="false" customHeight="false" outlineLevel="0" collapsed="false">
      <c r="Z260" s="25" t="str">
        <f aca="false">IF(ISNUMBER(A260),IF(COUNTIF(祝日!$A:$A,A260)&gt;0,"祝",CHOOSE(WEEKDAY(A260,2),"月","火","水","木","金","土","日")),"")</f>
        <v/>
      </c>
      <c r="AA260" s="25" t="str">
        <f aca="false">IF(ISNUMBER(A260),IFERROR(INDEX(集計!$J$3:$J$33,MATCH(A260,集計!$B$3:$B$33,0)),0),"")</f>
        <v/>
      </c>
      <c r="AB260" s="25" t="str">
        <f aca="false">IF(ISNUMBER(A260),IFERROR(INDEX(設定!$F$4:$F$27,MATCH(K260,設定!$E$4:$E$27,0)),""),"")</f>
        <v/>
      </c>
    </row>
    <row r="261" customFormat="false" ht="15" hidden="false" customHeight="false" outlineLevel="0" collapsed="false">
      <c r="Z261" s="25" t="str">
        <f aca="false">IF(ISNUMBER(A261),IF(COUNTIF(祝日!$A:$A,A261)&gt;0,"祝",CHOOSE(WEEKDAY(A261,2),"月","火","水","木","金","土","日")),"")</f>
        <v/>
      </c>
      <c r="AA261" s="25" t="str">
        <f aca="false">IF(ISNUMBER(A261),IFERROR(INDEX(集計!$J$3:$J$33,MATCH(A261,集計!$B$3:$B$33,0)),0),"")</f>
        <v/>
      </c>
      <c r="AB261" s="25" t="str">
        <f aca="false">IF(ISNUMBER(A261),IFERROR(INDEX(設定!$F$4:$F$27,MATCH(K261,設定!$E$4:$E$27,0)),""),"")</f>
        <v/>
      </c>
    </row>
    <row r="262" customFormat="false" ht="15" hidden="false" customHeight="false" outlineLevel="0" collapsed="false">
      <c r="Z262" s="25" t="str">
        <f aca="false">IF(ISNUMBER(A262),IF(COUNTIF(祝日!$A:$A,A262)&gt;0,"祝",CHOOSE(WEEKDAY(A262,2),"月","火","水","木","金","土","日")),"")</f>
        <v/>
      </c>
      <c r="AA262" s="25" t="str">
        <f aca="false">IF(ISNUMBER(A262),IFERROR(INDEX(集計!$J$3:$J$33,MATCH(A262,集計!$B$3:$B$33,0)),0),"")</f>
        <v/>
      </c>
      <c r="AB262" s="25" t="str">
        <f aca="false">IF(ISNUMBER(A262),IFERROR(INDEX(設定!$F$4:$F$27,MATCH(K262,設定!$E$4:$E$27,0)),""),"")</f>
        <v/>
      </c>
    </row>
    <row r="263" customFormat="false" ht="15" hidden="false" customHeight="false" outlineLevel="0" collapsed="false">
      <c r="Z263" s="25" t="str">
        <f aca="false">IF(ISNUMBER(A263),IF(COUNTIF(祝日!$A:$A,A263)&gt;0,"祝",CHOOSE(WEEKDAY(A263,2),"月","火","水","木","金","土","日")),"")</f>
        <v/>
      </c>
      <c r="AA263" s="25" t="str">
        <f aca="false">IF(ISNUMBER(A263),IFERROR(INDEX(集計!$J$3:$J$33,MATCH(A263,集計!$B$3:$B$33,0)),0),"")</f>
        <v/>
      </c>
      <c r="AB263" s="25" t="str">
        <f aca="false">IF(ISNUMBER(A263),IFERROR(INDEX(設定!$F$4:$F$27,MATCH(K263,設定!$E$4:$E$27,0)),""),"")</f>
        <v/>
      </c>
    </row>
    <row r="264" customFormat="false" ht="15" hidden="false" customHeight="false" outlineLevel="0" collapsed="false">
      <c r="Z264" s="25" t="str">
        <f aca="false">IF(ISNUMBER(A264),IF(COUNTIF(祝日!$A:$A,A264)&gt;0,"祝",CHOOSE(WEEKDAY(A264,2),"月","火","水","木","金","土","日")),"")</f>
        <v/>
      </c>
      <c r="AA264" s="25" t="str">
        <f aca="false">IF(ISNUMBER(A264),IFERROR(INDEX(集計!$J$3:$J$33,MATCH(A264,集計!$B$3:$B$33,0)),0),"")</f>
        <v/>
      </c>
      <c r="AB264" s="25" t="str">
        <f aca="false">IF(ISNUMBER(A264),IFERROR(INDEX(設定!$F$4:$F$27,MATCH(K264,設定!$E$4:$E$27,0)),""),"")</f>
        <v/>
      </c>
    </row>
    <row r="265" customFormat="false" ht="15" hidden="false" customHeight="false" outlineLevel="0" collapsed="false">
      <c r="Z265" s="25" t="str">
        <f aca="false">IF(ISNUMBER(A265),IF(COUNTIF(祝日!$A:$A,A265)&gt;0,"祝",CHOOSE(WEEKDAY(A265,2),"月","火","水","木","金","土","日")),"")</f>
        <v/>
      </c>
      <c r="AA265" s="25" t="str">
        <f aca="false">IF(ISNUMBER(A265),IFERROR(INDEX(集計!$J$3:$J$33,MATCH(A265,集計!$B$3:$B$33,0)),0),"")</f>
        <v/>
      </c>
      <c r="AB265" s="25" t="str">
        <f aca="false">IF(ISNUMBER(A265),IFERROR(INDEX(設定!$F$4:$F$27,MATCH(K265,設定!$E$4:$E$27,0)),""),"")</f>
        <v/>
      </c>
    </row>
    <row r="266" customFormat="false" ht="15" hidden="false" customHeight="false" outlineLevel="0" collapsed="false">
      <c r="Z266" s="25" t="str">
        <f aca="false">IF(ISNUMBER(A266),IF(COUNTIF(祝日!$A:$A,A266)&gt;0,"祝",CHOOSE(WEEKDAY(A266,2),"月","火","水","木","金","土","日")),"")</f>
        <v/>
      </c>
      <c r="AA266" s="25" t="str">
        <f aca="false">IF(ISNUMBER(A266),IFERROR(INDEX(集計!$J$3:$J$33,MATCH(A266,集計!$B$3:$B$33,0)),0),"")</f>
        <v/>
      </c>
      <c r="AB266" s="25" t="str">
        <f aca="false">IF(ISNUMBER(A266),IFERROR(INDEX(設定!$F$4:$F$27,MATCH(K266,設定!$E$4:$E$27,0)),""),"")</f>
        <v/>
      </c>
    </row>
    <row r="267" customFormat="false" ht="15" hidden="false" customHeight="false" outlineLevel="0" collapsed="false">
      <c r="Z267" s="25" t="str">
        <f aca="false">IF(ISNUMBER(A267),IF(COUNTIF(祝日!$A:$A,A267)&gt;0,"祝",CHOOSE(WEEKDAY(A267,2),"月","火","水","木","金","土","日")),"")</f>
        <v/>
      </c>
      <c r="AA267" s="25" t="str">
        <f aca="false">IF(ISNUMBER(A267),IFERROR(INDEX(集計!$J$3:$J$33,MATCH(A267,集計!$B$3:$B$33,0)),0),"")</f>
        <v/>
      </c>
      <c r="AB267" s="25" t="str">
        <f aca="false">IF(ISNUMBER(A267),IFERROR(INDEX(設定!$F$4:$F$27,MATCH(K267,設定!$E$4:$E$27,0)),""),"")</f>
        <v/>
      </c>
    </row>
    <row r="268" customFormat="false" ht="15" hidden="false" customHeight="false" outlineLevel="0" collapsed="false">
      <c r="Z268" s="25" t="str">
        <f aca="false">IF(ISNUMBER(A268),IF(COUNTIF(祝日!$A:$A,A268)&gt;0,"祝",CHOOSE(WEEKDAY(A268,2),"月","火","水","木","金","土","日")),"")</f>
        <v/>
      </c>
      <c r="AA268" s="25" t="str">
        <f aca="false">IF(ISNUMBER(A268),IFERROR(INDEX(集計!$J$3:$J$33,MATCH(A268,集計!$B$3:$B$33,0)),0),"")</f>
        <v/>
      </c>
      <c r="AB268" s="25" t="str">
        <f aca="false">IF(ISNUMBER(A268),IFERROR(INDEX(設定!$F$4:$F$27,MATCH(K268,設定!$E$4:$E$27,0)),""),"")</f>
        <v/>
      </c>
    </row>
    <row r="269" customFormat="false" ht="15" hidden="false" customHeight="false" outlineLevel="0" collapsed="false">
      <c r="Z269" s="25" t="str">
        <f aca="false">IF(ISNUMBER(A269),IF(COUNTIF(祝日!$A:$A,A269)&gt;0,"祝",CHOOSE(WEEKDAY(A269,2),"月","火","水","木","金","土","日")),"")</f>
        <v/>
      </c>
      <c r="AA269" s="25" t="str">
        <f aca="false">IF(ISNUMBER(A269),IFERROR(INDEX(集計!$J$3:$J$33,MATCH(A269,集計!$B$3:$B$33,0)),0),"")</f>
        <v/>
      </c>
      <c r="AB269" s="25" t="str">
        <f aca="false">IF(ISNUMBER(A269),IFERROR(INDEX(設定!$F$4:$F$27,MATCH(K269,設定!$E$4:$E$27,0)),""),"")</f>
        <v/>
      </c>
    </row>
    <row r="270" customFormat="false" ht="15" hidden="false" customHeight="false" outlineLevel="0" collapsed="false">
      <c r="Z270" s="25" t="str">
        <f aca="false">IF(ISNUMBER(A270),IF(COUNTIF(祝日!$A:$A,A270)&gt;0,"祝",CHOOSE(WEEKDAY(A270,2),"月","火","水","木","金","土","日")),"")</f>
        <v/>
      </c>
      <c r="AA270" s="25" t="str">
        <f aca="false">IF(ISNUMBER(A270),IFERROR(INDEX(集計!$J$3:$J$33,MATCH(A270,集計!$B$3:$B$33,0)),0),"")</f>
        <v/>
      </c>
      <c r="AB270" s="25" t="str">
        <f aca="false">IF(ISNUMBER(A270),IFERROR(INDEX(設定!$F$4:$F$27,MATCH(K270,設定!$E$4:$E$27,0)),""),"")</f>
        <v/>
      </c>
    </row>
    <row r="271" customFormat="false" ht="15" hidden="false" customHeight="false" outlineLevel="0" collapsed="false">
      <c r="Z271" s="25" t="str">
        <f aca="false">IF(ISNUMBER(A271),IF(COUNTIF(祝日!$A:$A,A271)&gt;0,"祝",CHOOSE(WEEKDAY(A271,2),"月","火","水","木","金","土","日")),"")</f>
        <v/>
      </c>
      <c r="AA271" s="25" t="str">
        <f aca="false">IF(ISNUMBER(A271),IFERROR(INDEX(集計!$J$3:$J$33,MATCH(A271,集計!$B$3:$B$33,0)),0),"")</f>
        <v/>
      </c>
      <c r="AB271" s="25" t="str">
        <f aca="false">IF(ISNUMBER(A271),IFERROR(INDEX(設定!$F$4:$F$27,MATCH(K271,設定!$E$4:$E$27,0)),""),"")</f>
        <v/>
      </c>
    </row>
    <row r="272" customFormat="false" ht="15" hidden="false" customHeight="false" outlineLevel="0" collapsed="false">
      <c r="Z272" s="25" t="str">
        <f aca="false">IF(ISNUMBER(A272),IF(COUNTIF(祝日!$A:$A,A272)&gt;0,"祝",CHOOSE(WEEKDAY(A272,2),"月","火","水","木","金","土","日")),"")</f>
        <v/>
      </c>
      <c r="AA272" s="25" t="str">
        <f aca="false">IF(ISNUMBER(A272),IFERROR(INDEX(集計!$J$3:$J$33,MATCH(A272,集計!$B$3:$B$33,0)),0),"")</f>
        <v/>
      </c>
      <c r="AB272" s="25" t="str">
        <f aca="false">IF(ISNUMBER(A272),IFERROR(INDEX(設定!$F$4:$F$27,MATCH(K272,設定!$E$4:$E$27,0)),""),"")</f>
        <v/>
      </c>
    </row>
    <row r="273" customFormat="false" ht="15" hidden="false" customHeight="false" outlineLevel="0" collapsed="false">
      <c r="Z273" s="25" t="str">
        <f aca="false">IF(ISNUMBER(A273),IF(COUNTIF(祝日!$A:$A,A273)&gt;0,"祝",CHOOSE(WEEKDAY(A273,2),"月","火","水","木","金","土","日")),"")</f>
        <v/>
      </c>
      <c r="AA273" s="25" t="str">
        <f aca="false">IF(ISNUMBER(A273),IFERROR(INDEX(集計!$J$3:$J$33,MATCH(A273,集計!$B$3:$B$33,0)),0),"")</f>
        <v/>
      </c>
      <c r="AB273" s="25" t="str">
        <f aca="false">IF(ISNUMBER(A273),IFERROR(INDEX(設定!$F$4:$F$27,MATCH(K273,設定!$E$4:$E$27,0)),""),"")</f>
        <v/>
      </c>
    </row>
    <row r="274" customFormat="false" ht="15" hidden="false" customHeight="false" outlineLevel="0" collapsed="false">
      <c r="Z274" s="25" t="str">
        <f aca="false">IF(ISNUMBER(A274),IF(COUNTIF(祝日!$A:$A,A274)&gt;0,"祝",CHOOSE(WEEKDAY(A274,2),"月","火","水","木","金","土","日")),"")</f>
        <v/>
      </c>
      <c r="AA274" s="25" t="str">
        <f aca="false">IF(ISNUMBER(A274),IFERROR(INDEX(集計!$J$3:$J$33,MATCH(A274,集計!$B$3:$B$33,0)),0),"")</f>
        <v/>
      </c>
      <c r="AB274" s="25" t="str">
        <f aca="false">IF(ISNUMBER(A274),IFERROR(INDEX(設定!$F$4:$F$27,MATCH(K274,設定!$E$4:$E$27,0)),""),"")</f>
        <v/>
      </c>
    </row>
    <row r="275" customFormat="false" ht="15" hidden="false" customHeight="false" outlineLevel="0" collapsed="false">
      <c r="Z275" s="25" t="str">
        <f aca="false">IF(ISNUMBER(A275),IF(COUNTIF(祝日!$A:$A,A275)&gt;0,"祝",CHOOSE(WEEKDAY(A275,2),"月","火","水","木","金","土","日")),"")</f>
        <v/>
      </c>
      <c r="AA275" s="25" t="str">
        <f aca="false">IF(ISNUMBER(A275),IFERROR(INDEX(集計!$J$3:$J$33,MATCH(A275,集計!$B$3:$B$33,0)),0),"")</f>
        <v/>
      </c>
      <c r="AB275" s="25" t="str">
        <f aca="false">IF(ISNUMBER(A275),IFERROR(INDEX(設定!$F$4:$F$27,MATCH(K275,設定!$E$4:$E$27,0)),""),"")</f>
        <v/>
      </c>
    </row>
    <row r="276" customFormat="false" ht="15" hidden="false" customHeight="false" outlineLevel="0" collapsed="false">
      <c r="Z276" s="25" t="str">
        <f aca="false">IF(ISNUMBER(A276),IF(COUNTIF(祝日!$A:$A,A276)&gt;0,"祝",CHOOSE(WEEKDAY(A276,2),"月","火","水","木","金","土","日")),"")</f>
        <v/>
      </c>
      <c r="AA276" s="25" t="str">
        <f aca="false">IF(ISNUMBER(A276),IFERROR(INDEX(集計!$J$3:$J$33,MATCH(A276,集計!$B$3:$B$33,0)),0),"")</f>
        <v/>
      </c>
      <c r="AB276" s="25" t="str">
        <f aca="false">IF(ISNUMBER(A276),IFERROR(INDEX(設定!$F$4:$F$27,MATCH(K276,設定!$E$4:$E$27,0)),""),"")</f>
        <v/>
      </c>
    </row>
    <row r="277" customFormat="false" ht="15" hidden="false" customHeight="false" outlineLevel="0" collapsed="false">
      <c r="Z277" s="25" t="str">
        <f aca="false">IF(ISNUMBER(A277),IF(COUNTIF(祝日!$A:$A,A277)&gt;0,"祝",CHOOSE(WEEKDAY(A277,2),"月","火","水","木","金","土","日")),"")</f>
        <v/>
      </c>
      <c r="AA277" s="25" t="str">
        <f aca="false">IF(ISNUMBER(A277),IFERROR(INDEX(集計!$J$3:$J$33,MATCH(A277,集計!$B$3:$B$33,0)),0),"")</f>
        <v/>
      </c>
      <c r="AB277" s="25" t="str">
        <f aca="false">IF(ISNUMBER(A277),IFERROR(INDEX(設定!$F$4:$F$27,MATCH(K277,設定!$E$4:$E$27,0)),""),"")</f>
        <v/>
      </c>
    </row>
    <row r="278" customFormat="false" ht="15" hidden="false" customHeight="false" outlineLevel="0" collapsed="false">
      <c r="Z278" s="25" t="str">
        <f aca="false">IF(ISNUMBER(A278),IF(COUNTIF(祝日!$A:$A,A278)&gt;0,"祝",CHOOSE(WEEKDAY(A278,2),"月","火","水","木","金","土","日")),"")</f>
        <v/>
      </c>
      <c r="AA278" s="25" t="str">
        <f aca="false">IF(ISNUMBER(A278),IFERROR(INDEX(集計!$J$3:$J$33,MATCH(A278,集計!$B$3:$B$33,0)),0),"")</f>
        <v/>
      </c>
      <c r="AB278" s="25" t="str">
        <f aca="false">IF(ISNUMBER(A278),IFERROR(INDEX(設定!$F$4:$F$27,MATCH(K278,設定!$E$4:$E$27,0)),""),"")</f>
        <v/>
      </c>
    </row>
    <row r="279" customFormat="false" ht="15" hidden="false" customHeight="false" outlineLevel="0" collapsed="false">
      <c r="Z279" s="25" t="str">
        <f aca="false">IF(ISNUMBER(A279),IF(COUNTIF(祝日!$A:$A,A279)&gt;0,"祝",CHOOSE(WEEKDAY(A279,2),"月","火","水","木","金","土","日")),"")</f>
        <v/>
      </c>
      <c r="AA279" s="25" t="str">
        <f aca="false">IF(ISNUMBER(A279),IFERROR(INDEX(集計!$J$3:$J$33,MATCH(A279,集計!$B$3:$B$33,0)),0),"")</f>
        <v/>
      </c>
      <c r="AB279" s="25" t="str">
        <f aca="false">IF(ISNUMBER(A279),IFERROR(INDEX(設定!$F$4:$F$27,MATCH(K279,設定!$E$4:$E$27,0)),""),"")</f>
        <v/>
      </c>
    </row>
    <row r="280" customFormat="false" ht="15" hidden="false" customHeight="false" outlineLevel="0" collapsed="false">
      <c r="Z280" s="25" t="str">
        <f aca="false">IF(ISNUMBER(A280),IF(COUNTIF(祝日!$A:$A,A280)&gt;0,"祝",CHOOSE(WEEKDAY(A280,2),"月","火","水","木","金","土","日")),"")</f>
        <v/>
      </c>
      <c r="AA280" s="25" t="str">
        <f aca="false">IF(ISNUMBER(A280),IFERROR(INDEX(集計!$J$3:$J$33,MATCH(A280,集計!$B$3:$B$33,0)),0),"")</f>
        <v/>
      </c>
      <c r="AB280" s="25" t="str">
        <f aca="false">IF(ISNUMBER(A280),IFERROR(INDEX(設定!$F$4:$F$27,MATCH(K280,設定!$E$4:$E$27,0)),""),"")</f>
        <v/>
      </c>
    </row>
    <row r="281" customFormat="false" ht="15" hidden="false" customHeight="false" outlineLevel="0" collapsed="false">
      <c r="Z281" s="25" t="str">
        <f aca="false">IF(ISNUMBER(A281),IF(COUNTIF(祝日!$A:$A,A281)&gt;0,"祝",CHOOSE(WEEKDAY(A281,2),"月","火","水","木","金","土","日")),"")</f>
        <v/>
      </c>
      <c r="AA281" s="25" t="str">
        <f aca="false">IF(ISNUMBER(A281),IFERROR(INDEX(集計!$J$3:$J$33,MATCH(A281,集計!$B$3:$B$33,0)),0),"")</f>
        <v/>
      </c>
      <c r="AB281" s="25" t="str">
        <f aca="false">IF(ISNUMBER(A281),IFERROR(INDEX(設定!$F$4:$F$27,MATCH(K281,設定!$E$4:$E$27,0)),""),"")</f>
        <v/>
      </c>
    </row>
    <row r="282" customFormat="false" ht="15" hidden="false" customHeight="false" outlineLevel="0" collapsed="false">
      <c r="Z282" s="25" t="str">
        <f aca="false">IF(ISNUMBER(A282),IF(COUNTIF(祝日!$A:$A,A282)&gt;0,"祝",CHOOSE(WEEKDAY(A282,2),"月","火","水","木","金","土","日")),"")</f>
        <v/>
      </c>
      <c r="AA282" s="25" t="str">
        <f aca="false">IF(ISNUMBER(A282),IFERROR(INDEX(集計!$J$3:$J$33,MATCH(A282,集計!$B$3:$B$33,0)),0),"")</f>
        <v/>
      </c>
      <c r="AB282" s="25" t="str">
        <f aca="false">IF(ISNUMBER(A282),IFERROR(INDEX(設定!$F$4:$F$27,MATCH(K282,設定!$E$4:$E$27,0)),""),"")</f>
        <v/>
      </c>
    </row>
    <row r="283" customFormat="false" ht="15" hidden="false" customHeight="false" outlineLevel="0" collapsed="false">
      <c r="Z283" s="25" t="str">
        <f aca="false">IF(ISNUMBER(A283),IF(COUNTIF(祝日!$A:$A,A283)&gt;0,"祝",CHOOSE(WEEKDAY(A283,2),"月","火","水","木","金","土","日")),"")</f>
        <v/>
      </c>
      <c r="AA283" s="25" t="str">
        <f aca="false">IF(ISNUMBER(A283),IFERROR(INDEX(集計!$J$3:$J$33,MATCH(A283,集計!$B$3:$B$33,0)),0),"")</f>
        <v/>
      </c>
      <c r="AB283" s="25" t="str">
        <f aca="false">IF(ISNUMBER(A283),IFERROR(INDEX(設定!$F$4:$F$27,MATCH(K283,設定!$E$4:$E$27,0)),""),"")</f>
        <v/>
      </c>
    </row>
    <row r="284" customFormat="false" ht="15" hidden="false" customHeight="false" outlineLevel="0" collapsed="false">
      <c r="Z284" s="25" t="str">
        <f aca="false">IF(ISNUMBER(A284),IF(COUNTIF(祝日!$A:$A,A284)&gt;0,"祝",CHOOSE(WEEKDAY(A284,2),"月","火","水","木","金","土","日")),"")</f>
        <v/>
      </c>
      <c r="AA284" s="25" t="str">
        <f aca="false">IF(ISNUMBER(A284),IFERROR(INDEX(集計!$J$3:$J$33,MATCH(A284,集計!$B$3:$B$33,0)),0),"")</f>
        <v/>
      </c>
      <c r="AB284" s="25" t="str">
        <f aca="false">IF(ISNUMBER(A284),IFERROR(INDEX(設定!$F$4:$F$27,MATCH(K284,設定!$E$4:$E$27,0)),""),"")</f>
        <v/>
      </c>
    </row>
    <row r="285" customFormat="false" ht="15" hidden="false" customHeight="false" outlineLevel="0" collapsed="false">
      <c r="Z285" s="25" t="str">
        <f aca="false">IF(ISNUMBER(A285),IF(COUNTIF(祝日!$A:$A,A285)&gt;0,"祝",CHOOSE(WEEKDAY(A285,2),"月","火","水","木","金","土","日")),"")</f>
        <v/>
      </c>
      <c r="AA285" s="25" t="str">
        <f aca="false">IF(ISNUMBER(A285),IFERROR(INDEX(集計!$J$3:$J$33,MATCH(A285,集計!$B$3:$B$33,0)),0),"")</f>
        <v/>
      </c>
      <c r="AB285" s="25" t="str">
        <f aca="false">IF(ISNUMBER(A285),IFERROR(INDEX(設定!$F$4:$F$27,MATCH(K285,設定!$E$4:$E$27,0)),""),"")</f>
        <v/>
      </c>
    </row>
    <row r="286" customFormat="false" ht="15" hidden="false" customHeight="false" outlineLevel="0" collapsed="false">
      <c r="Z286" s="25" t="str">
        <f aca="false">IF(ISNUMBER(A286),IF(COUNTIF(祝日!$A:$A,A286)&gt;0,"祝",CHOOSE(WEEKDAY(A286,2),"月","火","水","木","金","土","日")),"")</f>
        <v/>
      </c>
      <c r="AA286" s="25" t="str">
        <f aca="false">IF(ISNUMBER(A286),IFERROR(INDEX(集計!$J$3:$J$33,MATCH(A286,集計!$B$3:$B$33,0)),0),"")</f>
        <v/>
      </c>
      <c r="AB286" s="25" t="str">
        <f aca="false">IF(ISNUMBER(A286),IFERROR(INDEX(設定!$F$4:$F$27,MATCH(K286,設定!$E$4:$E$27,0)),""),"")</f>
        <v/>
      </c>
    </row>
    <row r="287" customFormat="false" ht="15" hidden="false" customHeight="false" outlineLevel="0" collapsed="false">
      <c r="Z287" s="25" t="str">
        <f aca="false">IF(ISNUMBER(A287),IF(COUNTIF(祝日!$A:$A,A287)&gt;0,"祝",CHOOSE(WEEKDAY(A287,2),"月","火","水","木","金","土","日")),"")</f>
        <v/>
      </c>
      <c r="AA287" s="25" t="str">
        <f aca="false">IF(ISNUMBER(A287),IFERROR(INDEX(集計!$J$3:$J$33,MATCH(A287,集計!$B$3:$B$33,0)),0),"")</f>
        <v/>
      </c>
      <c r="AB287" s="25" t="str">
        <f aca="false">IF(ISNUMBER(A287),IFERROR(INDEX(設定!$F$4:$F$27,MATCH(K287,設定!$E$4:$E$27,0)),""),"")</f>
        <v/>
      </c>
    </row>
    <row r="288" customFormat="false" ht="15" hidden="false" customHeight="false" outlineLevel="0" collapsed="false">
      <c r="Z288" s="25" t="str">
        <f aca="false">IF(ISNUMBER(A288),IF(COUNTIF(祝日!$A:$A,A288)&gt;0,"祝",CHOOSE(WEEKDAY(A288,2),"月","火","水","木","金","土","日")),"")</f>
        <v/>
      </c>
      <c r="AA288" s="25" t="str">
        <f aca="false">IF(ISNUMBER(A288),IFERROR(INDEX(集計!$J$3:$J$33,MATCH(A288,集計!$B$3:$B$33,0)),0),"")</f>
        <v/>
      </c>
      <c r="AB288" s="25" t="str">
        <f aca="false">IF(ISNUMBER(A288),IFERROR(INDEX(設定!$F$4:$F$27,MATCH(K288,設定!$E$4:$E$27,0)),""),"")</f>
        <v/>
      </c>
    </row>
    <row r="289" customFormat="false" ht="15" hidden="false" customHeight="false" outlineLevel="0" collapsed="false">
      <c r="Z289" s="25" t="str">
        <f aca="false">IF(ISNUMBER(A289),IF(COUNTIF(祝日!$A:$A,A289)&gt;0,"祝",CHOOSE(WEEKDAY(A289,2),"月","火","水","木","金","土","日")),"")</f>
        <v/>
      </c>
      <c r="AA289" s="25" t="str">
        <f aca="false">IF(ISNUMBER(A289),IFERROR(INDEX(集計!$J$3:$J$33,MATCH(A289,集計!$B$3:$B$33,0)),0),"")</f>
        <v/>
      </c>
      <c r="AB289" s="25" t="str">
        <f aca="false">IF(ISNUMBER(A289),IFERROR(INDEX(設定!$F$4:$F$27,MATCH(K289,設定!$E$4:$E$27,0)),""),"")</f>
        <v/>
      </c>
    </row>
    <row r="290" customFormat="false" ht="15" hidden="false" customHeight="false" outlineLevel="0" collapsed="false">
      <c r="Z290" s="25" t="str">
        <f aca="false">IF(ISNUMBER(A290),IF(COUNTIF(祝日!$A:$A,A290)&gt;0,"祝",CHOOSE(WEEKDAY(A290,2),"月","火","水","木","金","土","日")),"")</f>
        <v/>
      </c>
      <c r="AA290" s="25" t="str">
        <f aca="false">IF(ISNUMBER(A290),IFERROR(INDEX(集計!$J$3:$J$33,MATCH(A290,集計!$B$3:$B$33,0)),0),"")</f>
        <v/>
      </c>
      <c r="AB290" s="25" t="str">
        <f aca="false">IF(ISNUMBER(A290),IFERROR(INDEX(設定!$F$4:$F$27,MATCH(K290,設定!$E$4:$E$27,0)),""),"")</f>
        <v/>
      </c>
    </row>
    <row r="291" customFormat="false" ht="15" hidden="false" customHeight="false" outlineLevel="0" collapsed="false">
      <c r="Z291" s="25" t="str">
        <f aca="false">IF(ISNUMBER(A291),IF(COUNTIF(祝日!$A:$A,A291)&gt;0,"祝",CHOOSE(WEEKDAY(A291,2),"月","火","水","木","金","土","日")),"")</f>
        <v/>
      </c>
      <c r="AA291" s="25" t="str">
        <f aca="false">IF(ISNUMBER(A291),IFERROR(INDEX(集計!$J$3:$J$33,MATCH(A291,集計!$B$3:$B$33,0)),0),"")</f>
        <v/>
      </c>
      <c r="AB291" s="25" t="str">
        <f aca="false">IF(ISNUMBER(A291),IFERROR(INDEX(設定!$F$4:$F$27,MATCH(K291,設定!$E$4:$E$27,0)),""),"")</f>
        <v/>
      </c>
    </row>
    <row r="292" customFormat="false" ht="15" hidden="false" customHeight="false" outlineLevel="0" collapsed="false">
      <c r="Z292" s="25" t="str">
        <f aca="false">IF(ISNUMBER(A292),IF(COUNTIF(祝日!$A:$A,A292)&gt;0,"祝",CHOOSE(WEEKDAY(A292,2),"月","火","水","木","金","土","日")),"")</f>
        <v/>
      </c>
      <c r="AA292" s="25" t="str">
        <f aca="false">IF(ISNUMBER(A292),IFERROR(INDEX(集計!$J$3:$J$33,MATCH(A292,集計!$B$3:$B$33,0)),0),"")</f>
        <v/>
      </c>
      <c r="AB292" s="25" t="str">
        <f aca="false">IF(ISNUMBER(A292),IFERROR(INDEX(設定!$F$4:$F$27,MATCH(K292,設定!$E$4:$E$27,0)),""),"")</f>
        <v/>
      </c>
    </row>
    <row r="293" customFormat="false" ht="15" hidden="false" customHeight="false" outlineLevel="0" collapsed="false">
      <c r="Z293" s="25" t="str">
        <f aca="false">IF(ISNUMBER(A293),IF(COUNTIF(祝日!$A:$A,A293)&gt;0,"祝",CHOOSE(WEEKDAY(A293,2),"月","火","水","木","金","土","日")),"")</f>
        <v/>
      </c>
      <c r="AA293" s="25" t="str">
        <f aca="false">IF(ISNUMBER(A293),IFERROR(INDEX(集計!$J$3:$J$33,MATCH(A293,集計!$B$3:$B$33,0)),0),"")</f>
        <v/>
      </c>
      <c r="AB293" s="25" t="str">
        <f aca="false">IF(ISNUMBER(A293),IFERROR(INDEX(設定!$F$4:$F$27,MATCH(K293,設定!$E$4:$E$27,0)),""),"")</f>
        <v/>
      </c>
    </row>
    <row r="294" customFormat="false" ht="15" hidden="false" customHeight="false" outlineLevel="0" collapsed="false">
      <c r="Z294" s="25" t="str">
        <f aca="false">IF(ISNUMBER(A294),IF(COUNTIF(祝日!$A:$A,A294)&gt;0,"祝",CHOOSE(WEEKDAY(A294,2),"月","火","水","木","金","土","日")),"")</f>
        <v/>
      </c>
      <c r="AA294" s="25" t="str">
        <f aca="false">IF(ISNUMBER(A294),IFERROR(INDEX(集計!$J$3:$J$33,MATCH(A294,集計!$B$3:$B$33,0)),0),"")</f>
        <v/>
      </c>
      <c r="AB294" s="25" t="str">
        <f aca="false">IF(ISNUMBER(A294),IFERROR(INDEX(設定!$F$4:$F$27,MATCH(K294,設定!$E$4:$E$27,0)),""),"")</f>
        <v/>
      </c>
    </row>
    <row r="295" customFormat="false" ht="15" hidden="false" customHeight="false" outlineLevel="0" collapsed="false">
      <c r="Z295" s="25" t="str">
        <f aca="false">IF(ISNUMBER(A295),IF(COUNTIF(祝日!$A:$A,A295)&gt;0,"祝",CHOOSE(WEEKDAY(A295,2),"月","火","水","木","金","土","日")),"")</f>
        <v/>
      </c>
      <c r="AA295" s="25" t="str">
        <f aca="false">IF(ISNUMBER(A295),IFERROR(INDEX(集計!$J$3:$J$33,MATCH(A295,集計!$B$3:$B$33,0)),0),"")</f>
        <v/>
      </c>
      <c r="AB295" s="25" t="str">
        <f aca="false">IF(ISNUMBER(A295),IFERROR(INDEX(設定!$F$4:$F$27,MATCH(K295,設定!$E$4:$E$27,0)),""),"")</f>
        <v/>
      </c>
    </row>
    <row r="296" customFormat="false" ht="15" hidden="false" customHeight="false" outlineLevel="0" collapsed="false">
      <c r="Z296" s="25" t="str">
        <f aca="false">IF(ISNUMBER(A296),IF(COUNTIF(祝日!$A:$A,A296)&gt;0,"祝",CHOOSE(WEEKDAY(A296,2),"月","火","水","木","金","土","日")),"")</f>
        <v/>
      </c>
      <c r="AA296" s="25" t="str">
        <f aca="false">IF(ISNUMBER(A296),IFERROR(INDEX(集計!$J$3:$J$33,MATCH(A296,集計!$B$3:$B$33,0)),0),"")</f>
        <v/>
      </c>
      <c r="AB296" s="25" t="str">
        <f aca="false">IF(ISNUMBER(A296),IFERROR(INDEX(設定!$F$4:$F$27,MATCH(K296,設定!$E$4:$E$27,0)),""),"")</f>
        <v/>
      </c>
    </row>
    <row r="297" customFormat="false" ht="15" hidden="false" customHeight="false" outlineLevel="0" collapsed="false">
      <c r="Z297" s="25" t="str">
        <f aca="false">IF(ISNUMBER(A297),IF(COUNTIF(祝日!$A:$A,A297)&gt;0,"祝",CHOOSE(WEEKDAY(A297,2),"月","火","水","木","金","土","日")),"")</f>
        <v/>
      </c>
      <c r="AA297" s="25" t="str">
        <f aca="false">IF(ISNUMBER(A297),IFERROR(INDEX(集計!$J$3:$J$33,MATCH(A297,集計!$B$3:$B$33,0)),0),"")</f>
        <v/>
      </c>
      <c r="AB297" s="25" t="str">
        <f aca="false">IF(ISNUMBER(A297),IFERROR(INDEX(設定!$F$4:$F$27,MATCH(K297,設定!$E$4:$E$27,0)),""),"")</f>
        <v/>
      </c>
    </row>
    <row r="298" customFormat="false" ht="15" hidden="false" customHeight="false" outlineLevel="0" collapsed="false">
      <c r="Z298" s="25" t="str">
        <f aca="false">IF(ISNUMBER(A298),IF(COUNTIF(祝日!$A:$A,A298)&gt;0,"祝",CHOOSE(WEEKDAY(A298,2),"月","火","水","木","金","土","日")),"")</f>
        <v/>
      </c>
      <c r="AA298" s="25" t="str">
        <f aca="false">IF(ISNUMBER(A298),IFERROR(INDEX(集計!$J$3:$J$33,MATCH(A298,集計!$B$3:$B$33,0)),0),"")</f>
        <v/>
      </c>
      <c r="AB298" s="25" t="str">
        <f aca="false">IF(ISNUMBER(A298),IFERROR(INDEX(設定!$F$4:$F$27,MATCH(K298,設定!$E$4:$E$27,0)),""),"")</f>
        <v/>
      </c>
    </row>
    <row r="299" customFormat="false" ht="15" hidden="false" customHeight="false" outlineLevel="0" collapsed="false">
      <c r="Z299" s="25" t="str">
        <f aca="false">IF(ISNUMBER(A299),IF(COUNTIF(祝日!$A:$A,A299)&gt;0,"祝",CHOOSE(WEEKDAY(A299,2),"月","火","水","木","金","土","日")),"")</f>
        <v/>
      </c>
      <c r="AA299" s="25" t="str">
        <f aca="false">IF(ISNUMBER(A299),IFERROR(INDEX(集計!$J$3:$J$33,MATCH(A299,集計!$B$3:$B$33,0)),0),"")</f>
        <v/>
      </c>
      <c r="AB299" s="25" t="str">
        <f aca="false">IF(ISNUMBER(A299),IFERROR(INDEX(設定!$F$4:$F$27,MATCH(K299,設定!$E$4:$E$27,0)),""),"")</f>
        <v/>
      </c>
    </row>
    <row r="300" customFormat="false" ht="15" hidden="false" customHeight="false" outlineLevel="0" collapsed="false">
      <c r="Z300" s="25" t="str">
        <f aca="false">IF(ISNUMBER(A300),IF(COUNTIF(祝日!$A:$A,A300)&gt;0,"祝",CHOOSE(WEEKDAY(A300,2),"月","火","水","木","金","土","日")),"")</f>
        <v/>
      </c>
      <c r="AA300" s="25" t="str">
        <f aca="false">IF(ISNUMBER(A300),IFERROR(INDEX(集計!$J$3:$J$33,MATCH(A300,集計!$B$3:$B$33,0)),0),"")</f>
        <v/>
      </c>
      <c r="AB300" s="25" t="str">
        <f aca="false">IF(ISNUMBER(A300),IFERROR(INDEX(設定!$F$4:$F$27,MATCH(K300,設定!$E$4:$E$27,0)),""),"")</f>
        <v/>
      </c>
    </row>
    <row r="301" customFormat="false" ht="15" hidden="false" customHeight="false" outlineLevel="0" collapsed="false">
      <c r="Z301" s="25" t="str">
        <f aca="false">IF(ISNUMBER(A301),IF(COUNTIF(祝日!$A:$A,A301)&gt;0,"祝",CHOOSE(WEEKDAY(A301,2),"月","火","水","木","金","土","日")),"")</f>
        <v/>
      </c>
      <c r="AA301" s="25" t="str">
        <f aca="false">IF(ISNUMBER(A301),IFERROR(INDEX(集計!$J$3:$J$33,MATCH(A301,集計!$B$3:$B$33,0)),0),"")</f>
        <v/>
      </c>
      <c r="AB301" s="25" t="str">
        <f aca="false">IF(ISNUMBER(A301),IFERROR(INDEX(設定!$F$4:$F$27,MATCH(K301,設定!$E$4:$E$27,0)),""),"")</f>
        <v/>
      </c>
    </row>
    <row r="302" customFormat="false" ht="15" hidden="false" customHeight="false" outlineLevel="0" collapsed="false">
      <c r="Z302" s="25" t="str">
        <f aca="false">IF(ISNUMBER(A302),IF(COUNTIF(祝日!$A:$A,A302)&gt;0,"祝",CHOOSE(WEEKDAY(A302,2),"月","火","水","木","金","土","日")),"")</f>
        <v/>
      </c>
      <c r="AA302" s="25" t="str">
        <f aca="false">IF(ISNUMBER(A302),IFERROR(INDEX(集計!$J$3:$J$33,MATCH(A302,集計!$B$3:$B$33,0)),0),"")</f>
        <v/>
      </c>
      <c r="AB302" s="25" t="str">
        <f aca="false">IF(ISNUMBER(A302),IFERROR(INDEX(設定!$F$4:$F$27,MATCH(K302,設定!$E$4:$E$27,0)),""),"")</f>
        <v/>
      </c>
    </row>
    <row r="303" customFormat="false" ht="15" hidden="false" customHeight="false" outlineLevel="0" collapsed="false">
      <c r="Z303" s="25" t="str">
        <f aca="false">IF(ISNUMBER(A303),IF(COUNTIF(祝日!$A:$A,A303)&gt;0,"祝",CHOOSE(WEEKDAY(A303,2),"月","火","水","木","金","土","日")),"")</f>
        <v/>
      </c>
      <c r="AA303" s="25" t="str">
        <f aca="false">IF(ISNUMBER(A303),IFERROR(INDEX(集計!$J$3:$J$33,MATCH(A303,集計!$B$3:$B$33,0)),0),"")</f>
        <v/>
      </c>
      <c r="AB303" s="25" t="str">
        <f aca="false">IF(ISNUMBER(A303),IFERROR(INDEX(設定!$F$4:$F$27,MATCH(K303,設定!$E$4:$E$27,0)),""),"")</f>
        <v/>
      </c>
    </row>
    <row r="304" customFormat="false" ht="15" hidden="false" customHeight="false" outlineLevel="0" collapsed="false">
      <c r="Z304" s="25" t="str">
        <f aca="false">IF(ISNUMBER(A304),IF(COUNTIF(祝日!$A:$A,A304)&gt;0,"祝",CHOOSE(WEEKDAY(A304,2),"月","火","水","木","金","土","日")),"")</f>
        <v/>
      </c>
      <c r="AA304" s="25" t="str">
        <f aca="false">IF(ISNUMBER(A304),IFERROR(INDEX(集計!$J$3:$J$33,MATCH(A304,集計!$B$3:$B$33,0)),0),"")</f>
        <v/>
      </c>
      <c r="AB304" s="25" t="str">
        <f aca="false">IF(ISNUMBER(A304),IFERROR(INDEX(設定!$F$4:$F$27,MATCH(K304,設定!$E$4:$E$27,0)),""),"")</f>
        <v/>
      </c>
    </row>
    <row r="305" customFormat="false" ht="15" hidden="false" customHeight="false" outlineLevel="0" collapsed="false">
      <c r="Z305" s="25" t="str">
        <f aca="false">IF(ISNUMBER(A305),IF(COUNTIF(祝日!$A:$A,A305)&gt;0,"祝",CHOOSE(WEEKDAY(A305,2),"月","火","水","木","金","土","日")),"")</f>
        <v/>
      </c>
      <c r="AA305" s="25" t="str">
        <f aca="false">IF(ISNUMBER(A305),IFERROR(INDEX(集計!$J$3:$J$33,MATCH(A305,集計!$B$3:$B$33,0)),0),"")</f>
        <v/>
      </c>
      <c r="AB305" s="25" t="str">
        <f aca="false">IF(ISNUMBER(A305),IFERROR(INDEX(設定!$F$4:$F$27,MATCH(K305,設定!$E$4:$E$27,0)),""),"")</f>
        <v/>
      </c>
    </row>
    <row r="306" customFormat="false" ht="15" hidden="false" customHeight="false" outlineLevel="0" collapsed="false">
      <c r="Z306" s="25" t="str">
        <f aca="false">IF(ISNUMBER(A306),IF(COUNTIF(祝日!$A:$A,A306)&gt;0,"祝",CHOOSE(WEEKDAY(A306,2),"月","火","水","木","金","土","日")),"")</f>
        <v/>
      </c>
      <c r="AA306" s="25" t="str">
        <f aca="false">IF(ISNUMBER(A306),IFERROR(INDEX(集計!$J$3:$J$33,MATCH(A306,集計!$B$3:$B$33,0)),0),"")</f>
        <v/>
      </c>
      <c r="AB306" s="25" t="str">
        <f aca="false">IF(ISNUMBER(A306),IFERROR(INDEX(設定!$F$4:$F$27,MATCH(K306,設定!$E$4:$E$27,0)),""),"")</f>
        <v/>
      </c>
    </row>
    <row r="307" customFormat="false" ht="15" hidden="false" customHeight="false" outlineLevel="0" collapsed="false">
      <c r="Z307" s="25" t="str">
        <f aca="false">IF(ISNUMBER(A307),IF(COUNTIF(祝日!$A:$A,A307)&gt;0,"祝",CHOOSE(WEEKDAY(A307,2),"月","火","水","木","金","土","日")),"")</f>
        <v/>
      </c>
      <c r="AA307" s="25" t="str">
        <f aca="false">IF(ISNUMBER(A307),IFERROR(INDEX(集計!$J$3:$J$33,MATCH(A307,集計!$B$3:$B$33,0)),0),"")</f>
        <v/>
      </c>
      <c r="AB307" s="25" t="str">
        <f aca="false">IF(ISNUMBER(A307),IFERROR(INDEX(設定!$F$4:$F$27,MATCH(K307,設定!$E$4:$E$27,0)),""),"")</f>
        <v/>
      </c>
    </row>
    <row r="308" customFormat="false" ht="15" hidden="false" customHeight="false" outlineLevel="0" collapsed="false">
      <c r="Z308" s="25" t="str">
        <f aca="false">IF(ISNUMBER(A308),IF(COUNTIF(祝日!$A:$A,A308)&gt;0,"祝",CHOOSE(WEEKDAY(A308,2),"月","火","水","木","金","土","日")),"")</f>
        <v/>
      </c>
      <c r="AA308" s="25" t="str">
        <f aca="false">IF(ISNUMBER(A308),IFERROR(INDEX(集計!$J$3:$J$33,MATCH(A308,集計!$B$3:$B$33,0)),0),"")</f>
        <v/>
      </c>
      <c r="AB308" s="25" t="str">
        <f aca="false">IF(ISNUMBER(A308),IFERROR(INDEX(設定!$F$4:$F$27,MATCH(K308,設定!$E$4:$E$27,0)),""),"")</f>
        <v/>
      </c>
    </row>
    <row r="309" customFormat="false" ht="15" hidden="false" customHeight="false" outlineLevel="0" collapsed="false">
      <c r="Z309" s="25" t="str">
        <f aca="false">IF(ISNUMBER(A309),IF(COUNTIF(祝日!$A:$A,A309)&gt;0,"祝",CHOOSE(WEEKDAY(A309,2),"月","火","水","木","金","土","日")),"")</f>
        <v/>
      </c>
      <c r="AA309" s="25" t="str">
        <f aca="false">IF(ISNUMBER(A309),IFERROR(INDEX(集計!$J$3:$J$33,MATCH(A309,集計!$B$3:$B$33,0)),0),"")</f>
        <v/>
      </c>
      <c r="AB309" s="25" t="str">
        <f aca="false">IF(ISNUMBER(A309),IFERROR(INDEX(設定!$F$4:$F$27,MATCH(K309,設定!$E$4:$E$27,0)),""),"")</f>
        <v/>
      </c>
    </row>
    <row r="310" customFormat="false" ht="15" hidden="false" customHeight="false" outlineLevel="0" collapsed="false">
      <c r="Z310" s="25" t="str">
        <f aca="false">IF(ISNUMBER(A310),IF(COUNTIF(祝日!$A:$A,A310)&gt;0,"祝",CHOOSE(WEEKDAY(A310,2),"月","火","水","木","金","土","日")),"")</f>
        <v/>
      </c>
      <c r="AA310" s="25" t="str">
        <f aca="false">IF(ISNUMBER(A310),IFERROR(INDEX(集計!$J$3:$J$33,MATCH(A310,集計!$B$3:$B$33,0)),0),"")</f>
        <v/>
      </c>
      <c r="AB310" s="25" t="str">
        <f aca="false">IF(ISNUMBER(A310),IFERROR(INDEX(設定!$F$4:$F$27,MATCH(K310,設定!$E$4:$E$27,0)),""),"")</f>
        <v/>
      </c>
    </row>
    <row r="311" customFormat="false" ht="15" hidden="false" customHeight="false" outlineLevel="0" collapsed="false">
      <c r="Z311" s="25" t="str">
        <f aca="false">IF(ISNUMBER(A311),IF(COUNTIF(祝日!$A:$A,A311)&gt;0,"祝",CHOOSE(WEEKDAY(A311,2),"月","火","水","木","金","土","日")),"")</f>
        <v/>
      </c>
      <c r="AA311" s="25" t="str">
        <f aca="false">IF(ISNUMBER(A311),IFERROR(INDEX(集計!$J$3:$J$33,MATCH(A311,集計!$B$3:$B$33,0)),0),"")</f>
        <v/>
      </c>
      <c r="AB311" s="25" t="str">
        <f aca="false">IF(ISNUMBER(A311),IFERROR(INDEX(設定!$F$4:$F$27,MATCH(K311,設定!$E$4:$E$27,0)),""),"")</f>
        <v/>
      </c>
    </row>
    <row r="312" customFormat="false" ht="15" hidden="false" customHeight="false" outlineLevel="0" collapsed="false">
      <c r="Z312" s="25" t="str">
        <f aca="false">IF(ISNUMBER(A312),IF(COUNTIF(祝日!$A:$A,A312)&gt;0,"祝",CHOOSE(WEEKDAY(A312,2),"月","火","水","木","金","土","日")),"")</f>
        <v/>
      </c>
      <c r="AA312" s="25" t="str">
        <f aca="false">IF(ISNUMBER(A312),IFERROR(INDEX(集計!$J$3:$J$33,MATCH(A312,集計!$B$3:$B$33,0)),0),"")</f>
        <v/>
      </c>
      <c r="AB312" s="25" t="str">
        <f aca="false">IF(ISNUMBER(A312),IFERROR(INDEX(設定!$F$4:$F$27,MATCH(K312,設定!$E$4:$E$27,0)),""),"")</f>
        <v/>
      </c>
    </row>
    <row r="313" customFormat="false" ht="15" hidden="false" customHeight="false" outlineLevel="0" collapsed="false">
      <c r="Z313" s="25" t="str">
        <f aca="false">IF(ISNUMBER(A313),IF(COUNTIF(祝日!$A:$A,A313)&gt;0,"祝",CHOOSE(WEEKDAY(A313,2),"月","火","水","木","金","土","日")),"")</f>
        <v/>
      </c>
      <c r="AA313" s="25" t="str">
        <f aca="false">IF(ISNUMBER(A313),IFERROR(INDEX(集計!$J$3:$J$33,MATCH(A313,集計!$B$3:$B$33,0)),0),"")</f>
        <v/>
      </c>
      <c r="AB313" s="25" t="str">
        <f aca="false">IF(ISNUMBER(A313),IFERROR(INDEX(設定!$F$4:$F$27,MATCH(K313,設定!$E$4:$E$27,0)),""),"")</f>
        <v/>
      </c>
    </row>
    <row r="314" customFormat="false" ht="15" hidden="false" customHeight="false" outlineLevel="0" collapsed="false">
      <c r="Z314" s="25" t="str">
        <f aca="false">IF(ISNUMBER(A314),IF(COUNTIF(祝日!$A:$A,A314)&gt;0,"祝",CHOOSE(WEEKDAY(A314,2),"月","火","水","木","金","土","日")),"")</f>
        <v/>
      </c>
      <c r="AA314" s="25" t="str">
        <f aca="false">IF(ISNUMBER(A314),IFERROR(INDEX(集計!$J$3:$J$33,MATCH(A314,集計!$B$3:$B$33,0)),0),"")</f>
        <v/>
      </c>
      <c r="AB314" s="25" t="str">
        <f aca="false">IF(ISNUMBER(A314),IFERROR(INDEX(設定!$F$4:$F$27,MATCH(K314,設定!$E$4:$E$27,0)),""),"")</f>
        <v/>
      </c>
    </row>
    <row r="315" customFormat="false" ht="15" hidden="false" customHeight="false" outlineLevel="0" collapsed="false">
      <c r="Z315" s="25" t="str">
        <f aca="false">IF(ISNUMBER(A315),IF(COUNTIF(祝日!$A:$A,A315)&gt;0,"祝",CHOOSE(WEEKDAY(A315,2),"月","火","水","木","金","土","日")),"")</f>
        <v/>
      </c>
      <c r="AA315" s="25" t="str">
        <f aca="false">IF(ISNUMBER(A315),IFERROR(INDEX(集計!$J$3:$J$33,MATCH(A315,集計!$B$3:$B$33,0)),0),"")</f>
        <v/>
      </c>
      <c r="AB315" s="25" t="str">
        <f aca="false">IF(ISNUMBER(A315),IFERROR(INDEX(設定!$F$4:$F$27,MATCH(K315,設定!$E$4:$E$27,0)),""),"")</f>
        <v/>
      </c>
    </row>
    <row r="316" customFormat="false" ht="15" hidden="false" customHeight="false" outlineLevel="0" collapsed="false">
      <c r="Z316" s="25" t="str">
        <f aca="false">IF(ISNUMBER(A316),IF(COUNTIF(祝日!$A:$A,A316)&gt;0,"祝",CHOOSE(WEEKDAY(A316,2),"月","火","水","木","金","土","日")),"")</f>
        <v/>
      </c>
      <c r="AA316" s="25" t="str">
        <f aca="false">IF(ISNUMBER(A316),IFERROR(INDEX(集計!$J$3:$J$33,MATCH(A316,集計!$B$3:$B$33,0)),0),"")</f>
        <v/>
      </c>
      <c r="AB316" s="25" t="str">
        <f aca="false">IF(ISNUMBER(A316),IFERROR(INDEX(設定!$F$4:$F$27,MATCH(K316,設定!$E$4:$E$27,0)),""),"")</f>
        <v/>
      </c>
    </row>
    <row r="317" customFormat="false" ht="15" hidden="false" customHeight="false" outlineLevel="0" collapsed="false">
      <c r="Z317" s="25" t="str">
        <f aca="false">IF(ISNUMBER(A317),IF(COUNTIF(祝日!$A:$A,A317)&gt;0,"祝",CHOOSE(WEEKDAY(A317,2),"月","火","水","木","金","土","日")),"")</f>
        <v/>
      </c>
      <c r="AA317" s="25" t="str">
        <f aca="false">IF(ISNUMBER(A317),IFERROR(INDEX(集計!$J$3:$J$33,MATCH(A317,集計!$B$3:$B$33,0)),0),"")</f>
        <v/>
      </c>
      <c r="AB317" s="25" t="str">
        <f aca="false">IF(ISNUMBER(A317),IFERROR(INDEX(設定!$F$4:$F$27,MATCH(K317,設定!$E$4:$E$27,0)),""),"")</f>
        <v/>
      </c>
    </row>
    <row r="318" customFormat="false" ht="15" hidden="false" customHeight="false" outlineLevel="0" collapsed="false">
      <c r="Z318" s="25" t="str">
        <f aca="false">IF(ISNUMBER(A318),IF(COUNTIF(祝日!$A:$A,A318)&gt;0,"祝",CHOOSE(WEEKDAY(A318,2),"月","火","水","木","金","土","日")),"")</f>
        <v/>
      </c>
      <c r="AA318" s="25" t="str">
        <f aca="false">IF(ISNUMBER(A318),IFERROR(INDEX(集計!$J$3:$J$33,MATCH(A318,集計!$B$3:$B$33,0)),0),"")</f>
        <v/>
      </c>
      <c r="AB318" s="25" t="str">
        <f aca="false">IF(ISNUMBER(A318),IFERROR(INDEX(設定!$F$4:$F$27,MATCH(K318,設定!$E$4:$E$27,0)),""),"")</f>
        <v/>
      </c>
    </row>
    <row r="319" customFormat="false" ht="15" hidden="false" customHeight="false" outlineLevel="0" collapsed="false">
      <c r="Z319" s="25" t="str">
        <f aca="false">IF(ISNUMBER(A319),IF(COUNTIF(祝日!$A:$A,A319)&gt;0,"祝",CHOOSE(WEEKDAY(A319,2),"月","火","水","木","金","土","日")),"")</f>
        <v/>
      </c>
      <c r="AA319" s="25" t="str">
        <f aca="false">IF(ISNUMBER(A319),IFERROR(INDEX(集計!$J$3:$J$33,MATCH(A319,集計!$B$3:$B$33,0)),0),"")</f>
        <v/>
      </c>
      <c r="AB319" s="25" t="str">
        <f aca="false">IF(ISNUMBER(A319),IFERROR(INDEX(設定!$F$4:$F$27,MATCH(K319,設定!$E$4:$E$27,0)),""),"")</f>
        <v/>
      </c>
    </row>
    <row r="320" customFormat="false" ht="15" hidden="false" customHeight="false" outlineLevel="0" collapsed="false">
      <c r="Z320" s="25" t="str">
        <f aca="false">IF(ISNUMBER(A320),IF(COUNTIF(祝日!$A:$A,A320)&gt;0,"祝",CHOOSE(WEEKDAY(A320,2),"月","火","水","木","金","土","日")),"")</f>
        <v/>
      </c>
      <c r="AA320" s="25" t="str">
        <f aca="false">IF(ISNUMBER(A320),IFERROR(INDEX(集計!$J$3:$J$33,MATCH(A320,集計!$B$3:$B$33,0)),0),"")</f>
        <v/>
      </c>
      <c r="AB320" s="25" t="str">
        <f aca="false">IF(ISNUMBER(A320),IFERROR(INDEX(設定!$F$4:$F$27,MATCH(K320,設定!$E$4:$E$27,0)),""),"")</f>
        <v/>
      </c>
    </row>
    <row r="321" customFormat="false" ht="15" hidden="false" customHeight="false" outlineLevel="0" collapsed="false">
      <c r="Z321" s="25" t="str">
        <f aca="false">IF(ISNUMBER(A321),IF(COUNTIF(祝日!$A:$A,A321)&gt;0,"祝",CHOOSE(WEEKDAY(A321,2),"月","火","水","木","金","土","日")),"")</f>
        <v/>
      </c>
      <c r="AA321" s="25" t="str">
        <f aca="false">IF(ISNUMBER(A321),IFERROR(INDEX(集計!$J$3:$J$33,MATCH(A321,集計!$B$3:$B$33,0)),0),"")</f>
        <v/>
      </c>
      <c r="AB321" s="25" t="str">
        <f aca="false">IF(ISNUMBER(A321),IFERROR(INDEX(設定!$F$4:$F$27,MATCH(K321,設定!$E$4:$E$27,0)),""),"")</f>
        <v/>
      </c>
    </row>
    <row r="322" customFormat="false" ht="15" hidden="false" customHeight="false" outlineLevel="0" collapsed="false">
      <c r="Z322" s="25" t="str">
        <f aca="false">IF(ISNUMBER(A322),IF(COUNTIF(祝日!$A:$A,A322)&gt;0,"祝",CHOOSE(WEEKDAY(A322,2),"月","火","水","木","金","土","日")),"")</f>
        <v/>
      </c>
      <c r="AA322" s="25" t="str">
        <f aca="false">IF(ISNUMBER(A322),IFERROR(INDEX(集計!$J$3:$J$33,MATCH(A322,集計!$B$3:$B$33,0)),0),"")</f>
        <v/>
      </c>
      <c r="AB322" s="25" t="str">
        <f aca="false">IF(ISNUMBER(A322),IFERROR(INDEX(設定!$F$4:$F$27,MATCH(K322,設定!$E$4:$E$27,0)),""),"")</f>
        <v/>
      </c>
    </row>
    <row r="323" customFormat="false" ht="15" hidden="false" customHeight="false" outlineLevel="0" collapsed="false">
      <c r="Z323" s="25" t="str">
        <f aca="false">IF(ISNUMBER(A323),IF(COUNTIF(祝日!$A:$A,A323)&gt;0,"祝",CHOOSE(WEEKDAY(A323,2),"月","火","水","木","金","土","日")),"")</f>
        <v/>
      </c>
      <c r="AA323" s="25" t="str">
        <f aca="false">IF(ISNUMBER(A323),IFERROR(INDEX(集計!$J$3:$J$33,MATCH(A323,集計!$B$3:$B$33,0)),0),"")</f>
        <v/>
      </c>
      <c r="AB323" s="25" t="str">
        <f aca="false">IF(ISNUMBER(A323),IFERROR(INDEX(設定!$F$4:$F$27,MATCH(K323,設定!$E$4:$E$27,0)),""),"")</f>
        <v/>
      </c>
    </row>
    <row r="324" customFormat="false" ht="15" hidden="false" customHeight="false" outlineLevel="0" collapsed="false">
      <c r="Z324" s="25" t="str">
        <f aca="false">IF(ISNUMBER(A324),IF(COUNTIF(祝日!$A:$A,A324)&gt;0,"祝",CHOOSE(WEEKDAY(A324,2),"月","火","水","木","金","土","日")),"")</f>
        <v/>
      </c>
      <c r="AA324" s="25" t="str">
        <f aca="false">IF(ISNUMBER(A324),IFERROR(INDEX(集計!$J$3:$J$33,MATCH(A324,集計!$B$3:$B$33,0)),0),"")</f>
        <v/>
      </c>
      <c r="AB324" s="25" t="str">
        <f aca="false">IF(ISNUMBER(A324),IFERROR(INDEX(設定!$F$4:$F$27,MATCH(K324,設定!$E$4:$E$27,0)),""),"")</f>
        <v/>
      </c>
    </row>
    <row r="325" customFormat="false" ht="15" hidden="false" customHeight="false" outlineLevel="0" collapsed="false">
      <c r="Z325" s="25" t="str">
        <f aca="false">IF(ISNUMBER(A325),IF(COUNTIF(祝日!$A:$A,A325)&gt;0,"祝",CHOOSE(WEEKDAY(A325,2),"月","火","水","木","金","土","日")),"")</f>
        <v/>
      </c>
      <c r="AA325" s="25" t="str">
        <f aca="false">IF(ISNUMBER(A325),IFERROR(INDEX(集計!$J$3:$J$33,MATCH(A325,集計!$B$3:$B$33,0)),0),"")</f>
        <v/>
      </c>
      <c r="AB325" s="25" t="str">
        <f aca="false">IF(ISNUMBER(A325),IFERROR(INDEX(設定!$F$4:$F$27,MATCH(K325,設定!$E$4:$E$27,0)),""),"")</f>
        <v/>
      </c>
    </row>
    <row r="326" customFormat="false" ht="15" hidden="false" customHeight="false" outlineLevel="0" collapsed="false">
      <c r="Z326" s="25" t="str">
        <f aca="false">IF(ISNUMBER(A326),IF(COUNTIF(祝日!$A:$A,A326)&gt;0,"祝",CHOOSE(WEEKDAY(A326,2),"月","火","水","木","金","土","日")),"")</f>
        <v/>
      </c>
      <c r="AA326" s="25" t="str">
        <f aca="false">IF(ISNUMBER(A326),IFERROR(INDEX(集計!$J$3:$J$33,MATCH(A326,集計!$B$3:$B$33,0)),0),"")</f>
        <v/>
      </c>
      <c r="AB326" s="25" t="str">
        <f aca="false">IF(ISNUMBER(A326),IFERROR(INDEX(設定!$F$4:$F$27,MATCH(K326,設定!$E$4:$E$27,0)),""),"")</f>
        <v/>
      </c>
    </row>
    <row r="327" customFormat="false" ht="15" hidden="false" customHeight="false" outlineLevel="0" collapsed="false">
      <c r="Z327" s="25" t="str">
        <f aca="false">IF(ISNUMBER(A327),IF(COUNTIF(祝日!$A:$A,A327)&gt;0,"祝",CHOOSE(WEEKDAY(A327,2),"月","火","水","木","金","土","日")),"")</f>
        <v/>
      </c>
      <c r="AA327" s="25" t="str">
        <f aca="false">IF(ISNUMBER(A327),IFERROR(INDEX(集計!$J$3:$J$33,MATCH(A327,集計!$B$3:$B$33,0)),0),"")</f>
        <v/>
      </c>
      <c r="AB327" s="25" t="str">
        <f aca="false">IF(ISNUMBER(A327),IFERROR(INDEX(設定!$F$4:$F$27,MATCH(K327,設定!$E$4:$E$27,0)),""),"")</f>
        <v/>
      </c>
    </row>
    <row r="328" customFormat="false" ht="15" hidden="false" customHeight="false" outlineLevel="0" collapsed="false">
      <c r="Z328" s="25" t="str">
        <f aca="false">IF(ISNUMBER(A328),IF(COUNTIF(祝日!$A:$A,A328)&gt;0,"祝",CHOOSE(WEEKDAY(A328,2),"月","火","水","木","金","土","日")),"")</f>
        <v/>
      </c>
      <c r="AA328" s="25" t="str">
        <f aca="false">IF(ISNUMBER(A328),IFERROR(INDEX(集計!$J$3:$J$33,MATCH(A328,集計!$B$3:$B$33,0)),0),"")</f>
        <v/>
      </c>
      <c r="AB328" s="25" t="str">
        <f aca="false">IF(ISNUMBER(A328),IFERROR(INDEX(設定!$F$4:$F$27,MATCH(K328,設定!$E$4:$E$27,0)),""),"")</f>
        <v/>
      </c>
    </row>
    <row r="329" customFormat="false" ht="15" hidden="false" customHeight="false" outlineLevel="0" collapsed="false">
      <c r="Z329" s="25" t="str">
        <f aca="false">IF(ISNUMBER(A329),IF(COUNTIF(祝日!$A:$A,A329)&gt;0,"祝",CHOOSE(WEEKDAY(A329,2),"月","火","水","木","金","土","日")),"")</f>
        <v/>
      </c>
      <c r="AA329" s="25" t="str">
        <f aca="false">IF(ISNUMBER(A329),IFERROR(INDEX(集計!$J$3:$J$33,MATCH(A329,集計!$B$3:$B$33,0)),0),"")</f>
        <v/>
      </c>
      <c r="AB329" s="25" t="str">
        <f aca="false">IF(ISNUMBER(A329),IFERROR(INDEX(設定!$F$4:$F$27,MATCH(K329,設定!$E$4:$E$27,0)),""),"")</f>
        <v/>
      </c>
    </row>
    <row r="330" customFormat="false" ht="15" hidden="false" customHeight="false" outlineLevel="0" collapsed="false">
      <c r="Z330" s="25" t="str">
        <f aca="false">IF(ISNUMBER(A330),IF(COUNTIF(祝日!$A:$A,A330)&gt;0,"祝",CHOOSE(WEEKDAY(A330,2),"月","火","水","木","金","土","日")),"")</f>
        <v/>
      </c>
      <c r="AA330" s="25" t="str">
        <f aca="false">IF(ISNUMBER(A330),IFERROR(INDEX(集計!$J$3:$J$33,MATCH(A330,集計!$B$3:$B$33,0)),0),"")</f>
        <v/>
      </c>
      <c r="AB330" s="25" t="str">
        <f aca="false">IF(ISNUMBER(A330),IFERROR(INDEX(設定!$F$4:$F$27,MATCH(K330,設定!$E$4:$E$27,0)),""),"")</f>
        <v/>
      </c>
    </row>
    <row r="331" customFormat="false" ht="15" hidden="false" customHeight="false" outlineLevel="0" collapsed="false">
      <c r="Z331" s="25" t="str">
        <f aca="false">IF(ISNUMBER(A331),IF(COUNTIF(祝日!$A:$A,A331)&gt;0,"祝",CHOOSE(WEEKDAY(A331,2),"月","火","水","木","金","土","日")),"")</f>
        <v/>
      </c>
      <c r="AA331" s="25" t="str">
        <f aca="false">IF(ISNUMBER(A331),IFERROR(INDEX(集計!$J$3:$J$33,MATCH(A331,集計!$B$3:$B$33,0)),0),"")</f>
        <v/>
      </c>
      <c r="AB331" s="25" t="str">
        <f aca="false">IF(ISNUMBER(A331),IFERROR(INDEX(設定!$F$4:$F$27,MATCH(K331,設定!$E$4:$E$27,0)),""),"")</f>
        <v/>
      </c>
    </row>
    <row r="332" customFormat="false" ht="15" hidden="false" customHeight="false" outlineLevel="0" collapsed="false">
      <c r="Z332" s="25" t="str">
        <f aca="false">IF(ISNUMBER(A332),IF(COUNTIF(祝日!$A:$A,A332)&gt;0,"祝",CHOOSE(WEEKDAY(A332,2),"月","火","水","木","金","土","日")),"")</f>
        <v/>
      </c>
      <c r="AA332" s="25" t="str">
        <f aca="false">IF(ISNUMBER(A332),IFERROR(INDEX(集計!$J$3:$J$33,MATCH(A332,集計!$B$3:$B$33,0)),0),"")</f>
        <v/>
      </c>
      <c r="AB332" s="25" t="str">
        <f aca="false">IF(ISNUMBER(A332),IFERROR(INDEX(設定!$F$4:$F$27,MATCH(K332,設定!$E$4:$E$27,0)),""),"")</f>
        <v/>
      </c>
    </row>
    <row r="333" customFormat="false" ht="15" hidden="false" customHeight="false" outlineLevel="0" collapsed="false">
      <c r="Z333" s="25" t="str">
        <f aca="false">IF(ISNUMBER(A333),IF(COUNTIF(祝日!$A:$A,A333)&gt;0,"祝",CHOOSE(WEEKDAY(A333,2),"月","火","水","木","金","土","日")),"")</f>
        <v/>
      </c>
      <c r="AA333" s="25" t="str">
        <f aca="false">IF(ISNUMBER(A333),IFERROR(INDEX(集計!$J$3:$J$33,MATCH(A333,集計!$B$3:$B$33,0)),0),"")</f>
        <v/>
      </c>
      <c r="AB333" s="25" t="str">
        <f aca="false">IF(ISNUMBER(A333),IFERROR(INDEX(設定!$F$4:$F$27,MATCH(K333,設定!$E$4:$E$27,0)),""),"")</f>
        <v/>
      </c>
    </row>
    <row r="334" customFormat="false" ht="15" hidden="false" customHeight="false" outlineLevel="0" collapsed="false">
      <c r="Z334" s="25" t="str">
        <f aca="false">IF(ISNUMBER(A334),IF(COUNTIF(祝日!$A:$A,A334)&gt;0,"祝",CHOOSE(WEEKDAY(A334,2),"月","火","水","木","金","土","日")),"")</f>
        <v/>
      </c>
      <c r="AA334" s="25" t="str">
        <f aca="false">IF(ISNUMBER(A334),IFERROR(INDEX(集計!$J$3:$J$33,MATCH(A334,集計!$B$3:$B$33,0)),0),"")</f>
        <v/>
      </c>
      <c r="AB334" s="25" t="str">
        <f aca="false">IF(ISNUMBER(A334),IFERROR(INDEX(設定!$F$4:$F$27,MATCH(K334,設定!$E$4:$E$27,0)),""),"")</f>
        <v/>
      </c>
    </row>
    <row r="335" customFormat="false" ht="15" hidden="false" customHeight="false" outlineLevel="0" collapsed="false">
      <c r="Z335" s="25" t="str">
        <f aca="false">IF(ISNUMBER(A335),IF(COUNTIF(祝日!$A:$A,A335)&gt;0,"祝",CHOOSE(WEEKDAY(A335,2),"月","火","水","木","金","土","日")),"")</f>
        <v/>
      </c>
      <c r="AA335" s="25" t="str">
        <f aca="false">IF(ISNUMBER(A335),IFERROR(INDEX(集計!$J$3:$J$33,MATCH(A335,集計!$B$3:$B$33,0)),0),"")</f>
        <v/>
      </c>
      <c r="AB335" s="25" t="str">
        <f aca="false">IF(ISNUMBER(A335),IFERROR(INDEX(設定!$F$4:$F$27,MATCH(K335,設定!$E$4:$E$27,0)),""),"")</f>
        <v/>
      </c>
    </row>
    <row r="336" customFormat="false" ht="15" hidden="false" customHeight="false" outlineLevel="0" collapsed="false">
      <c r="Z336" s="25" t="str">
        <f aca="false">IF(ISNUMBER(A336),IF(COUNTIF(祝日!$A:$A,A336)&gt;0,"祝",CHOOSE(WEEKDAY(A336,2),"月","火","水","木","金","土","日")),"")</f>
        <v/>
      </c>
      <c r="AA336" s="25" t="str">
        <f aca="false">IF(ISNUMBER(A336),IFERROR(INDEX(集計!$J$3:$J$33,MATCH(A336,集計!$B$3:$B$33,0)),0),"")</f>
        <v/>
      </c>
      <c r="AB336" s="25" t="str">
        <f aca="false">IF(ISNUMBER(A336),IFERROR(INDEX(設定!$F$4:$F$27,MATCH(K336,設定!$E$4:$E$27,0)),""),"")</f>
        <v/>
      </c>
    </row>
    <row r="337" customFormat="false" ht="15" hidden="false" customHeight="false" outlineLevel="0" collapsed="false">
      <c r="Z337" s="25" t="str">
        <f aca="false">IF(ISNUMBER(A337),IF(COUNTIF(祝日!$A:$A,A337)&gt;0,"祝",CHOOSE(WEEKDAY(A337,2),"月","火","水","木","金","土","日")),"")</f>
        <v/>
      </c>
      <c r="AA337" s="25" t="str">
        <f aca="false">IF(ISNUMBER(A337),IFERROR(INDEX(集計!$J$3:$J$33,MATCH(A337,集計!$B$3:$B$33,0)),0),"")</f>
        <v/>
      </c>
      <c r="AB337" s="25" t="str">
        <f aca="false">IF(ISNUMBER(A337),IFERROR(INDEX(設定!$F$4:$F$27,MATCH(K337,設定!$E$4:$E$27,0)),""),"")</f>
        <v/>
      </c>
    </row>
    <row r="338" customFormat="false" ht="15" hidden="false" customHeight="false" outlineLevel="0" collapsed="false">
      <c r="Z338" s="25" t="str">
        <f aca="false">IF(ISNUMBER(A338),IF(COUNTIF(祝日!$A:$A,A338)&gt;0,"祝",CHOOSE(WEEKDAY(A338,2),"月","火","水","木","金","土","日")),"")</f>
        <v/>
      </c>
      <c r="AA338" s="25" t="str">
        <f aca="false">IF(ISNUMBER(A338),IFERROR(INDEX(集計!$J$3:$J$33,MATCH(A338,集計!$B$3:$B$33,0)),0),"")</f>
        <v/>
      </c>
      <c r="AB338" s="25" t="str">
        <f aca="false">IF(ISNUMBER(A338),IFERROR(INDEX(設定!$F$4:$F$27,MATCH(K338,設定!$E$4:$E$27,0)),""),"")</f>
        <v/>
      </c>
    </row>
    <row r="339" customFormat="false" ht="15" hidden="false" customHeight="false" outlineLevel="0" collapsed="false">
      <c r="Z339" s="25" t="str">
        <f aca="false">IF(ISNUMBER(A339),IF(COUNTIF(祝日!$A:$A,A339)&gt;0,"祝",CHOOSE(WEEKDAY(A339,2),"月","火","水","木","金","土","日")),"")</f>
        <v/>
      </c>
      <c r="AA339" s="25" t="str">
        <f aca="false">IF(ISNUMBER(A339),IFERROR(INDEX(集計!$J$3:$J$33,MATCH(A339,集計!$B$3:$B$33,0)),0),"")</f>
        <v/>
      </c>
      <c r="AB339" s="25" t="str">
        <f aca="false">IF(ISNUMBER(A339),IFERROR(INDEX(設定!$F$4:$F$27,MATCH(K339,設定!$E$4:$E$27,0)),""),"")</f>
        <v/>
      </c>
    </row>
    <row r="340" customFormat="false" ht="15" hidden="false" customHeight="false" outlineLevel="0" collapsed="false">
      <c r="Z340" s="25" t="str">
        <f aca="false">IF(ISNUMBER(A340),IF(COUNTIF(祝日!$A:$A,A340)&gt;0,"祝",CHOOSE(WEEKDAY(A340,2),"月","火","水","木","金","土","日")),"")</f>
        <v/>
      </c>
      <c r="AA340" s="25" t="str">
        <f aca="false">IF(ISNUMBER(A340),IFERROR(INDEX(集計!$J$3:$J$33,MATCH(A340,集計!$B$3:$B$33,0)),0),"")</f>
        <v/>
      </c>
      <c r="AB340" s="25" t="str">
        <f aca="false">IF(ISNUMBER(A340),IFERROR(INDEX(設定!$F$4:$F$27,MATCH(K340,設定!$E$4:$E$27,0)),""),"")</f>
        <v/>
      </c>
    </row>
    <row r="341" customFormat="false" ht="15" hidden="false" customHeight="false" outlineLevel="0" collapsed="false">
      <c r="Z341" s="25" t="str">
        <f aca="false">IF(ISNUMBER(A341),IF(COUNTIF(祝日!$A:$A,A341)&gt;0,"祝",CHOOSE(WEEKDAY(A341,2),"月","火","水","木","金","土","日")),"")</f>
        <v/>
      </c>
      <c r="AA341" s="25" t="str">
        <f aca="false">IF(ISNUMBER(A341),IFERROR(INDEX(集計!$J$3:$J$33,MATCH(A341,集計!$B$3:$B$33,0)),0),"")</f>
        <v/>
      </c>
      <c r="AB341" s="25" t="str">
        <f aca="false">IF(ISNUMBER(A341),IFERROR(INDEX(設定!$F$4:$F$27,MATCH(K341,設定!$E$4:$E$27,0)),""),"")</f>
        <v/>
      </c>
    </row>
    <row r="342" customFormat="false" ht="15" hidden="false" customHeight="false" outlineLevel="0" collapsed="false">
      <c r="Z342" s="25" t="str">
        <f aca="false">IF(ISNUMBER(A342),IF(COUNTIF(祝日!$A:$A,A342)&gt;0,"祝",CHOOSE(WEEKDAY(A342,2),"月","火","水","木","金","土","日")),"")</f>
        <v/>
      </c>
      <c r="AA342" s="25" t="str">
        <f aca="false">IF(ISNUMBER(A342),IFERROR(INDEX(集計!$J$3:$J$33,MATCH(A342,集計!$B$3:$B$33,0)),0),"")</f>
        <v/>
      </c>
      <c r="AB342" s="25" t="str">
        <f aca="false">IF(ISNUMBER(A342),IFERROR(INDEX(設定!$F$4:$F$27,MATCH(K342,設定!$E$4:$E$27,0)),""),"")</f>
        <v/>
      </c>
    </row>
    <row r="343" customFormat="false" ht="15" hidden="false" customHeight="false" outlineLevel="0" collapsed="false">
      <c r="Z343" s="25" t="str">
        <f aca="false">IF(ISNUMBER(A343),IF(COUNTIF(祝日!$A:$A,A343)&gt;0,"祝",CHOOSE(WEEKDAY(A343,2),"月","火","水","木","金","土","日")),"")</f>
        <v/>
      </c>
      <c r="AA343" s="25" t="str">
        <f aca="false">IF(ISNUMBER(A343),IFERROR(INDEX(集計!$J$3:$J$33,MATCH(A343,集計!$B$3:$B$33,0)),0),"")</f>
        <v/>
      </c>
      <c r="AB343" s="25" t="str">
        <f aca="false">IF(ISNUMBER(A343),IFERROR(INDEX(設定!$F$4:$F$27,MATCH(K343,設定!$E$4:$E$27,0)),""),"")</f>
        <v/>
      </c>
    </row>
    <row r="344" customFormat="false" ht="15" hidden="false" customHeight="false" outlineLevel="0" collapsed="false">
      <c r="Z344" s="25" t="str">
        <f aca="false">IF(ISNUMBER(A344),IF(COUNTIF(祝日!$A:$A,A344)&gt;0,"祝",CHOOSE(WEEKDAY(A344,2),"月","火","水","木","金","土","日")),"")</f>
        <v/>
      </c>
      <c r="AA344" s="25" t="str">
        <f aca="false">IF(ISNUMBER(A344),IFERROR(INDEX(集計!$J$3:$J$33,MATCH(A344,集計!$B$3:$B$33,0)),0),"")</f>
        <v/>
      </c>
      <c r="AB344" s="25" t="str">
        <f aca="false">IF(ISNUMBER(A344),IFERROR(INDEX(設定!$F$4:$F$27,MATCH(K344,設定!$E$4:$E$27,0)),""),"")</f>
        <v/>
      </c>
    </row>
    <row r="345" customFormat="false" ht="15" hidden="false" customHeight="false" outlineLevel="0" collapsed="false">
      <c r="Z345" s="25" t="str">
        <f aca="false">IF(ISNUMBER(A345),IF(COUNTIF(祝日!$A:$A,A345)&gt;0,"祝",CHOOSE(WEEKDAY(A345,2),"月","火","水","木","金","土","日")),"")</f>
        <v/>
      </c>
      <c r="AA345" s="25" t="str">
        <f aca="false">IF(ISNUMBER(A345),IFERROR(INDEX(集計!$J$3:$J$33,MATCH(A345,集計!$B$3:$B$33,0)),0),"")</f>
        <v/>
      </c>
      <c r="AB345" s="25" t="str">
        <f aca="false">IF(ISNUMBER(A345),IFERROR(INDEX(設定!$F$4:$F$27,MATCH(K345,設定!$E$4:$E$27,0)),""),"")</f>
        <v/>
      </c>
    </row>
    <row r="346" customFormat="false" ht="15" hidden="false" customHeight="false" outlineLevel="0" collapsed="false">
      <c r="Z346" s="25" t="str">
        <f aca="false">IF(ISNUMBER(A346),IF(COUNTIF(祝日!$A:$A,A346)&gt;0,"祝",CHOOSE(WEEKDAY(A346,2),"月","火","水","木","金","土","日")),"")</f>
        <v/>
      </c>
      <c r="AA346" s="25" t="str">
        <f aca="false">IF(ISNUMBER(A346),IFERROR(INDEX(集計!$J$3:$J$33,MATCH(A346,集計!$B$3:$B$33,0)),0),"")</f>
        <v/>
      </c>
      <c r="AB346" s="25" t="str">
        <f aca="false">IF(ISNUMBER(A346),IFERROR(INDEX(設定!$F$4:$F$27,MATCH(K346,設定!$E$4:$E$27,0)),""),"")</f>
        <v/>
      </c>
    </row>
    <row r="347" customFormat="false" ht="15" hidden="false" customHeight="false" outlineLevel="0" collapsed="false">
      <c r="Z347" s="25" t="str">
        <f aca="false">IF(ISNUMBER(A347),IF(COUNTIF(祝日!$A:$A,A347)&gt;0,"祝",CHOOSE(WEEKDAY(A347,2),"月","火","水","木","金","土","日")),"")</f>
        <v/>
      </c>
      <c r="AA347" s="25" t="str">
        <f aca="false">IF(ISNUMBER(A347),IFERROR(INDEX(集計!$J$3:$J$33,MATCH(A347,集計!$B$3:$B$33,0)),0),"")</f>
        <v/>
      </c>
      <c r="AB347" s="25" t="str">
        <f aca="false">IF(ISNUMBER(A347),IFERROR(INDEX(設定!$F$4:$F$27,MATCH(K347,設定!$E$4:$E$27,0)),""),"")</f>
        <v/>
      </c>
    </row>
    <row r="348" customFormat="false" ht="15" hidden="false" customHeight="false" outlineLevel="0" collapsed="false">
      <c r="Z348" s="25" t="str">
        <f aca="false">IF(ISNUMBER(A348),IF(COUNTIF(祝日!$A:$A,A348)&gt;0,"祝",CHOOSE(WEEKDAY(A348,2),"月","火","水","木","金","土","日")),"")</f>
        <v/>
      </c>
      <c r="AA348" s="25" t="str">
        <f aca="false">IF(ISNUMBER(A348),IFERROR(INDEX(集計!$J$3:$J$33,MATCH(A348,集計!$B$3:$B$33,0)),0),"")</f>
        <v/>
      </c>
      <c r="AB348" s="25" t="str">
        <f aca="false">IF(ISNUMBER(A348),IFERROR(INDEX(設定!$F$4:$F$27,MATCH(K348,設定!$E$4:$E$27,0)),""),"")</f>
        <v/>
      </c>
    </row>
    <row r="349" customFormat="false" ht="15" hidden="false" customHeight="false" outlineLevel="0" collapsed="false">
      <c r="Z349" s="25" t="str">
        <f aca="false">IF(ISNUMBER(A349),IF(COUNTIF(祝日!$A:$A,A349)&gt;0,"祝",CHOOSE(WEEKDAY(A349,2),"月","火","水","木","金","土","日")),"")</f>
        <v/>
      </c>
      <c r="AA349" s="25" t="str">
        <f aca="false">IF(ISNUMBER(A349),IFERROR(INDEX(集計!$J$3:$J$33,MATCH(A349,集計!$B$3:$B$33,0)),0),"")</f>
        <v/>
      </c>
      <c r="AB349" s="25" t="str">
        <f aca="false">IF(ISNUMBER(A349),IFERROR(INDEX(設定!$F$4:$F$27,MATCH(K349,設定!$E$4:$E$27,0)),""),"")</f>
        <v/>
      </c>
    </row>
    <row r="350" customFormat="false" ht="15" hidden="false" customHeight="false" outlineLevel="0" collapsed="false">
      <c r="Z350" s="25" t="str">
        <f aca="false">IF(ISNUMBER(A350),IF(COUNTIF(祝日!$A:$A,A350)&gt;0,"祝",CHOOSE(WEEKDAY(A350,2),"月","火","水","木","金","土","日")),"")</f>
        <v/>
      </c>
      <c r="AA350" s="25" t="str">
        <f aca="false">IF(ISNUMBER(A350),IFERROR(INDEX(集計!$J$3:$J$33,MATCH(A350,集計!$B$3:$B$33,0)),0),"")</f>
        <v/>
      </c>
      <c r="AB350" s="25" t="str">
        <f aca="false">IF(ISNUMBER(A350),IFERROR(INDEX(設定!$F$4:$F$27,MATCH(K350,設定!$E$4:$E$27,0)),""),"")</f>
        <v/>
      </c>
    </row>
    <row r="351" customFormat="false" ht="15" hidden="false" customHeight="false" outlineLevel="0" collapsed="false">
      <c r="Z351" s="25" t="str">
        <f aca="false">IF(ISNUMBER(A351),IF(COUNTIF(祝日!$A:$A,A351)&gt;0,"祝",CHOOSE(WEEKDAY(A351,2),"月","火","水","木","金","土","日")),"")</f>
        <v/>
      </c>
      <c r="AA351" s="25" t="str">
        <f aca="false">IF(ISNUMBER(A351),IFERROR(INDEX(集計!$J$3:$J$33,MATCH(A351,集計!$B$3:$B$33,0)),0),"")</f>
        <v/>
      </c>
      <c r="AB351" s="25" t="str">
        <f aca="false">IF(ISNUMBER(A351),IFERROR(INDEX(設定!$F$4:$F$27,MATCH(K351,設定!$E$4:$E$27,0)),""),"")</f>
        <v/>
      </c>
    </row>
    <row r="352" customFormat="false" ht="15" hidden="false" customHeight="false" outlineLevel="0" collapsed="false">
      <c r="Z352" s="25" t="str">
        <f aca="false">IF(ISNUMBER(A352),IF(COUNTIF(祝日!$A:$A,A352)&gt;0,"祝",CHOOSE(WEEKDAY(A352,2),"月","火","水","木","金","土","日")),"")</f>
        <v/>
      </c>
      <c r="AA352" s="25" t="str">
        <f aca="false">IF(ISNUMBER(A352),IFERROR(INDEX(集計!$J$3:$J$33,MATCH(A352,集計!$B$3:$B$33,0)),0),"")</f>
        <v/>
      </c>
      <c r="AB352" s="25" t="str">
        <f aca="false">IF(ISNUMBER(A352),IFERROR(INDEX(設定!$F$4:$F$27,MATCH(K352,設定!$E$4:$E$27,0)),""),"")</f>
        <v/>
      </c>
    </row>
    <row r="353" customFormat="false" ht="15" hidden="false" customHeight="false" outlineLevel="0" collapsed="false">
      <c r="Z353" s="25" t="str">
        <f aca="false">IF(ISNUMBER(A353),IF(COUNTIF(祝日!$A:$A,A353)&gt;0,"祝",CHOOSE(WEEKDAY(A353,2),"月","火","水","木","金","土","日")),"")</f>
        <v/>
      </c>
      <c r="AA353" s="25" t="str">
        <f aca="false">IF(ISNUMBER(A353),IFERROR(INDEX(集計!$J$3:$J$33,MATCH(A353,集計!$B$3:$B$33,0)),0),"")</f>
        <v/>
      </c>
      <c r="AB353" s="25" t="str">
        <f aca="false">IF(ISNUMBER(A353),IFERROR(INDEX(設定!$F$4:$F$27,MATCH(K353,設定!$E$4:$E$27,0)),""),"")</f>
        <v/>
      </c>
    </row>
    <row r="354" customFormat="false" ht="15" hidden="false" customHeight="false" outlineLevel="0" collapsed="false">
      <c r="Z354" s="25" t="str">
        <f aca="false">IF(ISNUMBER(A354),IF(COUNTIF(祝日!$A:$A,A354)&gt;0,"祝",CHOOSE(WEEKDAY(A354,2),"月","火","水","木","金","土","日")),"")</f>
        <v/>
      </c>
      <c r="AA354" s="25" t="str">
        <f aca="false">IF(ISNUMBER(A354),IFERROR(INDEX(集計!$J$3:$J$33,MATCH(A354,集計!$B$3:$B$33,0)),0),"")</f>
        <v/>
      </c>
      <c r="AB354" s="25" t="str">
        <f aca="false">IF(ISNUMBER(A354),IFERROR(INDEX(設定!$F$4:$F$27,MATCH(K354,設定!$E$4:$E$27,0)),""),"")</f>
        <v/>
      </c>
    </row>
    <row r="355" customFormat="false" ht="15" hidden="false" customHeight="false" outlineLevel="0" collapsed="false">
      <c r="Z355" s="25" t="str">
        <f aca="false">IF(ISNUMBER(A355),IF(COUNTIF(祝日!$A:$A,A355)&gt;0,"祝",CHOOSE(WEEKDAY(A355,2),"月","火","水","木","金","土","日")),"")</f>
        <v/>
      </c>
      <c r="AA355" s="25" t="str">
        <f aca="false">IF(ISNUMBER(A355),IFERROR(INDEX(集計!$J$3:$J$33,MATCH(A355,集計!$B$3:$B$33,0)),0),"")</f>
        <v/>
      </c>
      <c r="AB355" s="25" t="str">
        <f aca="false">IF(ISNUMBER(A355),IFERROR(INDEX(設定!$F$4:$F$27,MATCH(K355,設定!$E$4:$E$27,0)),""),"")</f>
        <v/>
      </c>
    </row>
    <row r="356" customFormat="false" ht="15" hidden="false" customHeight="false" outlineLevel="0" collapsed="false">
      <c r="Z356" s="25" t="str">
        <f aca="false">IF(ISNUMBER(A356),IF(COUNTIF(祝日!$A:$A,A356)&gt;0,"祝",CHOOSE(WEEKDAY(A356,2),"月","火","水","木","金","土","日")),"")</f>
        <v/>
      </c>
      <c r="AA356" s="25" t="str">
        <f aca="false">IF(ISNUMBER(A356),IFERROR(INDEX(集計!$J$3:$J$33,MATCH(A356,集計!$B$3:$B$33,0)),0),"")</f>
        <v/>
      </c>
      <c r="AB356" s="25" t="str">
        <f aca="false">IF(ISNUMBER(A356),IFERROR(INDEX(設定!$F$4:$F$27,MATCH(K356,設定!$E$4:$E$27,0)),""),"")</f>
        <v/>
      </c>
    </row>
    <row r="357" customFormat="false" ht="15" hidden="false" customHeight="false" outlineLevel="0" collapsed="false">
      <c r="Z357" s="25" t="str">
        <f aca="false">IF(ISNUMBER(A357),IF(COUNTIF(祝日!$A:$A,A357)&gt;0,"祝",CHOOSE(WEEKDAY(A357,2),"月","火","水","木","金","土","日")),"")</f>
        <v/>
      </c>
      <c r="AA357" s="25" t="str">
        <f aca="false">IF(ISNUMBER(A357),IFERROR(INDEX(集計!$J$3:$J$33,MATCH(A357,集計!$B$3:$B$33,0)),0),"")</f>
        <v/>
      </c>
      <c r="AB357" s="25" t="str">
        <f aca="false">IF(ISNUMBER(A357),IFERROR(INDEX(設定!$F$4:$F$27,MATCH(K357,設定!$E$4:$E$27,0)),""),"")</f>
        <v/>
      </c>
    </row>
    <row r="358" customFormat="false" ht="15" hidden="false" customHeight="false" outlineLevel="0" collapsed="false">
      <c r="Z358" s="25" t="str">
        <f aca="false">IF(ISNUMBER(A358),IF(COUNTIF(祝日!$A:$A,A358)&gt;0,"祝",CHOOSE(WEEKDAY(A358,2),"月","火","水","木","金","土","日")),"")</f>
        <v/>
      </c>
      <c r="AA358" s="25" t="str">
        <f aca="false">IF(ISNUMBER(A358),IFERROR(INDEX(集計!$J$3:$J$33,MATCH(A358,集計!$B$3:$B$33,0)),0),"")</f>
        <v/>
      </c>
      <c r="AB358" s="25" t="str">
        <f aca="false">IF(ISNUMBER(A358),IFERROR(INDEX(設定!$F$4:$F$27,MATCH(K358,設定!$E$4:$E$27,0)),""),"")</f>
        <v/>
      </c>
    </row>
    <row r="359" customFormat="false" ht="15" hidden="false" customHeight="false" outlineLevel="0" collapsed="false">
      <c r="Z359" s="25" t="str">
        <f aca="false">IF(ISNUMBER(A359),IF(COUNTIF(祝日!$A:$A,A359)&gt;0,"祝",CHOOSE(WEEKDAY(A359,2),"月","火","水","木","金","土","日")),"")</f>
        <v/>
      </c>
      <c r="AA359" s="25" t="str">
        <f aca="false">IF(ISNUMBER(A359),IFERROR(INDEX(集計!$J$3:$J$33,MATCH(A359,集計!$B$3:$B$33,0)),0),"")</f>
        <v/>
      </c>
      <c r="AB359" s="25" t="str">
        <f aca="false">IF(ISNUMBER(A359),IFERROR(INDEX(設定!$F$4:$F$27,MATCH(K359,設定!$E$4:$E$27,0)),""),"")</f>
        <v/>
      </c>
    </row>
    <row r="360" customFormat="false" ht="15" hidden="false" customHeight="false" outlineLevel="0" collapsed="false">
      <c r="Z360" s="25" t="str">
        <f aca="false">IF(ISNUMBER(A360),IF(COUNTIF(祝日!$A:$A,A360)&gt;0,"祝",CHOOSE(WEEKDAY(A360,2),"月","火","水","木","金","土","日")),"")</f>
        <v/>
      </c>
      <c r="AA360" s="25" t="str">
        <f aca="false">IF(ISNUMBER(A360),IFERROR(INDEX(集計!$J$3:$J$33,MATCH(A360,集計!$B$3:$B$33,0)),0),"")</f>
        <v/>
      </c>
      <c r="AB360" s="25" t="str">
        <f aca="false">IF(ISNUMBER(A360),IFERROR(INDEX(設定!$F$4:$F$27,MATCH(K360,設定!$E$4:$E$27,0)),""),"")</f>
        <v/>
      </c>
    </row>
    <row r="361" customFormat="false" ht="15" hidden="false" customHeight="false" outlineLevel="0" collapsed="false">
      <c r="Z361" s="25" t="str">
        <f aca="false">IF(ISNUMBER(A361),IF(COUNTIF(祝日!$A:$A,A361)&gt;0,"祝",CHOOSE(WEEKDAY(A361,2),"月","火","水","木","金","土","日")),"")</f>
        <v/>
      </c>
      <c r="AA361" s="25" t="str">
        <f aca="false">IF(ISNUMBER(A361),IFERROR(INDEX(集計!$J$3:$J$33,MATCH(A361,集計!$B$3:$B$33,0)),0),"")</f>
        <v/>
      </c>
      <c r="AB361" s="25" t="str">
        <f aca="false">IF(ISNUMBER(A361),IFERROR(INDEX(設定!$F$4:$F$27,MATCH(K361,設定!$E$4:$E$27,0)),""),"")</f>
        <v/>
      </c>
    </row>
    <row r="362" customFormat="false" ht="15" hidden="false" customHeight="false" outlineLevel="0" collapsed="false">
      <c r="Z362" s="25" t="str">
        <f aca="false">IF(ISNUMBER(A362),IF(COUNTIF(祝日!$A:$A,A362)&gt;0,"祝",CHOOSE(WEEKDAY(A362,2),"月","火","水","木","金","土","日")),"")</f>
        <v/>
      </c>
      <c r="AA362" s="25" t="str">
        <f aca="false">IF(ISNUMBER(A362),IFERROR(INDEX(集計!$J$3:$J$33,MATCH(A362,集計!$B$3:$B$33,0)),0),"")</f>
        <v/>
      </c>
      <c r="AB362" s="25" t="str">
        <f aca="false">IF(ISNUMBER(A362),IFERROR(INDEX(設定!$F$4:$F$27,MATCH(K362,設定!$E$4:$E$27,0)),""),"")</f>
        <v/>
      </c>
    </row>
    <row r="363" customFormat="false" ht="15" hidden="false" customHeight="false" outlineLevel="0" collapsed="false">
      <c r="Z363" s="25" t="str">
        <f aca="false">IF(ISNUMBER(A363),IF(COUNTIF(祝日!$A:$A,A363)&gt;0,"祝",CHOOSE(WEEKDAY(A363,2),"月","火","水","木","金","土","日")),"")</f>
        <v/>
      </c>
      <c r="AA363" s="25" t="str">
        <f aca="false">IF(ISNUMBER(A363),IFERROR(INDEX(集計!$J$3:$J$33,MATCH(A363,集計!$B$3:$B$33,0)),0),"")</f>
        <v/>
      </c>
      <c r="AB363" s="25" t="str">
        <f aca="false">IF(ISNUMBER(A363),IFERROR(INDEX(設定!$F$4:$F$27,MATCH(K363,設定!$E$4:$E$27,0)),""),"")</f>
        <v/>
      </c>
    </row>
    <row r="364" customFormat="false" ht="15" hidden="false" customHeight="false" outlineLevel="0" collapsed="false">
      <c r="Z364" s="25" t="str">
        <f aca="false">IF(ISNUMBER(A364),IF(COUNTIF(祝日!$A:$A,A364)&gt;0,"祝",CHOOSE(WEEKDAY(A364,2),"月","火","水","木","金","土","日")),"")</f>
        <v/>
      </c>
      <c r="AA364" s="25" t="str">
        <f aca="false">IF(ISNUMBER(A364),IFERROR(INDEX(集計!$J$3:$J$33,MATCH(A364,集計!$B$3:$B$33,0)),0),"")</f>
        <v/>
      </c>
      <c r="AB364" s="25" t="str">
        <f aca="false">IF(ISNUMBER(A364),IFERROR(INDEX(設定!$F$4:$F$27,MATCH(K364,設定!$E$4:$E$27,0)),""),"")</f>
        <v/>
      </c>
    </row>
    <row r="365" customFormat="false" ht="15" hidden="false" customHeight="false" outlineLevel="0" collapsed="false">
      <c r="Z365" s="25" t="str">
        <f aca="false">IF(ISNUMBER(A365),IF(COUNTIF(祝日!$A:$A,A365)&gt;0,"祝",CHOOSE(WEEKDAY(A365,2),"月","火","水","木","金","土","日")),"")</f>
        <v/>
      </c>
      <c r="AA365" s="25" t="str">
        <f aca="false">IF(ISNUMBER(A365),IFERROR(INDEX(集計!$J$3:$J$33,MATCH(A365,集計!$B$3:$B$33,0)),0),"")</f>
        <v/>
      </c>
      <c r="AB365" s="25" t="str">
        <f aca="false">IF(ISNUMBER(A365),IFERROR(INDEX(設定!$F$4:$F$27,MATCH(K365,設定!$E$4:$E$27,0)),""),"")</f>
        <v/>
      </c>
    </row>
    <row r="366" customFormat="false" ht="15" hidden="false" customHeight="false" outlineLevel="0" collapsed="false">
      <c r="Z366" s="25" t="str">
        <f aca="false">IF(ISNUMBER(A366),IF(COUNTIF(祝日!$A:$A,A366)&gt;0,"祝",CHOOSE(WEEKDAY(A366,2),"月","火","水","木","金","土","日")),"")</f>
        <v/>
      </c>
      <c r="AA366" s="25" t="str">
        <f aca="false">IF(ISNUMBER(A366),IFERROR(INDEX(集計!$J$3:$J$33,MATCH(A366,集計!$B$3:$B$33,0)),0),"")</f>
        <v/>
      </c>
      <c r="AB366" s="25" t="str">
        <f aca="false">IF(ISNUMBER(A366),IFERROR(INDEX(設定!$F$4:$F$27,MATCH(K366,設定!$E$4:$E$27,0)),""),"")</f>
        <v/>
      </c>
    </row>
    <row r="367" customFormat="false" ht="15" hidden="false" customHeight="false" outlineLevel="0" collapsed="false">
      <c r="Z367" s="25" t="str">
        <f aca="false">IF(ISNUMBER(A367),IF(COUNTIF(祝日!$A:$A,A367)&gt;0,"祝",CHOOSE(WEEKDAY(A367,2),"月","火","水","木","金","土","日")),"")</f>
        <v/>
      </c>
      <c r="AA367" s="25" t="str">
        <f aca="false">IF(ISNUMBER(A367),IFERROR(INDEX(集計!$J$3:$J$33,MATCH(A367,集計!$B$3:$B$33,0)),0),"")</f>
        <v/>
      </c>
      <c r="AB367" s="25" t="str">
        <f aca="false">IF(ISNUMBER(A367),IFERROR(INDEX(設定!$F$4:$F$27,MATCH(K367,設定!$E$4:$E$27,0)),""),"")</f>
        <v/>
      </c>
    </row>
    <row r="368" customFormat="false" ht="15" hidden="false" customHeight="false" outlineLevel="0" collapsed="false">
      <c r="Z368" s="25" t="str">
        <f aca="false">IF(ISNUMBER(A368),IF(COUNTIF(祝日!$A:$A,A368)&gt;0,"祝",CHOOSE(WEEKDAY(A368,2),"月","火","水","木","金","土","日")),"")</f>
        <v/>
      </c>
      <c r="AA368" s="25" t="str">
        <f aca="false">IF(ISNUMBER(A368),IFERROR(INDEX(集計!$J$3:$J$33,MATCH(A368,集計!$B$3:$B$33,0)),0),"")</f>
        <v/>
      </c>
      <c r="AB368" s="25" t="str">
        <f aca="false">IF(ISNUMBER(A368),IFERROR(INDEX(設定!$F$4:$F$27,MATCH(K368,設定!$E$4:$E$27,0)),""),"")</f>
        <v/>
      </c>
    </row>
    <row r="369" customFormat="false" ht="15" hidden="false" customHeight="false" outlineLevel="0" collapsed="false">
      <c r="Z369" s="25" t="str">
        <f aca="false">IF(ISNUMBER(A369),IF(COUNTIF(祝日!$A:$A,A369)&gt;0,"祝",CHOOSE(WEEKDAY(A369,2),"月","火","水","木","金","土","日")),"")</f>
        <v/>
      </c>
      <c r="AA369" s="25" t="str">
        <f aca="false">IF(ISNUMBER(A369),IFERROR(INDEX(集計!$J$3:$J$33,MATCH(A369,集計!$B$3:$B$33,0)),0),"")</f>
        <v/>
      </c>
      <c r="AB369" s="25" t="str">
        <f aca="false">IF(ISNUMBER(A369),IFERROR(INDEX(設定!$F$4:$F$27,MATCH(K369,設定!$E$4:$E$27,0)),""),"")</f>
        <v/>
      </c>
    </row>
    <row r="370" customFormat="false" ht="15" hidden="false" customHeight="false" outlineLevel="0" collapsed="false">
      <c r="Z370" s="25" t="str">
        <f aca="false">IF(ISNUMBER(A370),IF(COUNTIF(祝日!$A:$A,A370)&gt;0,"祝",CHOOSE(WEEKDAY(A370,2),"月","火","水","木","金","土","日")),"")</f>
        <v/>
      </c>
      <c r="AA370" s="25" t="str">
        <f aca="false">IF(ISNUMBER(A370),IFERROR(INDEX(集計!$J$3:$J$33,MATCH(A370,集計!$B$3:$B$33,0)),0),"")</f>
        <v/>
      </c>
      <c r="AB370" s="25" t="str">
        <f aca="false">IF(ISNUMBER(A370),IFERROR(INDEX(設定!$F$4:$F$27,MATCH(K370,設定!$E$4:$E$27,0)),""),"")</f>
        <v/>
      </c>
    </row>
    <row r="371" customFormat="false" ht="15" hidden="false" customHeight="false" outlineLevel="0" collapsed="false">
      <c r="Z371" s="25" t="str">
        <f aca="false">IF(ISNUMBER(A371),IF(COUNTIF(祝日!$A:$A,A371)&gt;0,"祝",CHOOSE(WEEKDAY(A371,2),"月","火","水","木","金","土","日")),"")</f>
        <v/>
      </c>
      <c r="AA371" s="25" t="str">
        <f aca="false">IF(ISNUMBER(A371),IFERROR(INDEX(集計!$J$3:$J$33,MATCH(A371,集計!$B$3:$B$33,0)),0),"")</f>
        <v/>
      </c>
      <c r="AB371" s="25" t="str">
        <f aca="false">IF(ISNUMBER(A371),IFERROR(INDEX(設定!$F$4:$F$27,MATCH(K371,設定!$E$4:$E$27,0)),""),"")</f>
        <v/>
      </c>
    </row>
    <row r="372" customFormat="false" ht="15" hidden="false" customHeight="false" outlineLevel="0" collapsed="false">
      <c r="Z372" s="25" t="str">
        <f aca="false">IF(ISNUMBER(A372),IF(COUNTIF(祝日!$A:$A,A372)&gt;0,"祝",CHOOSE(WEEKDAY(A372,2),"月","火","水","木","金","土","日")),"")</f>
        <v/>
      </c>
      <c r="AA372" s="25" t="str">
        <f aca="false">IF(ISNUMBER(A372),IFERROR(INDEX(集計!$J$3:$J$33,MATCH(A372,集計!$B$3:$B$33,0)),0),"")</f>
        <v/>
      </c>
      <c r="AB372" s="25" t="str">
        <f aca="false">IF(ISNUMBER(A372),IFERROR(INDEX(設定!$F$4:$F$27,MATCH(K372,設定!$E$4:$E$27,0)),""),"")</f>
        <v/>
      </c>
    </row>
    <row r="373" customFormat="false" ht="15" hidden="false" customHeight="false" outlineLevel="0" collapsed="false">
      <c r="Z373" s="25" t="str">
        <f aca="false">IF(ISNUMBER(A373),IF(COUNTIF(祝日!$A:$A,A373)&gt;0,"祝",CHOOSE(WEEKDAY(A373,2),"月","火","水","木","金","土","日")),"")</f>
        <v/>
      </c>
      <c r="AA373" s="25" t="str">
        <f aca="false">IF(ISNUMBER(A373),IFERROR(INDEX(集計!$J$3:$J$33,MATCH(A373,集計!$B$3:$B$33,0)),0),"")</f>
        <v/>
      </c>
      <c r="AB373" s="25" t="str">
        <f aca="false">IF(ISNUMBER(A373),IFERROR(INDEX(設定!$F$4:$F$27,MATCH(K373,設定!$E$4:$E$27,0)),""),"")</f>
        <v/>
      </c>
    </row>
    <row r="374" customFormat="false" ht="15" hidden="false" customHeight="false" outlineLevel="0" collapsed="false">
      <c r="Z374" s="25" t="str">
        <f aca="false">IF(ISNUMBER(A374),IF(COUNTIF(祝日!$A:$A,A374)&gt;0,"祝",CHOOSE(WEEKDAY(A374,2),"月","火","水","木","金","土","日")),"")</f>
        <v/>
      </c>
      <c r="AA374" s="25" t="str">
        <f aca="false">IF(ISNUMBER(A374),IFERROR(INDEX(集計!$J$3:$J$33,MATCH(A374,集計!$B$3:$B$33,0)),0),"")</f>
        <v/>
      </c>
      <c r="AB374" s="25" t="str">
        <f aca="false">IF(ISNUMBER(A374),IFERROR(INDEX(設定!$F$4:$F$27,MATCH(K374,設定!$E$4:$E$27,0)),""),"")</f>
        <v/>
      </c>
    </row>
    <row r="375" customFormat="false" ht="15" hidden="false" customHeight="false" outlineLevel="0" collapsed="false">
      <c r="Z375" s="25" t="str">
        <f aca="false">IF(ISNUMBER(A375),IF(COUNTIF(祝日!$A:$A,A375)&gt;0,"祝",CHOOSE(WEEKDAY(A375,2),"月","火","水","木","金","土","日")),"")</f>
        <v/>
      </c>
      <c r="AA375" s="25" t="str">
        <f aca="false">IF(ISNUMBER(A375),IFERROR(INDEX(集計!$J$3:$J$33,MATCH(A375,集計!$B$3:$B$33,0)),0),"")</f>
        <v/>
      </c>
      <c r="AB375" s="25" t="str">
        <f aca="false">IF(ISNUMBER(A375),IFERROR(INDEX(設定!$F$4:$F$27,MATCH(K375,設定!$E$4:$E$27,0)),""),"")</f>
        <v/>
      </c>
    </row>
    <row r="376" customFormat="false" ht="15" hidden="false" customHeight="false" outlineLevel="0" collapsed="false">
      <c r="Z376" s="25" t="str">
        <f aca="false">IF(ISNUMBER(A376),IF(COUNTIF(祝日!$A:$A,A376)&gt;0,"祝",CHOOSE(WEEKDAY(A376,2),"月","火","水","木","金","土","日")),"")</f>
        <v/>
      </c>
      <c r="AA376" s="25" t="str">
        <f aca="false">IF(ISNUMBER(A376),IFERROR(INDEX(集計!$J$3:$J$33,MATCH(A376,集計!$B$3:$B$33,0)),0),"")</f>
        <v/>
      </c>
      <c r="AB376" s="25" t="str">
        <f aca="false">IF(ISNUMBER(A376),IFERROR(INDEX(設定!$F$4:$F$27,MATCH(K376,設定!$E$4:$E$27,0)),""),"")</f>
        <v/>
      </c>
    </row>
    <row r="377" customFormat="false" ht="15" hidden="false" customHeight="false" outlineLevel="0" collapsed="false">
      <c r="Z377" s="25" t="str">
        <f aca="false">IF(ISNUMBER(A377),IF(COUNTIF(祝日!$A:$A,A377)&gt;0,"祝",CHOOSE(WEEKDAY(A377,2),"月","火","水","木","金","土","日")),"")</f>
        <v/>
      </c>
      <c r="AA377" s="25" t="str">
        <f aca="false">IF(ISNUMBER(A377),IFERROR(INDEX(集計!$J$3:$J$33,MATCH(A377,集計!$B$3:$B$33,0)),0),"")</f>
        <v/>
      </c>
      <c r="AB377" s="25" t="str">
        <f aca="false">IF(ISNUMBER(A377),IFERROR(INDEX(設定!$F$4:$F$27,MATCH(K377,設定!$E$4:$E$27,0)),""),"")</f>
        <v/>
      </c>
    </row>
    <row r="378" customFormat="false" ht="15" hidden="false" customHeight="false" outlineLevel="0" collapsed="false">
      <c r="Z378" s="25" t="str">
        <f aca="false">IF(ISNUMBER(A378),IF(COUNTIF(祝日!$A:$A,A378)&gt;0,"祝",CHOOSE(WEEKDAY(A378,2),"月","火","水","木","金","土","日")),"")</f>
        <v/>
      </c>
      <c r="AA378" s="25" t="str">
        <f aca="false">IF(ISNUMBER(A378),IFERROR(INDEX(集計!$J$3:$J$33,MATCH(A378,集計!$B$3:$B$33,0)),0),"")</f>
        <v/>
      </c>
      <c r="AB378" s="25" t="str">
        <f aca="false">IF(ISNUMBER(A378),IFERROR(INDEX(設定!$F$4:$F$27,MATCH(K378,設定!$E$4:$E$27,0)),""),"")</f>
        <v/>
      </c>
    </row>
    <row r="379" customFormat="false" ht="15" hidden="false" customHeight="false" outlineLevel="0" collapsed="false">
      <c r="Z379" s="25" t="str">
        <f aca="false">IF(ISNUMBER(A379),IF(COUNTIF(祝日!$A:$A,A379)&gt;0,"祝",CHOOSE(WEEKDAY(A379,2),"月","火","水","木","金","土","日")),"")</f>
        <v/>
      </c>
      <c r="AA379" s="25" t="str">
        <f aca="false">IF(ISNUMBER(A379),IFERROR(INDEX(集計!$J$3:$J$33,MATCH(A379,集計!$B$3:$B$33,0)),0),"")</f>
        <v/>
      </c>
      <c r="AB379" s="25" t="str">
        <f aca="false">IF(ISNUMBER(A379),IFERROR(INDEX(設定!$F$4:$F$27,MATCH(K379,設定!$E$4:$E$27,0)),""),"")</f>
        <v/>
      </c>
    </row>
    <row r="380" customFormat="false" ht="15" hidden="false" customHeight="false" outlineLevel="0" collapsed="false">
      <c r="Z380" s="25" t="str">
        <f aca="false">IF(ISNUMBER(A380),IF(COUNTIF(祝日!$A:$A,A380)&gt;0,"祝",CHOOSE(WEEKDAY(A380,2),"月","火","水","木","金","土","日")),"")</f>
        <v/>
      </c>
      <c r="AA380" s="25" t="str">
        <f aca="false">IF(ISNUMBER(A380),IFERROR(INDEX(集計!$J$3:$J$33,MATCH(A380,集計!$B$3:$B$33,0)),0),"")</f>
        <v/>
      </c>
      <c r="AB380" s="25" t="str">
        <f aca="false">IF(ISNUMBER(A380),IFERROR(INDEX(設定!$F$4:$F$27,MATCH(K380,設定!$E$4:$E$27,0)),""),"")</f>
        <v/>
      </c>
    </row>
    <row r="381" customFormat="false" ht="15" hidden="false" customHeight="false" outlineLevel="0" collapsed="false">
      <c r="Z381" s="25" t="str">
        <f aca="false">IF(ISNUMBER(A381),IF(COUNTIF(祝日!$A:$A,A381)&gt;0,"祝",CHOOSE(WEEKDAY(A381,2),"月","火","水","木","金","土","日")),"")</f>
        <v/>
      </c>
      <c r="AA381" s="25" t="str">
        <f aca="false">IF(ISNUMBER(A381),IFERROR(INDEX(集計!$J$3:$J$33,MATCH(A381,集計!$B$3:$B$33,0)),0),"")</f>
        <v/>
      </c>
      <c r="AB381" s="25" t="str">
        <f aca="false">IF(ISNUMBER(A381),IFERROR(INDEX(設定!$F$4:$F$27,MATCH(K381,設定!$E$4:$E$27,0)),""),"")</f>
        <v/>
      </c>
    </row>
    <row r="382" customFormat="false" ht="15" hidden="false" customHeight="false" outlineLevel="0" collapsed="false">
      <c r="Z382" s="25" t="str">
        <f aca="false">IF(ISNUMBER(A382),IF(COUNTIF(祝日!$A:$A,A382)&gt;0,"祝",CHOOSE(WEEKDAY(A382,2),"月","火","水","木","金","土","日")),"")</f>
        <v/>
      </c>
      <c r="AA382" s="25" t="str">
        <f aca="false">IF(ISNUMBER(A382),IFERROR(INDEX(集計!$J$3:$J$33,MATCH(A382,集計!$B$3:$B$33,0)),0),"")</f>
        <v/>
      </c>
      <c r="AB382" s="25" t="str">
        <f aca="false">IF(ISNUMBER(A382),IFERROR(INDEX(設定!$F$4:$F$27,MATCH(K382,設定!$E$4:$E$27,0)),""),"")</f>
        <v/>
      </c>
    </row>
    <row r="383" customFormat="false" ht="15" hidden="false" customHeight="false" outlineLevel="0" collapsed="false">
      <c r="Z383" s="25" t="str">
        <f aca="false">IF(ISNUMBER(A383),IF(COUNTIF(祝日!$A:$A,A383)&gt;0,"祝",CHOOSE(WEEKDAY(A383,2),"月","火","水","木","金","土","日")),"")</f>
        <v/>
      </c>
      <c r="AA383" s="25" t="str">
        <f aca="false">IF(ISNUMBER(A383),IFERROR(INDEX(集計!$J$3:$J$33,MATCH(A383,集計!$B$3:$B$33,0)),0),"")</f>
        <v/>
      </c>
      <c r="AB383" s="25" t="str">
        <f aca="false">IF(ISNUMBER(A383),IFERROR(INDEX(設定!$F$4:$F$27,MATCH(K383,設定!$E$4:$E$27,0)),""),"")</f>
        <v/>
      </c>
    </row>
    <row r="384" customFormat="false" ht="15" hidden="false" customHeight="false" outlineLevel="0" collapsed="false">
      <c r="Z384" s="25" t="str">
        <f aca="false">IF(ISNUMBER(A384),IF(COUNTIF(祝日!$A:$A,A384)&gt;0,"祝",CHOOSE(WEEKDAY(A384,2),"月","火","水","木","金","土","日")),"")</f>
        <v/>
      </c>
      <c r="AA384" s="25" t="str">
        <f aca="false">IF(ISNUMBER(A384),IFERROR(INDEX(集計!$J$3:$J$33,MATCH(A384,集計!$B$3:$B$33,0)),0),"")</f>
        <v/>
      </c>
      <c r="AB384" s="25" t="str">
        <f aca="false">IF(ISNUMBER(A384),IFERROR(INDEX(設定!$F$4:$F$27,MATCH(K384,設定!$E$4:$E$27,0)),""),"")</f>
        <v/>
      </c>
    </row>
    <row r="385" customFormat="false" ht="15" hidden="false" customHeight="false" outlineLevel="0" collapsed="false">
      <c r="Z385" s="25" t="str">
        <f aca="false">IF(ISNUMBER(A385),IF(COUNTIF(祝日!$A:$A,A385)&gt;0,"祝",CHOOSE(WEEKDAY(A385,2),"月","火","水","木","金","土","日")),"")</f>
        <v/>
      </c>
      <c r="AA385" s="25" t="str">
        <f aca="false">IF(ISNUMBER(A385),IFERROR(INDEX(集計!$J$3:$J$33,MATCH(A385,集計!$B$3:$B$33,0)),0),"")</f>
        <v/>
      </c>
      <c r="AB385" s="25" t="str">
        <f aca="false">IF(ISNUMBER(A385),IFERROR(INDEX(設定!$F$4:$F$27,MATCH(K385,設定!$E$4:$E$27,0)),""),"")</f>
        <v/>
      </c>
    </row>
    <row r="386" customFormat="false" ht="15" hidden="false" customHeight="false" outlineLevel="0" collapsed="false">
      <c r="Z386" s="25" t="str">
        <f aca="false">IF(ISNUMBER(A386),IF(COUNTIF(祝日!$A:$A,A386)&gt;0,"祝",CHOOSE(WEEKDAY(A386,2),"月","火","水","木","金","土","日")),"")</f>
        <v/>
      </c>
      <c r="AA386" s="25" t="str">
        <f aca="false">IF(ISNUMBER(A386),IFERROR(INDEX(集計!$J$3:$J$33,MATCH(A386,集計!$B$3:$B$33,0)),0),"")</f>
        <v/>
      </c>
      <c r="AB386" s="25" t="str">
        <f aca="false">IF(ISNUMBER(A386),IFERROR(INDEX(設定!$F$4:$F$27,MATCH(K386,設定!$E$4:$E$27,0)),""),"")</f>
        <v/>
      </c>
    </row>
    <row r="387" customFormat="false" ht="15" hidden="false" customHeight="false" outlineLevel="0" collapsed="false">
      <c r="Z387" s="25" t="str">
        <f aca="false">IF(ISNUMBER(A387),IF(COUNTIF(祝日!$A:$A,A387)&gt;0,"祝",CHOOSE(WEEKDAY(A387,2),"月","火","水","木","金","土","日")),"")</f>
        <v/>
      </c>
      <c r="AA387" s="25" t="str">
        <f aca="false">IF(ISNUMBER(A387),IFERROR(INDEX(集計!$J$3:$J$33,MATCH(A387,集計!$B$3:$B$33,0)),0),"")</f>
        <v/>
      </c>
      <c r="AB387" s="25" t="str">
        <f aca="false">IF(ISNUMBER(A387),IFERROR(INDEX(設定!$F$4:$F$27,MATCH(K387,設定!$E$4:$E$27,0)),""),"")</f>
        <v/>
      </c>
    </row>
    <row r="388" customFormat="false" ht="15" hidden="false" customHeight="false" outlineLevel="0" collapsed="false">
      <c r="Z388" s="25" t="str">
        <f aca="false">IF(ISNUMBER(A388),IF(COUNTIF(祝日!$A:$A,A388)&gt;0,"祝",CHOOSE(WEEKDAY(A388,2),"月","火","水","木","金","土","日")),"")</f>
        <v/>
      </c>
      <c r="AA388" s="25" t="str">
        <f aca="false">IF(ISNUMBER(A388),IFERROR(INDEX(集計!$J$3:$J$33,MATCH(A388,集計!$B$3:$B$33,0)),0),"")</f>
        <v/>
      </c>
      <c r="AB388" s="25" t="str">
        <f aca="false">IF(ISNUMBER(A388),IFERROR(INDEX(設定!$F$4:$F$27,MATCH(K388,設定!$E$4:$E$27,0)),""),"")</f>
        <v/>
      </c>
    </row>
    <row r="389" customFormat="false" ht="15" hidden="false" customHeight="false" outlineLevel="0" collapsed="false">
      <c r="Z389" s="25" t="str">
        <f aca="false">IF(ISNUMBER(A389),IF(COUNTIF(祝日!$A:$A,A389)&gt;0,"祝",CHOOSE(WEEKDAY(A389,2),"月","火","水","木","金","土","日")),"")</f>
        <v/>
      </c>
      <c r="AA389" s="25" t="str">
        <f aca="false">IF(ISNUMBER(A389),IFERROR(INDEX(集計!$J$3:$J$33,MATCH(A389,集計!$B$3:$B$33,0)),0),"")</f>
        <v/>
      </c>
      <c r="AB389" s="25" t="str">
        <f aca="false">IF(ISNUMBER(A389),IFERROR(INDEX(設定!$F$4:$F$27,MATCH(K389,設定!$E$4:$E$27,0)),""),"")</f>
        <v/>
      </c>
    </row>
    <row r="390" customFormat="false" ht="15" hidden="false" customHeight="false" outlineLevel="0" collapsed="false">
      <c r="Z390" s="25" t="str">
        <f aca="false">IF(ISNUMBER(A390),IF(COUNTIF(祝日!$A:$A,A390)&gt;0,"祝",CHOOSE(WEEKDAY(A390,2),"月","火","水","木","金","土","日")),"")</f>
        <v/>
      </c>
      <c r="AA390" s="25" t="str">
        <f aca="false">IF(ISNUMBER(A390),IFERROR(INDEX(集計!$J$3:$J$33,MATCH(A390,集計!$B$3:$B$33,0)),0),"")</f>
        <v/>
      </c>
      <c r="AB390" s="25" t="str">
        <f aca="false">IF(ISNUMBER(A390),IFERROR(INDEX(設定!$F$4:$F$27,MATCH(K390,設定!$E$4:$E$27,0)),""),"")</f>
        <v/>
      </c>
    </row>
    <row r="391" customFormat="false" ht="15" hidden="false" customHeight="false" outlineLevel="0" collapsed="false">
      <c r="Z391" s="25" t="str">
        <f aca="false">IF(ISNUMBER(A391),IF(COUNTIF(祝日!$A:$A,A391)&gt;0,"祝",CHOOSE(WEEKDAY(A391,2),"月","火","水","木","金","土","日")),"")</f>
        <v/>
      </c>
      <c r="AA391" s="25" t="str">
        <f aca="false">IF(ISNUMBER(A391),IFERROR(INDEX(集計!$J$3:$J$33,MATCH(A391,集計!$B$3:$B$33,0)),0),"")</f>
        <v/>
      </c>
      <c r="AB391" s="25" t="str">
        <f aca="false">IF(ISNUMBER(A391),IFERROR(INDEX(設定!$F$4:$F$27,MATCH(K391,設定!$E$4:$E$27,0)),""),"")</f>
        <v/>
      </c>
    </row>
    <row r="392" customFormat="false" ht="15" hidden="false" customHeight="false" outlineLevel="0" collapsed="false">
      <c r="Z392" s="25" t="str">
        <f aca="false">IF(ISNUMBER(A392),IF(COUNTIF(祝日!$A:$A,A392)&gt;0,"祝",CHOOSE(WEEKDAY(A392,2),"月","火","水","木","金","土","日")),"")</f>
        <v/>
      </c>
      <c r="AA392" s="25" t="str">
        <f aca="false">IF(ISNUMBER(A392),IFERROR(INDEX(集計!$J$3:$J$33,MATCH(A392,集計!$B$3:$B$33,0)),0),"")</f>
        <v/>
      </c>
      <c r="AB392" s="25" t="str">
        <f aca="false">IF(ISNUMBER(A392),IFERROR(INDEX(設定!$F$4:$F$27,MATCH(K392,設定!$E$4:$E$27,0)),""),"")</f>
        <v/>
      </c>
    </row>
    <row r="393" customFormat="false" ht="15" hidden="false" customHeight="false" outlineLevel="0" collapsed="false">
      <c r="Z393" s="25" t="str">
        <f aca="false">IF(ISNUMBER(A393),IF(COUNTIF(祝日!$A:$A,A393)&gt;0,"祝",CHOOSE(WEEKDAY(A393,2),"月","火","水","木","金","土","日")),"")</f>
        <v/>
      </c>
      <c r="AA393" s="25" t="str">
        <f aca="false">IF(ISNUMBER(A393),IFERROR(INDEX(集計!$J$3:$J$33,MATCH(A393,集計!$B$3:$B$33,0)),0),"")</f>
        <v/>
      </c>
      <c r="AB393" s="25" t="str">
        <f aca="false">IF(ISNUMBER(A393),IFERROR(INDEX(設定!$F$4:$F$27,MATCH(K393,設定!$E$4:$E$27,0)),""),"")</f>
        <v/>
      </c>
    </row>
    <row r="394" customFormat="false" ht="15" hidden="false" customHeight="false" outlineLevel="0" collapsed="false">
      <c r="Z394" s="25" t="str">
        <f aca="false">IF(ISNUMBER(A394),IF(COUNTIF(祝日!$A:$A,A394)&gt;0,"祝",CHOOSE(WEEKDAY(A394,2),"月","火","水","木","金","土","日")),"")</f>
        <v/>
      </c>
      <c r="AA394" s="25" t="str">
        <f aca="false">IF(ISNUMBER(A394),IFERROR(INDEX(集計!$J$3:$J$33,MATCH(A394,集計!$B$3:$B$33,0)),0),"")</f>
        <v/>
      </c>
      <c r="AB394" s="25" t="str">
        <f aca="false">IF(ISNUMBER(A394),IFERROR(INDEX(設定!$F$4:$F$27,MATCH(K394,設定!$E$4:$E$27,0)),""),"")</f>
        <v/>
      </c>
    </row>
    <row r="395" customFormat="false" ht="15" hidden="false" customHeight="false" outlineLevel="0" collapsed="false">
      <c r="Z395" s="25" t="str">
        <f aca="false">IF(ISNUMBER(A395),IF(COUNTIF(祝日!$A:$A,A395)&gt;0,"祝",CHOOSE(WEEKDAY(A395,2),"月","火","水","木","金","土","日")),"")</f>
        <v/>
      </c>
      <c r="AA395" s="25" t="str">
        <f aca="false">IF(ISNUMBER(A395),IFERROR(INDEX(集計!$J$3:$J$33,MATCH(A395,集計!$B$3:$B$33,0)),0),"")</f>
        <v/>
      </c>
      <c r="AB395" s="25" t="str">
        <f aca="false">IF(ISNUMBER(A395),IFERROR(INDEX(設定!$F$4:$F$27,MATCH(K395,設定!$E$4:$E$27,0)),""),"")</f>
        <v/>
      </c>
    </row>
    <row r="396" customFormat="false" ht="15" hidden="false" customHeight="false" outlineLevel="0" collapsed="false">
      <c r="Z396" s="25" t="str">
        <f aca="false">IF(ISNUMBER(A396),IF(COUNTIF(祝日!$A:$A,A396)&gt;0,"祝",CHOOSE(WEEKDAY(A396,2),"月","火","水","木","金","土","日")),"")</f>
        <v/>
      </c>
      <c r="AA396" s="25" t="str">
        <f aca="false">IF(ISNUMBER(A396),IFERROR(INDEX(集計!$J$3:$J$33,MATCH(A396,集計!$B$3:$B$33,0)),0),"")</f>
        <v/>
      </c>
      <c r="AB396" s="25" t="str">
        <f aca="false">IF(ISNUMBER(A396),IFERROR(INDEX(設定!$F$4:$F$27,MATCH(K396,設定!$E$4:$E$27,0)),""),"")</f>
        <v/>
      </c>
    </row>
    <row r="397" customFormat="false" ht="15" hidden="false" customHeight="false" outlineLevel="0" collapsed="false">
      <c r="Z397" s="25" t="str">
        <f aca="false">IF(ISNUMBER(A397),IF(COUNTIF(祝日!$A:$A,A397)&gt;0,"祝",CHOOSE(WEEKDAY(A397,2),"月","火","水","木","金","土","日")),"")</f>
        <v/>
      </c>
      <c r="AA397" s="25" t="str">
        <f aca="false">IF(ISNUMBER(A397),IFERROR(INDEX(集計!$J$3:$J$33,MATCH(A397,集計!$B$3:$B$33,0)),0),"")</f>
        <v/>
      </c>
      <c r="AB397" s="25" t="str">
        <f aca="false">IF(ISNUMBER(A397),IFERROR(INDEX(設定!$F$4:$F$27,MATCH(K397,設定!$E$4:$E$27,0)),""),"")</f>
        <v/>
      </c>
    </row>
    <row r="398" customFormat="false" ht="15" hidden="false" customHeight="false" outlineLevel="0" collapsed="false">
      <c r="Z398" s="25" t="str">
        <f aca="false">IF(ISNUMBER(A398),IF(COUNTIF(祝日!$A:$A,A398)&gt;0,"祝",CHOOSE(WEEKDAY(A398,2),"月","火","水","木","金","土","日")),"")</f>
        <v/>
      </c>
      <c r="AA398" s="25" t="str">
        <f aca="false">IF(ISNUMBER(A398),IFERROR(INDEX(集計!$J$3:$J$33,MATCH(A398,集計!$B$3:$B$33,0)),0),"")</f>
        <v/>
      </c>
      <c r="AB398" s="25" t="str">
        <f aca="false">IF(ISNUMBER(A398),IFERROR(INDEX(設定!$F$4:$F$27,MATCH(K398,設定!$E$4:$E$27,0)),""),"")</f>
        <v/>
      </c>
    </row>
    <row r="399" customFormat="false" ht="15" hidden="false" customHeight="false" outlineLevel="0" collapsed="false">
      <c r="Z399" s="25" t="str">
        <f aca="false">IF(ISNUMBER(A399),IF(COUNTIF(祝日!$A:$A,A399)&gt;0,"祝",CHOOSE(WEEKDAY(A399,2),"月","火","水","木","金","土","日")),"")</f>
        <v/>
      </c>
      <c r="AA399" s="25" t="str">
        <f aca="false">IF(ISNUMBER(A399),IFERROR(INDEX(集計!$J$3:$J$33,MATCH(A399,集計!$B$3:$B$33,0)),0),"")</f>
        <v/>
      </c>
      <c r="AB399" s="25" t="str">
        <f aca="false">IF(ISNUMBER(A399),IFERROR(INDEX(設定!$F$4:$F$27,MATCH(K399,設定!$E$4:$E$27,0)),""),"")</f>
        <v/>
      </c>
    </row>
    <row r="400" customFormat="false" ht="15" hidden="false" customHeight="false" outlineLevel="0" collapsed="false">
      <c r="Z400" s="25" t="str">
        <f aca="false">IF(ISNUMBER(A400),IF(COUNTIF(祝日!$A:$A,A400)&gt;0,"祝",CHOOSE(WEEKDAY(A400,2),"月","火","水","木","金","土","日")),"")</f>
        <v/>
      </c>
      <c r="AA400" s="25" t="str">
        <f aca="false">IF(ISNUMBER(A400),IFERROR(INDEX(集計!$J$3:$J$33,MATCH(A400,集計!$B$3:$B$33,0)),0),"")</f>
        <v/>
      </c>
      <c r="AB400" s="25" t="str">
        <f aca="false">IF(ISNUMBER(A400),IFERROR(INDEX(設定!$F$4:$F$27,MATCH(K400,設定!$E$4:$E$27,0)),""),"")</f>
        <v/>
      </c>
    </row>
    <row r="401" customFormat="false" ht="15" hidden="false" customHeight="false" outlineLevel="0" collapsed="false">
      <c r="Z401" s="25" t="str">
        <f aca="false">IF(ISNUMBER(A401),IF(COUNTIF(祝日!$A:$A,A401)&gt;0,"祝",CHOOSE(WEEKDAY(A401,2),"月","火","水","木","金","土","日")),"")</f>
        <v/>
      </c>
      <c r="AA401" s="25" t="str">
        <f aca="false">IF(ISNUMBER(A401),IFERROR(INDEX(集計!$J$3:$J$33,MATCH(A401,集計!$B$3:$B$33,0)),0),"")</f>
        <v/>
      </c>
      <c r="AB401" s="25" t="str">
        <f aca="false">IF(ISNUMBER(A401),IFERROR(INDEX(設定!$F$4:$F$27,MATCH(K401,設定!$E$4:$E$27,0)),""),"")</f>
        <v/>
      </c>
    </row>
    <row r="402" customFormat="false" ht="15" hidden="false" customHeight="false" outlineLevel="0" collapsed="false">
      <c r="Z402" s="25" t="str">
        <f aca="false">IF(ISNUMBER(A402),IF(COUNTIF(祝日!$A:$A,A402)&gt;0,"祝",CHOOSE(WEEKDAY(A402,2),"月","火","水","木","金","土","日")),"")</f>
        <v/>
      </c>
      <c r="AA402" s="25" t="str">
        <f aca="false">IF(ISNUMBER(A402),IFERROR(INDEX(集計!$J$3:$J$33,MATCH(A402,集計!$B$3:$B$33,0)),0),"")</f>
        <v/>
      </c>
      <c r="AB402" s="25" t="str">
        <f aca="false">IF(ISNUMBER(A402),IFERROR(INDEX(設定!$F$4:$F$27,MATCH(K402,設定!$E$4:$E$27,0)),""),"")</f>
        <v/>
      </c>
    </row>
    <row r="403" customFormat="false" ht="15" hidden="false" customHeight="false" outlineLevel="0" collapsed="false">
      <c r="Z403" s="25" t="str">
        <f aca="false">IF(ISNUMBER(A403),IF(COUNTIF(祝日!$A:$A,A403)&gt;0,"祝",CHOOSE(WEEKDAY(A403,2),"月","火","水","木","金","土","日")),"")</f>
        <v/>
      </c>
      <c r="AA403" s="25" t="str">
        <f aca="false">IF(ISNUMBER(A403),IFERROR(INDEX(集計!$J$3:$J$33,MATCH(A403,集計!$B$3:$B$33,0)),0),"")</f>
        <v/>
      </c>
      <c r="AB403" s="25" t="str">
        <f aca="false">IF(ISNUMBER(A403),IFERROR(INDEX(設定!$F$4:$F$27,MATCH(K403,設定!$E$4:$E$27,0)),""),"")</f>
        <v/>
      </c>
    </row>
    <row r="404" customFormat="false" ht="15" hidden="false" customHeight="false" outlineLevel="0" collapsed="false">
      <c r="Z404" s="25" t="str">
        <f aca="false">IF(ISNUMBER(A404),IF(COUNTIF(祝日!$A:$A,A404)&gt;0,"祝",CHOOSE(WEEKDAY(A404,2),"月","火","水","木","金","土","日")),"")</f>
        <v/>
      </c>
      <c r="AA404" s="25" t="str">
        <f aca="false">IF(ISNUMBER(A404),IFERROR(INDEX(集計!$J$3:$J$33,MATCH(A404,集計!$B$3:$B$33,0)),0),"")</f>
        <v/>
      </c>
      <c r="AB404" s="25" t="str">
        <f aca="false">IF(ISNUMBER(A404),IFERROR(INDEX(設定!$F$4:$F$27,MATCH(K404,設定!$E$4:$E$27,0)),""),"")</f>
        <v/>
      </c>
    </row>
    <row r="405" customFormat="false" ht="15" hidden="false" customHeight="false" outlineLevel="0" collapsed="false">
      <c r="Z405" s="25" t="str">
        <f aca="false">IF(ISNUMBER(A405),IF(COUNTIF(祝日!$A:$A,A405)&gt;0,"祝",CHOOSE(WEEKDAY(A405,2),"月","火","水","木","金","土","日")),"")</f>
        <v/>
      </c>
      <c r="AA405" s="25" t="str">
        <f aca="false">IF(ISNUMBER(A405),IFERROR(INDEX(集計!$J$3:$J$33,MATCH(A405,集計!$B$3:$B$33,0)),0),"")</f>
        <v/>
      </c>
      <c r="AB405" s="25" t="str">
        <f aca="false">IF(ISNUMBER(A405),IFERROR(INDEX(設定!$F$4:$F$27,MATCH(K405,設定!$E$4:$E$27,0)),""),"")</f>
        <v/>
      </c>
    </row>
    <row r="406" customFormat="false" ht="15" hidden="false" customHeight="false" outlineLevel="0" collapsed="false">
      <c r="Z406" s="25" t="str">
        <f aca="false">IF(ISNUMBER(A406),IF(COUNTIF(祝日!$A:$A,A406)&gt;0,"祝",CHOOSE(WEEKDAY(A406,2),"月","火","水","木","金","土","日")),"")</f>
        <v/>
      </c>
      <c r="AA406" s="25" t="str">
        <f aca="false">IF(ISNUMBER(A406),IFERROR(INDEX(集計!$J$3:$J$33,MATCH(A406,集計!$B$3:$B$33,0)),0),"")</f>
        <v/>
      </c>
      <c r="AB406" s="25" t="str">
        <f aca="false">IF(ISNUMBER(A406),IFERROR(INDEX(設定!$F$4:$F$27,MATCH(K406,設定!$E$4:$E$27,0)),""),"")</f>
        <v/>
      </c>
    </row>
    <row r="407" customFormat="false" ht="15" hidden="false" customHeight="false" outlineLevel="0" collapsed="false">
      <c r="Z407" s="25" t="str">
        <f aca="false">IF(ISNUMBER(A407),IF(COUNTIF(祝日!$A:$A,A407)&gt;0,"祝",CHOOSE(WEEKDAY(A407,2),"月","火","水","木","金","土","日")),"")</f>
        <v/>
      </c>
      <c r="AA407" s="25" t="str">
        <f aca="false">IF(ISNUMBER(A407),IFERROR(INDEX(集計!$J$3:$J$33,MATCH(A407,集計!$B$3:$B$33,0)),0),"")</f>
        <v/>
      </c>
      <c r="AB407" s="25" t="str">
        <f aca="false">IF(ISNUMBER(A407),IFERROR(INDEX(設定!$F$4:$F$27,MATCH(K407,設定!$E$4:$E$27,0)),""),"")</f>
        <v/>
      </c>
    </row>
    <row r="408" customFormat="false" ht="15" hidden="false" customHeight="false" outlineLevel="0" collapsed="false">
      <c r="Z408" s="25" t="str">
        <f aca="false">IF(ISNUMBER(A408),IF(COUNTIF(祝日!$A:$A,A408)&gt;0,"祝",CHOOSE(WEEKDAY(A408,2),"月","火","水","木","金","土","日")),"")</f>
        <v/>
      </c>
      <c r="AA408" s="25" t="str">
        <f aca="false">IF(ISNUMBER(A408),IFERROR(INDEX(集計!$J$3:$J$33,MATCH(A408,集計!$B$3:$B$33,0)),0),"")</f>
        <v/>
      </c>
      <c r="AB408" s="25" t="str">
        <f aca="false">IF(ISNUMBER(A408),IFERROR(INDEX(設定!$F$4:$F$27,MATCH(K408,設定!$E$4:$E$27,0)),""),"")</f>
        <v/>
      </c>
    </row>
    <row r="409" customFormat="false" ht="15" hidden="false" customHeight="false" outlineLevel="0" collapsed="false">
      <c r="Z409" s="25" t="str">
        <f aca="false">IF(ISNUMBER(A409),IF(COUNTIF(祝日!$A:$A,A409)&gt;0,"祝",CHOOSE(WEEKDAY(A409,2),"月","火","水","木","金","土","日")),"")</f>
        <v/>
      </c>
      <c r="AA409" s="25" t="str">
        <f aca="false">IF(ISNUMBER(A409),IFERROR(INDEX(集計!$J$3:$J$33,MATCH(A409,集計!$B$3:$B$33,0)),0),"")</f>
        <v/>
      </c>
      <c r="AB409" s="25" t="str">
        <f aca="false">IF(ISNUMBER(A409),IFERROR(INDEX(設定!$F$4:$F$27,MATCH(K409,設定!$E$4:$E$27,0)),""),"")</f>
        <v/>
      </c>
    </row>
    <row r="410" customFormat="false" ht="15" hidden="false" customHeight="false" outlineLevel="0" collapsed="false">
      <c r="Z410" s="25" t="str">
        <f aca="false">IF(ISNUMBER(A410),IF(COUNTIF(祝日!$A:$A,A410)&gt;0,"祝",CHOOSE(WEEKDAY(A410,2),"月","火","水","木","金","土","日")),"")</f>
        <v/>
      </c>
      <c r="AA410" s="25" t="str">
        <f aca="false">IF(ISNUMBER(A410),IFERROR(INDEX(集計!$J$3:$J$33,MATCH(A410,集計!$B$3:$B$33,0)),0),"")</f>
        <v/>
      </c>
      <c r="AB410" s="25" t="str">
        <f aca="false">IF(ISNUMBER(A410),IFERROR(INDEX(設定!$F$4:$F$27,MATCH(K410,設定!$E$4:$E$27,0)),""),"")</f>
        <v/>
      </c>
    </row>
    <row r="411" customFormat="false" ht="15" hidden="false" customHeight="false" outlineLevel="0" collapsed="false">
      <c r="Z411" s="25" t="str">
        <f aca="false">IF(ISNUMBER(A411),IF(COUNTIF(祝日!$A:$A,A411)&gt;0,"祝",CHOOSE(WEEKDAY(A411,2),"月","火","水","木","金","土","日")),"")</f>
        <v/>
      </c>
      <c r="AA411" s="25" t="str">
        <f aca="false">IF(ISNUMBER(A411),IFERROR(INDEX(集計!$J$3:$J$33,MATCH(A411,集計!$B$3:$B$33,0)),0),"")</f>
        <v/>
      </c>
      <c r="AB411" s="25" t="str">
        <f aca="false">IF(ISNUMBER(A411),IFERROR(INDEX(設定!$F$4:$F$27,MATCH(K411,設定!$E$4:$E$27,0)),""),"")</f>
        <v/>
      </c>
    </row>
    <row r="412" customFormat="false" ht="15" hidden="false" customHeight="false" outlineLevel="0" collapsed="false">
      <c r="Z412" s="25" t="str">
        <f aca="false">IF(ISNUMBER(A412),IF(COUNTIF(祝日!$A:$A,A412)&gt;0,"祝",CHOOSE(WEEKDAY(A412,2),"月","火","水","木","金","土","日")),"")</f>
        <v/>
      </c>
      <c r="AA412" s="25" t="str">
        <f aca="false">IF(ISNUMBER(A412),IFERROR(INDEX(集計!$J$3:$J$33,MATCH(A412,集計!$B$3:$B$33,0)),0),"")</f>
        <v/>
      </c>
      <c r="AB412" s="25" t="str">
        <f aca="false">IF(ISNUMBER(A412),IFERROR(INDEX(設定!$F$4:$F$27,MATCH(K412,設定!$E$4:$E$27,0)),""),"")</f>
        <v/>
      </c>
    </row>
    <row r="413" customFormat="false" ht="15" hidden="false" customHeight="false" outlineLevel="0" collapsed="false">
      <c r="Z413" s="25" t="str">
        <f aca="false">IF(ISNUMBER(A413),IF(COUNTIF(祝日!$A:$A,A413)&gt;0,"祝",CHOOSE(WEEKDAY(A413,2),"月","火","水","木","金","土","日")),"")</f>
        <v/>
      </c>
      <c r="AA413" s="25" t="str">
        <f aca="false">IF(ISNUMBER(A413),IFERROR(INDEX(集計!$J$3:$J$33,MATCH(A413,集計!$B$3:$B$33,0)),0),"")</f>
        <v/>
      </c>
      <c r="AB413" s="25" t="str">
        <f aca="false">IF(ISNUMBER(A413),IFERROR(INDEX(設定!$F$4:$F$27,MATCH(K413,設定!$E$4:$E$27,0)),""),"")</f>
        <v/>
      </c>
    </row>
    <row r="414" customFormat="false" ht="15" hidden="false" customHeight="false" outlineLevel="0" collapsed="false">
      <c r="Z414" s="25" t="str">
        <f aca="false">IF(ISNUMBER(A414),IF(COUNTIF(祝日!$A:$A,A414)&gt;0,"祝",CHOOSE(WEEKDAY(A414,2),"月","火","水","木","金","土","日")),"")</f>
        <v/>
      </c>
      <c r="AA414" s="25" t="str">
        <f aca="false">IF(ISNUMBER(A414),IFERROR(INDEX(集計!$J$3:$J$33,MATCH(A414,集計!$B$3:$B$33,0)),0),"")</f>
        <v/>
      </c>
      <c r="AB414" s="25" t="str">
        <f aca="false">IF(ISNUMBER(A414),IFERROR(INDEX(設定!$F$4:$F$27,MATCH(K414,設定!$E$4:$E$27,0)),""),"")</f>
        <v/>
      </c>
    </row>
    <row r="415" customFormat="false" ht="15" hidden="false" customHeight="false" outlineLevel="0" collapsed="false">
      <c r="Z415" s="25" t="str">
        <f aca="false">IF(ISNUMBER(A415),IF(COUNTIF(祝日!$A:$A,A415)&gt;0,"祝",CHOOSE(WEEKDAY(A415,2),"月","火","水","木","金","土","日")),"")</f>
        <v/>
      </c>
      <c r="AA415" s="25" t="str">
        <f aca="false">IF(ISNUMBER(A415),IFERROR(INDEX(集計!$J$3:$J$33,MATCH(A415,集計!$B$3:$B$33,0)),0),"")</f>
        <v/>
      </c>
      <c r="AB415" s="25" t="str">
        <f aca="false">IF(ISNUMBER(A415),IFERROR(INDEX(設定!$F$4:$F$27,MATCH(K415,設定!$E$4:$E$27,0)),""),"")</f>
        <v/>
      </c>
    </row>
    <row r="416" customFormat="false" ht="15" hidden="false" customHeight="false" outlineLevel="0" collapsed="false">
      <c r="Z416" s="25" t="str">
        <f aca="false">IF(ISNUMBER(A416),IF(COUNTIF(祝日!$A:$A,A416)&gt;0,"祝",CHOOSE(WEEKDAY(A416,2),"月","火","水","木","金","土","日")),"")</f>
        <v/>
      </c>
      <c r="AA416" s="25" t="str">
        <f aca="false">IF(ISNUMBER(A416),IFERROR(INDEX(集計!$J$3:$J$33,MATCH(A416,集計!$B$3:$B$33,0)),0),"")</f>
        <v/>
      </c>
      <c r="AB416" s="25" t="str">
        <f aca="false">IF(ISNUMBER(A416),IFERROR(INDEX(設定!$F$4:$F$27,MATCH(K416,設定!$E$4:$E$27,0)),""),"")</f>
        <v/>
      </c>
    </row>
    <row r="417" customFormat="false" ht="15" hidden="false" customHeight="false" outlineLevel="0" collapsed="false">
      <c r="Z417" s="25" t="str">
        <f aca="false">IF(ISNUMBER(A417),IF(COUNTIF(祝日!$A:$A,A417)&gt;0,"祝",CHOOSE(WEEKDAY(A417,2),"月","火","水","木","金","土","日")),"")</f>
        <v/>
      </c>
      <c r="AA417" s="25" t="str">
        <f aca="false">IF(ISNUMBER(A417),IFERROR(INDEX(集計!$J$3:$J$33,MATCH(A417,集計!$B$3:$B$33,0)),0),"")</f>
        <v/>
      </c>
      <c r="AB417" s="25" t="str">
        <f aca="false">IF(ISNUMBER(A417),IFERROR(INDEX(設定!$F$4:$F$27,MATCH(K417,設定!$E$4:$E$27,0)),""),"")</f>
        <v/>
      </c>
    </row>
    <row r="418" customFormat="false" ht="15" hidden="false" customHeight="false" outlineLevel="0" collapsed="false">
      <c r="Z418" s="25" t="str">
        <f aca="false">IF(ISNUMBER(A418),IF(COUNTIF(祝日!$A:$A,A418)&gt;0,"祝",CHOOSE(WEEKDAY(A418,2),"月","火","水","木","金","土","日")),"")</f>
        <v/>
      </c>
      <c r="AA418" s="25" t="str">
        <f aca="false">IF(ISNUMBER(A418),IFERROR(INDEX(集計!$J$3:$J$33,MATCH(A418,集計!$B$3:$B$33,0)),0),"")</f>
        <v/>
      </c>
      <c r="AB418" s="25" t="str">
        <f aca="false">IF(ISNUMBER(A418),IFERROR(INDEX(設定!$F$4:$F$27,MATCH(K418,設定!$E$4:$E$27,0)),""),"")</f>
        <v/>
      </c>
    </row>
    <row r="419" customFormat="false" ht="15" hidden="false" customHeight="false" outlineLevel="0" collapsed="false">
      <c r="Z419" s="25" t="str">
        <f aca="false">IF(ISNUMBER(A419),IF(COUNTIF(祝日!$A:$A,A419)&gt;0,"祝",CHOOSE(WEEKDAY(A419,2),"月","火","水","木","金","土","日")),"")</f>
        <v/>
      </c>
      <c r="AA419" s="25" t="str">
        <f aca="false">IF(ISNUMBER(A419),IFERROR(INDEX(集計!$J$3:$J$33,MATCH(A419,集計!$B$3:$B$33,0)),0),"")</f>
        <v/>
      </c>
      <c r="AB419" s="25" t="str">
        <f aca="false">IF(ISNUMBER(A419),IFERROR(INDEX(設定!$F$4:$F$27,MATCH(K419,設定!$E$4:$E$27,0)),""),"")</f>
        <v/>
      </c>
    </row>
    <row r="420" customFormat="false" ht="15" hidden="false" customHeight="false" outlineLevel="0" collapsed="false">
      <c r="Z420" s="25" t="str">
        <f aca="false">IF(ISNUMBER(A420),IF(COUNTIF(祝日!$A:$A,A420)&gt;0,"祝",CHOOSE(WEEKDAY(A420,2),"月","火","水","木","金","土","日")),"")</f>
        <v/>
      </c>
      <c r="AA420" s="25" t="str">
        <f aca="false">IF(ISNUMBER(A420),IFERROR(INDEX(集計!$J$3:$J$33,MATCH(A420,集計!$B$3:$B$33,0)),0),"")</f>
        <v/>
      </c>
      <c r="AB420" s="25" t="str">
        <f aca="false">IF(ISNUMBER(A420),IFERROR(INDEX(設定!$F$4:$F$27,MATCH(K420,設定!$E$4:$E$27,0)),""),"")</f>
        <v/>
      </c>
    </row>
    <row r="421" customFormat="false" ht="15" hidden="false" customHeight="false" outlineLevel="0" collapsed="false">
      <c r="Z421" s="25" t="str">
        <f aca="false">IF(ISNUMBER(A421),IF(COUNTIF(祝日!$A:$A,A421)&gt;0,"祝",CHOOSE(WEEKDAY(A421,2),"月","火","水","木","金","土","日")),"")</f>
        <v/>
      </c>
      <c r="AA421" s="25" t="str">
        <f aca="false">IF(ISNUMBER(A421),IFERROR(INDEX(集計!$J$3:$J$33,MATCH(A421,集計!$B$3:$B$33,0)),0),"")</f>
        <v/>
      </c>
      <c r="AB421" s="25" t="str">
        <f aca="false">IF(ISNUMBER(A421),IFERROR(INDEX(設定!$F$4:$F$27,MATCH(K421,設定!$E$4:$E$27,0)),""),"")</f>
        <v/>
      </c>
    </row>
    <row r="422" customFormat="false" ht="15" hidden="false" customHeight="false" outlineLevel="0" collapsed="false">
      <c r="Z422" s="25" t="str">
        <f aca="false">IF(ISNUMBER(A422),IF(COUNTIF(祝日!$A:$A,A422)&gt;0,"祝",CHOOSE(WEEKDAY(A422,2),"月","火","水","木","金","土","日")),"")</f>
        <v/>
      </c>
      <c r="AA422" s="25" t="str">
        <f aca="false">IF(ISNUMBER(A422),IFERROR(INDEX(集計!$J$3:$J$33,MATCH(A422,集計!$B$3:$B$33,0)),0),"")</f>
        <v/>
      </c>
      <c r="AB422" s="25" t="str">
        <f aca="false">IF(ISNUMBER(A422),IFERROR(INDEX(設定!$F$4:$F$27,MATCH(K422,設定!$E$4:$E$27,0)),""),"")</f>
        <v/>
      </c>
    </row>
    <row r="423" customFormat="false" ht="15" hidden="false" customHeight="false" outlineLevel="0" collapsed="false">
      <c r="Z423" s="25" t="str">
        <f aca="false">IF(ISNUMBER(A423),IF(COUNTIF(祝日!$A:$A,A423)&gt;0,"祝",CHOOSE(WEEKDAY(A423,2),"月","火","水","木","金","土","日")),"")</f>
        <v/>
      </c>
      <c r="AA423" s="25" t="str">
        <f aca="false">IF(ISNUMBER(A423),IFERROR(INDEX(集計!$J$3:$J$33,MATCH(A423,集計!$B$3:$B$33,0)),0),"")</f>
        <v/>
      </c>
      <c r="AB423" s="25" t="str">
        <f aca="false">IF(ISNUMBER(A423),IFERROR(INDEX(設定!$F$4:$F$27,MATCH(K423,設定!$E$4:$E$27,0)),""),"")</f>
        <v/>
      </c>
    </row>
    <row r="424" customFormat="false" ht="15" hidden="false" customHeight="false" outlineLevel="0" collapsed="false">
      <c r="Z424" s="25" t="str">
        <f aca="false">IF(ISNUMBER(A424),IF(COUNTIF(祝日!$A:$A,A424)&gt;0,"祝",CHOOSE(WEEKDAY(A424,2),"月","火","水","木","金","土","日")),"")</f>
        <v/>
      </c>
      <c r="AA424" s="25" t="str">
        <f aca="false">IF(ISNUMBER(A424),IFERROR(INDEX(集計!$J$3:$J$33,MATCH(A424,集計!$B$3:$B$33,0)),0),"")</f>
        <v/>
      </c>
      <c r="AB424" s="25" t="str">
        <f aca="false">IF(ISNUMBER(A424),IFERROR(INDEX(設定!$F$4:$F$27,MATCH(K424,設定!$E$4:$E$27,0)),""),"")</f>
        <v/>
      </c>
    </row>
    <row r="425" customFormat="false" ht="15" hidden="false" customHeight="false" outlineLevel="0" collapsed="false">
      <c r="Z425" s="25" t="str">
        <f aca="false">IF(ISNUMBER(A425),IF(COUNTIF(祝日!$A:$A,A425)&gt;0,"祝",CHOOSE(WEEKDAY(A425,2),"月","火","水","木","金","土","日")),"")</f>
        <v/>
      </c>
      <c r="AA425" s="25" t="str">
        <f aca="false">IF(ISNUMBER(A425),IFERROR(INDEX(集計!$J$3:$J$33,MATCH(A425,集計!$B$3:$B$33,0)),0),"")</f>
        <v/>
      </c>
      <c r="AB425" s="25" t="str">
        <f aca="false">IF(ISNUMBER(A425),IFERROR(INDEX(設定!$F$4:$F$27,MATCH(K425,設定!$E$4:$E$27,0)),""),"")</f>
        <v/>
      </c>
    </row>
    <row r="426" customFormat="false" ht="15" hidden="false" customHeight="false" outlineLevel="0" collapsed="false">
      <c r="Z426" s="25" t="str">
        <f aca="false">IF(ISNUMBER(A426),IF(COUNTIF(祝日!$A:$A,A426)&gt;0,"祝",CHOOSE(WEEKDAY(A426,2),"月","火","水","木","金","土","日")),"")</f>
        <v/>
      </c>
      <c r="AA426" s="25" t="str">
        <f aca="false">IF(ISNUMBER(A426),IFERROR(INDEX(集計!$J$3:$J$33,MATCH(A426,集計!$B$3:$B$33,0)),0),"")</f>
        <v/>
      </c>
      <c r="AB426" s="25" t="str">
        <f aca="false">IF(ISNUMBER(A426),IFERROR(INDEX(設定!$F$4:$F$27,MATCH(K426,設定!$E$4:$E$27,0)),""),"")</f>
        <v/>
      </c>
    </row>
    <row r="427" customFormat="false" ht="15" hidden="false" customHeight="false" outlineLevel="0" collapsed="false">
      <c r="Z427" s="25" t="str">
        <f aca="false">IF(ISNUMBER(A427),IF(COUNTIF(祝日!$A:$A,A427)&gt;0,"祝",CHOOSE(WEEKDAY(A427,2),"月","火","水","木","金","土","日")),"")</f>
        <v/>
      </c>
      <c r="AA427" s="25" t="str">
        <f aca="false">IF(ISNUMBER(A427),IFERROR(INDEX(集計!$J$3:$J$33,MATCH(A427,集計!$B$3:$B$33,0)),0),"")</f>
        <v/>
      </c>
      <c r="AB427" s="25" t="str">
        <f aca="false">IF(ISNUMBER(A427),IFERROR(INDEX(設定!$F$4:$F$27,MATCH(K427,設定!$E$4:$E$27,0)),""),"")</f>
        <v/>
      </c>
    </row>
    <row r="428" customFormat="false" ht="15" hidden="false" customHeight="false" outlineLevel="0" collapsed="false">
      <c r="Z428" s="25" t="str">
        <f aca="false">IF(ISNUMBER(A428),IF(COUNTIF(祝日!$A:$A,A428)&gt;0,"祝",CHOOSE(WEEKDAY(A428,2),"月","火","水","木","金","土","日")),"")</f>
        <v/>
      </c>
      <c r="AA428" s="25" t="str">
        <f aca="false">IF(ISNUMBER(A428),IFERROR(INDEX(集計!$J$3:$J$33,MATCH(A428,集計!$B$3:$B$33,0)),0),"")</f>
        <v/>
      </c>
      <c r="AB428" s="25" t="str">
        <f aca="false">IF(ISNUMBER(A428),IFERROR(INDEX(設定!$F$4:$F$27,MATCH(K428,設定!$E$4:$E$27,0)),""),"")</f>
        <v/>
      </c>
    </row>
    <row r="429" customFormat="false" ht="15" hidden="false" customHeight="false" outlineLevel="0" collapsed="false">
      <c r="Z429" s="25" t="str">
        <f aca="false">IF(ISNUMBER(A429),IF(COUNTIF(祝日!$A:$A,A429)&gt;0,"祝",CHOOSE(WEEKDAY(A429,2),"月","火","水","木","金","土","日")),"")</f>
        <v/>
      </c>
      <c r="AA429" s="25" t="str">
        <f aca="false">IF(ISNUMBER(A429),IFERROR(INDEX(集計!$J$3:$J$33,MATCH(A429,集計!$B$3:$B$33,0)),0),"")</f>
        <v/>
      </c>
      <c r="AB429" s="25" t="str">
        <f aca="false">IF(ISNUMBER(A429),IFERROR(INDEX(設定!$F$4:$F$27,MATCH(K429,設定!$E$4:$E$27,0)),""),"")</f>
        <v/>
      </c>
    </row>
    <row r="430" customFormat="false" ht="15" hidden="false" customHeight="false" outlineLevel="0" collapsed="false">
      <c r="Z430" s="25" t="str">
        <f aca="false">IF(ISNUMBER(A430),IF(COUNTIF(祝日!$A:$A,A430)&gt;0,"祝",CHOOSE(WEEKDAY(A430,2),"月","火","水","木","金","土","日")),"")</f>
        <v/>
      </c>
      <c r="AA430" s="25" t="str">
        <f aca="false">IF(ISNUMBER(A430),IFERROR(INDEX(集計!$J$3:$J$33,MATCH(A430,集計!$B$3:$B$33,0)),0),"")</f>
        <v/>
      </c>
      <c r="AB430" s="25" t="str">
        <f aca="false">IF(ISNUMBER(A430),IFERROR(INDEX(設定!$F$4:$F$27,MATCH(K430,設定!$E$4:$E$27,0)),""),"")</f>
        <v/>
      </c>
    </row>
    <row r="431" customFormat="false" ht="15" hidden="false" customHeight="false" outlineLevel="0" collapsed="false">
      <c r="Z431" s="25" t="str">
        <f aca="false">IF(ISNUMBER(A431),IF(COUNTIF(祝日!$A:$A,A431)&gt;0,"祝",CHOOSE(WEEKDAY(A431,2),"月","火","水","木","金","土","日")),"")</f>
        <v/>
      </c>
      <c r="AA431" s="25" t="str">
        <f aca="false">IF(ISNUMBER(A431),IFERROR(INDEX(集計!$J$3:$J$33,MATCH(A431,集計!$B$3:$B$33,0)),0),"")</f>
        <v/>
      </c>
      <c r="AB431" s="25" t="str">
        <f aca="false">IF(ISNUMBER(A431),IFERROR(INDEX(設定!$F$4:$F$27,MATCH(K431,設定!$E$4:$E$27,0)),""),"")</f>
        <v/>
      </c>
    </row>
    <row r="432" customFormat="false" ht="15" hidden="false" customHeight="false" outlineLevel="0" collapsed="false">
      <c r="Z432" s="25" t="str">
        <f aca="false">IF(ISNUMBER(A432),IF(COUNTIF(祝日!$A:$A,A432)&gt;0,"祝",CHOOSE(WEEKDAY(A432,2),"月","火","水","木","金","土","日")),"")</f>
        <v/>
      </c>
      <c r="AA432" s="25" t="str">
        <f aca="false">IF(ISNUMBER(A432),IFERROR(INDEX(集計!$J$3:$J$33,MATCH(A432,集計!$B$3:$B$33,0)),0),"")</f>
        <v/>
      </c>
      <c r="AB432" s="25" t="str">
        <f aca="false">IF(ISNUMBER(A432),IFERROR(INDEX(設定!$F$4:$F$27,MATCH(K432,設定!$E$4:$E$27,0)),""),"")</f>
        <v/>
      </c>
    </row>
    <row r="433" customFormat="false" ht="15" hidden="false" customHeight="false" outlineLevel="0" collapsed="false">
      <c r="Z433" s="25" t="str">
        <f aca="false">IF(ISNUMBER(A433),IF(COUNTIF(祝日!$A:$A,A433)&gt;0,"祝",CHOOSE(WEEKDAY(A433,2),"月","火","水","木","金","土","日")),"")</f>
        <v/>
      </c>
      <c r="AA433" s="25" t="str">
        <f aca="false">IF(ISNUMBER(A433),IFERROR(INDEX(集計!$J$3:$J$33,MATCH(A433,集計!$B$3:$B$33,0)),0),"")</f>
        <v/>
      </c>
      <c r="AB433" s="25" t="str">
        <f aca="false">IF(ISNUMBER(A433),IFERROR(INDEX(設定!$F$4:$F$27,MATCH(K433,設定!$E$4:$E$27,0)),""),"")</f>
        <v/>
      </c>
    </row>
    <row r="434" customFormat="false" ht="15" hidden="false" customHeight="false" outlineLevel="0" collapsed="false">
      <c r="Z434" s="25" t="str">
        <f aca="false">IF(ISNUMBER(A434),IF(COUNTIF(祝日!$A:$A,A434)&gt;0,"祝",CHOOSE(WEEKDAY(A434,2),"月","火","水","木","金","土","日")),"")</f>
        <v/>
      </c>
      <c r="AA434" s="25" t="str">
        <f aca="false">IF(ISNUMBER(A434),IFERROR(INDEX(集計!$J$3:$J$33,MATCH(A434,集計!$B$3:$B$33,0)),0),"")</f>
        <v/>
      </c>
      <c r="AB434" s="25" t="str">
        <f aca="false">IF(ISNUMBER(A434),IFERROR(INDEX(設定!$F$4:$F$27,MATCH(K434,設定!$E$4:$E$27,0)),""),"")</f>
        <v/>
      </c>
    </row>
    <row r="435" customFormat="false" ht="15" hidden="false" customHeight="false" outlineLevel="0" collapsed="false">
      <c r="Z435" s="25" t="str">
        <f aca="false">IF(ISNUMBER(A435),IF(COUNTIF(祝日!$A:$A,A435)&gt;0,"祝",CHOOSE(WEEKDAY(A435,2),"月","火","水","木","金","土","日")),"")</f>
        <v/>
      </c>
      <c r="AA435" s="25" t="str">
        <f aca="false">IF(ISNUMBER(A435),IFERROR(INDEX(集計!$J$3:$J$33,MATCH(A435,集計!$B$3:$B$33,0)),0),"")</f>
        <v/>
      </c>
      <c r="AB435" s="25" t="str">
        <f aca="false">IF(ISNUMBER(A435),IFERROR(INDEX(設定!$F$4:$F$27,MATCH(K435,設定!$E$4:$E$27,0)),""),"")</f>
        <v/>
      </c>
    </row>
    <row r="436" customFormat="false" ht="15" hidden="false" customHeight="false" outlineLevel="0" collapsed="false">
      <c r="Z436" s="25" t="str">
        <f aca="false">IF(ISNUMBER(A436),IF(COUNTIF(祝日!$A:$A,A436)&gt;0,"祝",CHOOSE(WEEKDAY(A436,2),"月","火","水","木","金","土","日")),"")</f>
        <v/>
      </c>
      <c r="AA436" s="25" t="str">
        <f aca="false">IF(ISNUMBER(A436),IFERROR(INDEX(集計!$J$3:$J$33,MATCH(A436,集計!$B$3:$B$33,0)),0),"")</f>
        <v/>
      </c>
      <c r="AB436" s="25" t="str">
        <f aca="false">IF(ISNUMBER(A436),IFERROR(INDEX(設定!$F$4:$F$27,MATCH(K436,設定!$E$4:$E$27,0)),""),"")</f>
        <v/>
      </c>
    </row>
    <row r="437" customFormat="false" ht="15" hidden="false" customHeight="false" outlineLevel="0" collapsed="false">
      <c r="Z437" s="25" t="str">
        <f aca="false">IF(ISNUMBER(A437),IF(COUNTIF(祝日!$A:$A,A437)&gt;0,"祝",CHOOSE(WEEKDAY(A437,2),"月","火","水","木","金","土","日")),"")</f>
        <v/>
      </c>
      <c r="AA437" s="25" t="str">
        <f aca="false">IF(ISNUMBER(A437),IFERROR(INDEX(集計!$J$3:$J$33,MATCH(A437,集計!$B$3:$B$33,0)),0),"")</f>
        <v/>
      </c>
      <c r="AB437" s="25" t="str">
        <f aca="false">IF(ISNUMBER(A437),IFERROR(INDEX(設定!$F$4:$F$27,MATCH(K437,設定!$E$4:$E$27,0)),""),"")</f>
        <v/>
      </c>
    </row>
    <row r="438" customFormat="false" ht="15" hidden="false" customHeight="false" outlineLevel="0" collapsed="false">
      <c r="Z438" s="25" t="str">
        <f aca="false">IF(ISNUMBER(A438),IF(COUNTIF(祝日!$A:$A,A438)&gt;0,"祝",CHOOSE(WEEKDAY(A438,2),"月","火","水","木","金","土","日")),"")</f>
        <v/>
      </c>
      <c r="AA438" s="25" t="str">
        <f aca="false">IF(ISNUMBER(A438),IFERROR(INDEX(集計!$J$3:$J$33,MATCH(A438,集計!$B$3:$B$33,0)),0),"")</f>
        <v/>
      </c>
      <c r="AB438" s="25" t="str">
        <f aca="false">IF(ISNUMBER(A438),IFERROR(INDEX(設定!$F$4:$F$27,MATCH(K438,設定!$E$4:$E$27,0)),""),"")</f>
        <v/>
      </c>
    </row>
    <row r="439" customFormat="false" ht="15" hidden="false" customHeight="false" outlineLevel="0" collapsed="false">
      <c r="Z439" s="25" t="str">
        <f aca="false">IF(ISNUMBER(A439),IF(COUNTIF(祝日!$A:$A,A439)&gt;0,"祝",CHOOSE(WEEKDAY(A439,2),"月","火","水","木","金","土","日")),"")</f>
        <v/>
      </c>
      <c r="AA439" s="25" t="str">
        <f aca="false">IF(ISNUMBER(A439),IFERROR(INDEX(集計!$J$3:$J$33,MATCH(A439,集計!$B$3:$B$33,0)),0),"")</f>
        <v/>
      </c>
      <c r="AB439" s="25" t="str">
        <f aca="false">IF(ISNUMBER(A439),IFERROR(INDEX(設定!$F$4:$F$27,MATCH(K439,設定!$E$4:$E$27,0)),""),"")</f>
        <v/>
      </c>
    </row>
    <row r="440" customFormat="false" ht="15" hidden="false" customHeight="false" outlineLevel="0" collapsed="false">
      <c r="Z440" s="25" t="str">
        <f aca="false">IF(ISNUMBER(A440),IF(COUNTIF(祝日!$A:$A,A440)&gt;0,"祝",CHOOSE(WEEKDAY(A440,2),"月","火","水","木","金","土","日")),"")</f>
        <v/>
      </c>
      <c r="AA440" s="25" t="str">
        <f aca="false">IF(ISNUMBER(A440),IFERROR(INDEX(集計!$J$3:$J$33,MATCH(A440,集計!$B$3:$B$33,0)),0),"")</f>
        <v/>
      </c>
      <c r="AB440" s="25" t="str">
        <f aca="false">IF(ISNUMBER(A440),IFERROR(INDEX(設定!$F$4:$F$27,MATCH(K440,設定!$E$4:$E$27,0)),""),"")</f>
        <v/>
      </c>
    </row>
    <row r="441" customFormat="false" ht="15" hidden="false" customHeight="false" outlineLevel="0" collapsed="false">
      <c r="Z441" s="25" t="str">
        <f aca="false">IF(ISNUMBER(A441),IF(COUNTIF(祝日!$A:$A,A441)&gt;0,"祝",CHOOSE(WEEKDAY(A441,2),"月","火","水","木","金","土","日")),"")</f>
        <v/>
      </c>
      <c r="AA441" s="25" t="str">
        <f aca="false">IF(ISNUMBER(A441),IFERROR(INDEX(集計!$J$3:$J$33,MATCH(A441,集計!$B$3:$B$33,0)),0),"")</f>
        <v/>
      </c>
      <c r="AB441" s="25" t="str">
        <f aca="false">IF(ISNUMBER(A441),IFERROR(INDEX(設定!$F$4:$F$27,MATCH(K441,設定!$E$4:$E$27,0)),""),"")</f>
        <v/>
      </c>
    </row>
    <row r="442" customFormat="false" ht="15" hidden="false" customHeight="false" outlineLevel="0" collapsed="false">
      <c r="Z442" s="25" t="str">
        <f aca="false">IF(ISNUMBER(A442),IF(COUNTIF(祝日!$A:$A,A442)&gt;0,"祝",CHOOSE(WEEKDAY(A442,2),"月","火","水","木","金","土","日")),"")</f>
        <v/>
      </c>
      <c r="AA442" s="25" t="str">
        <f aca="false">IF(ISNUMBER(A442),IFERROR(INDEX(集計!$J$3:$J$33,MATCH(A442,集計!$B$3:$B$33,0)),0),"")</f>
        <v/>
      </c>
      <c r="AB442" s="25" t="str">
        <f aca="false">IF(ISNUMBER(A442),IFERROR(INDEX(設定!$F$4:$F$27,MATCH(K442,設定!$E$4:$E$27,0)),""),"")</f>
        <v/>
      </c>
    </row>
    <row r="443" customFormat="false" ht="15" hidden="false" customHeight="false" outlineLevel="0" collapsed="false">
      <c r="Z443" s="25" t="str">
        <f aca="false">IF(ISNUMBER(A443),IF(COUNTIF(祝日!$A:$A,A443)&gt;0,"祝",CHOOSE(WEEKDAY(A443,2),"月","火","水","木","金","土","日")),"")</f>
        <v/>
      </c>
      <c r="AA443" s="25" t="str">
        <f aca="false">IF(ISNUMBER(A443),IFERROR(INDEX(集計!$J$3:$J$33,MATCH(A443,集計!$B$3:$B$33,0)),0),"")</f>
        <v/>
      </c>
      <c r="AB443" s="25" t="str">
        <f aca="false">IF(ISNUMBER(A443),IFERROR(INDEX(設定!$F$4:$F$27,MATCH(K443,設定!$E$4:$E$27,0)),""),"")</f>
        <v/>
      </c>
    </row>
    <row r="444" customFormat="false" ht="15" hidden="false" customHeight="false" outlineLevel="0" collapsed="false">
      <c r="Z444" s="25" t="str">
        <f aca="false">IF(ISNUMBER(A444),IF(COUNTIF(祝日!$A:$A,A444)&gt;0,"祝",CHOOSE(WEEKDAY(A444,2),"月","火","水","木","金","土","日")),"")</f>
        <v/>
      </c>
      <c r="AA444" s="25" t="str">
        <f aca="false">IF(ISNUMBER(A444),IFERROR(INDEX(集計!$J$3:$J$33,MATCH(A444,集計!$B$3:$B$33,0)),0),"")</f>
        <v/>
      </c>
      <c r="AB444" s="25" t="str">
        <f aca="false">IF(ISNUMBER(A444),IFERROR(INDEX(設定!$F$4:$F$27,MATCH(K444,設定!$E$4:$E$27,0)),""),"")</f>
        <v/>
      </c>
    </row>
    <row r="445" customFormat="false" ht="15" hidden="false" customHeight="false" outlineLevel="0" collapsed="false">
      <c r="Z445" s="25" t="str">
        <f aca="false">IF(ISNUMBER(A445),IF(COUNTIF(祝日!$A:$A,A445)&gt;0,"祝",CHOOSE(WEEKDAY(A445,2),"月","火","水","木","金","土","日")),"")</f>
        <v/>
      </c>
      <c r="AA445" s="25" t="str">
        <f aca="false">IF(ISNUMBER(A445),IFERROR(INDEX(集計!$J$3:$J$33,MATCH(A445,集計!$B$3:$B$33,0)),0),"")</f>
        <v/>
      </c>
      <c r="AB445" s="25" t="str">
        <f aca="false">IF(ISNUMBER(A445),IFERROR(INDEX(設定!$F$4:$F$27,MATCH(K445,設定!$E$4:$E$27,0)),""),"")</f>
        <v/>
      </c>
    </row>
    <row r="446" customFormat="false" ht="15" hidden="false" customHeight="false" outlineLevel="0" collapsed="false">
      <c r="Z446" s="25" t="str">
        <f aca="false">IF(ISNUMBER(A446),IF(COUNTIF(祝日!$A:$A,A446)&gt;0,"祝",CHOOSE(WEEKDAY(A446,2),"月","火","水","木","金","土","日")),"")</f>
        <v/>
      </c>
      <c r="AA446" s="25" t="str">
        <f aca="false">IF(ISNUMBER(A446),IFERROR(INDEX(集計!$J$3:$J$33,MATCH(A446,集計!$B$3:$B$33,0)),0),"")</f>
        <v/>
      </c>
      <c r="AB446" s="25" t="str">
        <f aca="false">IF(ISNUMBER(A446),IFERROR(INDEX(設定!$F$4:$F$27,MATCH(K446,設定!$E$4:$E$27,0)),""),"")</f>
        <v/>
      </c>
    </row>
    <row r="447" customFormat="false" ht="15" hidden="false" customHeight="false" outlineLevel="0" collapsed="false">
      <c r="Z447" s="25" t="str">
        <f aca="false">IF(ISNUMBER(A447),IF(COUNTIF(祝日!$A:$A,A447)&gt;0,"祝",CHOOSE(WEEKDAY(A447,2),"月","火","水","木","金","土","日")),"")</f>
        <v/>
      </c>
      <c r="AA447" s="25" t="str">
        <f aca="false">IF(ISNUMBER(A447),IFERROR(INDEX(集計!$J$3:$J$33,MATCH(A447,集計!$B$3:$B$33,0)),0),"")</f>
        <v/>
      </c>
      <c r="AB447" s="25" t="str">
        <f aca="false">IF(ISNUMBER(A447),IFERROR(INDEX(設定!$F$4:$F$27,MATCH(K447,設定!$E$4:$E$27,0)),""),"")</f>
        <v/>
      </c>
    </row>
    <row r="448" customFormat="false" ht="15" hidden="false" customHeight="false" outlineLevel="0" collapsed="false">
      <c r="Z448" s="25" t="str">
        <f aca="false">IF(ISNUMBER(A448),IF(COUNTIF(祝日!$A:$A,A448)&gt;0,"祝",CHOOSE(WEEKDAY(A448,2),"月","火","水","木","金","土","日")),"")</f>
        <v/>
      </c>
      <c r="AA448" s="25" t="str">
        <f aca="false">IF(ISNUMBER(A448),IFERROR(INDEX(集計!$J$3:$J$33,MATCH(A448,集計!$B$3:$B$33,0)),0),"")</f>
        <v/>
      </c>
      <c r="AB448" s="25" t="str">
        <f aca="false">IF(ISNUMBER(A448),IFERROR(INDEX(設定!$F$4:$F$27,MATCH(K448,設定!$E$4:$E$27,0)),""),"")</f>
        <v/>
      </c>
    </row>
    <row r="449" customFormat="false" ht="15" hidden="false" customHeight="false" outlineLevel="0" collapsed="false">
      <c r="Z449" s="25" t="str">
        <f aca="false">IF(ISNUMBER(A449),IF(COUNTIF(祝日!$A:$A,A449)&gt;0,"祝",CHOOSE(WEEKDAY(A449,2),"月","火","水","木","金","土","日")),"")</f>
        <v/>
      </c>
      <c r="AA449" s="25" t="str">
        <f aca="false">IF(ISNUMBER(A449),IFERROR(INDEX(集計!$J$3:$J$33,MATCH(A449,集計!$B$3:$B$33,0)),0),"")</f>
        <v/>
      </c>
      <c r="AB449" s="25" t="str">
        <f aca="false">IF(ISNUMBER(A449),IFERROR(INDEX(設定!$F$4:$F$27,MATCH(K449,設定!$E$4:$E$27,0)),""),"")</f>
        <v/>
      </c>
    </row>
    <row r="450" customFormat="false" ht="15" hidden="false" customHeight="false" outlineLevel="0" collapsed="false">
      <c r="Z450" s="25" t="str">
        <f aca="false">IF(ISNUMBER(A450),IF(COUNTIF(祝日!$A:$A,A450)&gt;0,"祝",CHOOSE(WEEKDAY(A450,2),"月","火","水","木","金","土","日")),"")</f>
        <v/>
      </c>
      <c r="AA450" s="25" t="str">
        <f aca="false">IF(ISNUMBER(A450),IFERROR(INDEX(集計!$J$3:$J$33,MATCH(A450,集計!$B$3:$B$33,0)),0),"")</f>
        <v/>
      </c>
      <c r="AB450" s="25" t="str">
        <f aca="false">IF(ISNUMBER(A450),IFERROR(INDEX(設定!$F$4:$F$27,MATCH(K450,設定!$E$4:$E$27,0)),""),"")</f>
        <v/>
      </c>
    </row>
    <row r="451" customFormat="false" ht="15" hidden="false" customHeight="false" outlineLevel="0" collapsed="false">
      <c r="Z451" s="25" t="str">
        <f aca="false">IF(ISNUMBER(A451),IF(COUNTIF(祝日!$A:$A,A451)&gt;0,"祝",CHOOSE(WEEKDAY(A451,2),"月","火","水","木","金","土","日")),"")</f>
        <v/>
      </c>
      <c r="AA451" s="25" t="str">
        <f aca="false">IF(ISNUMBER(A451),IFERROR(INDEX(集計!$J$3:$J$33,MATCH(A451,集計!$B$3:$B$33,0)),0),"")</f>
        <v/>
      </c>
      <c r="AB451" s="25" t="str">
        <f aca="false">IF(ISNUMBER(A451),IFERROR(INDEX(設定!$F$4:$F$27,MATCH(K451,設定!$E$4:$E$27,0)),""),"")</f>
        <v/>
      </c>
    </row>
    <row r="452" customFormat="false" ht="15" hidden="false" customHeight="false" outlineLevel="0" collapsed="false">
      <c r="Z452" s="25" t="str">
        <f aca="false">IF(ISNUMBER(A452),IF(COUNTIF(祝日!$A:$A,A452)&gt;0,"祝",CHOOSE(WEEKDAY(A452,2),"月","火","水","木","金","土","日")),"")</f>
        <v/>
      </c>
      <c r="AA452" s="25" t="str">
        <f aca="false">IF(ISNUMBER(A452),IFERROR(INDEX(集計!$J$3:$J$33,MATCH(A452,集計!$B$3:$B$33,0)),0),"")</f>
        <v/>
      </c>
      <c r="AB452" s="25" t="str">
        <f aca="false">IF(ISNUMBER(A452),IFERROR(INDEX(設定!$F$4:$F$27,MATCH(K452,設定!$E$4:$E$27,0)),""),"")</f>
        <v/>
      </c>
    </row>
    <row r="453" customFormat="false" ht="15" hidden="false" customHeight="false" outlineLevel="0" collapsed="false">
      <c r="Z453" s="25" t="str">
        <f aca="false">IF(ISNUMBER(A453),IF(COUNTIF(祝日!$A:$A,A453)&gt;0,"祝",CHOOSE(WEEKDAY(A453,2),"月","火","水","木","金","土","日")),"")</f>
        <v/>
      </c>
      <c r="AA453" s="25" t="str">
        <f aca="false">IF(ISNUMBER(A453),IFERROR(INDEX(集計!$J$3:$J$33,MATCH(A453,集計!$B$3:$B$33,0)),0),"")</f>
        <v/>
      </c>
      <c r="AB453" s="25" t="str">
        <f aca="false">IF(ISNUMBER(A453),IFERROR(INDEX(設定!$F$4:$F$27,MATCH(K453,設定!$E$4:$E$27,0)),""),"")</f>
        <v/>
      </c>
    </row>
    <row r="454" customFormat="false" ht="15" hidden="false" customHeight="false" outlineLevel="0" collapsed="false">
      <c r="Z454" s="25" t="str">
        <f aca="false">IF(ISNUMBER(A454),IF(COUNTIF(祝日!$A:$A,A454)&gt;0,"祝",CHOOSE(WEEKDAY(A454,2),"月","火","水","木","金","土","日")),"")</f>
        <v/>
      </c>
      <c r="AA454" s="25" t="str">
        <f aca="false">IF(ISNUMBER(A454),IFERROR(INDEX(集計!$J$3:$J$33,MATCH(A454,集計!$B$3:$B$33,0)),0),"")</f>
        <v/>
      </c>
      <c r="AB454" s="25" t="str">
        <f aca="false">IF(ISNUMBER(A454),IFERROR(INDEX(設定!$F$4:$F$27,MATCH(K454,設定!$E$4:$E$27,0)),""),"")</f>
        <v/>
      </c>
    </row>
    <row r="455" customFormat="false" ht="15" hidden="false" customHeight="false" outlineLevel="0" collapsed="false">
      <c r="Z455" s="25" t="str">
        <f aca="false">IF(ISNUMBER(A455),IF(COUNTIF(祝日!$A:$A,A455)&gt;0,"祝",CHOOSE(WEEKDAY(A455,2),"月","火","水","木","金","土","日")),"")</f>
        <v/>
      </c>
      <c r="AA455" s="25" t="str">
        <f aca="false">IF(ISNUMBER(A455),IFERROR(INDEX(集計!$J$3:$J$33,MATCH(A455,集計!$B$3:$B$33,0)),0),"")</f>
        <v/>
      </c>
      <c r="AB455" s="25" t="str">
        <f aca="false">IF(ISNUMBER(A455),IFERROR(INDEX(設定!$F$4:$F$27,MATCH(K455,設定!$E$4:$E$27,0)),""),"")</f>
        <v/>
      </c>
    </row>
    <row r="456" customFormat="false" ht="15" hidden="false" customHeight="false" outlineLevel="0" collapsed="false">
      <c r="Z456" s="25" t="str">
        <f aca="false">IF(ISNUMBER(A456),IF(COUNTIF(祝日!$A:$A,A456)&gt;0,"祝",CHOOSE(WEEKDAY(A456,2),"月","火","水","木","金","土","日")),"")</f>
        <v/>
      </c>
      <c r="AA456" s="25" t="str">
        <f aca="false">IF(ISNUMBER(A456),IFERROR(INDEX(集計!$J$3:$J$33,MATCH(A456,集計!$B$3:$B$33,0)),0),"")</f>
        <v/>
      </c>
      <c r="AB456" s="25" t="str">
        <f aca="false">IF(ISNUMBER(A456),IFERROR(INDEX(設定!$F$4:$F$27,MATCH(K456,設定!$E$4:$E$27,0)),""),"")</f>
        <v/>
      </c>
    </row>
    <row r="457" customFormat="false" ht="15" hidden="false" customHeight="false" outlineLevel="0" collapsed="false">
      <c r="Z457" s="25" t="str">
        <f aca="false">IF(ISNUMBER(A457),IF(COUNTIF(祝日!$A:$A,A457)&gt;0,"祝",CHOOSE(WEEKDAY(A457,2),"月","火","水","木","金","土","日")),"")</f>
        <v/>
      </c>
      <c r="AA457" s="25" t="str">
        <f aca="false">IF(ISNUMBER(A457),IFERROR(INDEX(集計!$J$3:$J$33,MATCH(A457,集計!$B$3:$B$33,0)),0),"")</f>
        <v/>
      </c>
      <c r="AB457" s="25" t="str">
        <f aca="false">IF(ISNUMBER(A457),IFERROR(INDEX(設定!$F$4:$F$27,MATCH(K457,設定!$E$4:$E$27,0)),""),"")</f>
        <v/>
      </c>
    </row>
    <row r="458" customFormat="false" ht="15" hidden="false" customHeight="false" outlineLevel="0" collapsed="false">
      <c r="Z458" s="25" t="str">
        <f aca="false">IF(ISNUMBER(A458),IF(COUNTIF(祝日!$A:$A,A458)&gt;0,"祝",CHOOSE(WEEKDAY(A458,2),"月","火","水","木","金","土","日")),"")</f>
        <v/>
      </c>
      <c r="AA458" s="25" t="str">
        <f aca="false">IF(ISNUMBER(A458),IFERROR(INDEX(集計!$J$3:$J$33,MATCH(A458,集計!$B$3:$B$33,0)),0),"")</f>
        <v/>
      </c>
      <c r="AB458" s="25" t="str">
        <f aca="false">IF(ISNUMBER(A458),IFERROR(INDEX(設定!$F$4:$F$27,MATCH(K458,設定!$E$4:$E$27,0)),""),"")</f>
        <v/>
      </c>
    </row>
    <row r="459" customFormat="false" ht="15" hidden="false" customHeight="false" outlineLevel="0" collapsed="false">
      <c r="Z459" s="25" t="str">
        <f aca="false">IF(ISNUMBER(A459),IF(COUNTIF(祝日!$A:$A,A459)&gt;0,"祝",CHOOSE(WEEKDAY(A459,2),"月","火","水","木","金","土","日")),"")</f>
        <v/>
      </c>
      <c r="AA459" s="25" t="str">
        <f aca="false">IF(ISNUMBER(A459),IFERROR(INDEX(集計!$J$3:$J$33,MATCH(A459,集計!$B$3:$B$33,0)),0),"")</f>
        <v/>
      </c>
      <c r="AB459" s="25" t="str">
        <f aca="false">IF(ISNUMBER(A459),IFERROR(INDEX(設定!$F$4:$F$27,MATCH(K459,設定!$E$4:$E$27,0)),""),"")</f>
        <v/>
      </c>
    </row>
    <row r="460" customFormat="false" ht="15" hidden="false" customHeight="false" outlineLevel="0" collapsed="false">
      <c r="Z460" s="25" t="str">
        <f aca="false">IF(ISNUMBER(A460),IF(COUNTIF(祝日!$A:$A,A460)&gt;0,"祝",CHOOSE(WEEKDAY(A460,2),"月","火","水","木","金","土","日")),"")</f>
        <v/>
      </c>
      <c r="AA460" s="25" t="str">
        <f aca="false">IF(ISNUMBER(A460),IFERROR(INDEX(集計!$J$3:$J$33,MATCH(A460,集計!$B$3:$B$33,0)),0),"")</f>
        <v/>
      </c>
      <c r="AB460" s="25" t="str">
        <f aca="false">IF(ISNUMBER(A460),IFERROR(INDEX(設定!$F$4:$F$27,MATCH(K460,設定!$E$4:$E$27,0)),""),"")</f>
        <v/>
      </c>
    </row>
    <row r="461" customFormat="false" ht="15" hidden="false" customHeight="false" outlineLevel="0" collapsed="false">
      <c r="Z461" s="25" t="str">
        <f aca="false">IF(ISNUMBER(A461),IF(COUNTIF(祝日!$A:$A,A461)&gt;0,"祝",CHOOSE(WEEKDAY(A461,2),"月","火","水","木","金","土","日")),"")</f>
        <v/>
      </c>
      <c r="AA461" s="25" t="str">
        <f aca="false">IF(ISNUMBER(A461),IFERROR(INDEX(集計!$J$3:$J$33,MATCH(A461,集計!$B$3:$B$33,0)),0),"")</f>
        <v/>
      </c>
      <c r="AB461" s="25" t="str">
        <f aca="false">IF(ISNUMBER(A461),IFERROR(INDEX(設定!$F$4:$F$27,MATCH(K461,設定!$E$4:$E$27,0)),""),"")</f>
        <v/>
      </c>
    </row>
    <row r="462" customFormat="false" ht="15" hidden="false" customHeight="false" outlineLevel="0" collapsed="false">
      <c r="Z462" s="25" t="str">
        <f aca="false">IF(ISNUMBER(A462),IF(COUNTIF(祝日!$A:$A,A462)&gt;0,"祝",CHOOSE(WEEKDAY(A462,2),"月","火","水","木","金","土","日")),"")</f>
        <v/>
      </c>
      <c r="AA462" s="25" t="str">
        <f aca="false">IF(ISNUMBER(A462),IFERROR(INDEX(集計!$J$3:$J$33,MATCH(A462,集計!$B$3:$B$33,0)),0),"")</f>
        <v/>
      </c>
      <c r="AB462" s="25" t="str">
        <f aca="false">IF(ISNUMBER(A462),IFERROR(INDEX(設定!$F$4:$F$27,MATCH(K462,設定!$E$4:$E$27,0)),""),"")</f>
        <v/>
      </c>
    </row>
    <row r="463" customFormat="false" ht="15" hidden="false" customHeight="false" outlineLevel="0" collapsed="false">
      <c r="Z463" s="25" t="str">
        <f aca="false">IF(ISNUMBER(A463),IF(COUNTIF(祝日!$A:$A,A463)&gt;0,"祝",CHOOSE(WEEKDAY(A463,2),"月","火","水","木","金","土","日")),"")</f>
        <v/>
      </c>
      <c r="AA463" s="25" t="str">
        <f aca="false">IF(ISNUMBER(A463),IFERROR(INDEX(集計!$J$3:$J$33,MATCH(A463,集計!$B$3:$B$33,0)),0),"")</f>
        <v/>
      </c>
      <c r="AB463" s="25" t="str">
        <f aca="false">IF(ISNUMBER(A463),IFERROR(INDEX(設定!$F$4:$F$27,MATCH(K463,設定!$E$4:$E$27,0)),""),"")</f>
        <v/>
      </c>
    </row>
    <row r="464" customFormat="false" ht="15" hidden="false" customHeight="false" outlineLevel="0" collapsed="false">
      <c r="Z464" s="25" t="str">
        <f aca="false">IF(ISNUMBER(A464),IF(COUNTIF(祝日!$A:$A,A464)&gt;0,"祝",CHOOSE(WEEKDAY(A464,2),"月","火","水","木","金","土","日")),"")</f>
        <v/>
      </c>
      <c r="AA464" s="25" t="str">
        <f aca="false">IF(ISNUMBER(A464),IFERROR(INDEX(集計!$J$3:$J$33,MATCH(A464,集計!$B$3:$B$33,0)),0),"")</f>
        <v/>
      </c>
      <c r="AB464" s="25" t="str">
        <f aca="false">IF(ISNUMBER(A464),IFERROR(INDEX(設定!$F$4:$F$27,MATCH(K464,設定!$E$4:$E$27,0)),""),"")</f>
        <v/>
      </c>
    </row>
    <row r="465" customFormat="false" ht="15" hidden="false" customHeight="false" outlineLevel="0" collapsed="false">
      <c r="Z465" s="25" t="str">
        <f aca="false">IF(ISNUMBER(A465),IF(COUNTIF(祝日!$A:$A,A465)&gt;0,"祝",CHOOSE(WEEKDAY(A465,2),"月","火","水","木","金","土","日")),"")</f>
        <v/>
      </c>
      <c r="AA465" s="25" t="str">
        <f aca="false">IF(ISNUMBER(A465),IFERROR(INDEX(集計!$J$3:$J$33,MATCH(A465,集計!$B$3:$B$33,0)),0),"")</f>
        <v/>
      </c>
      <c r="AB465" s="25" t="str">
        <f aca="false">IF(ISNUMBER(A465),IFERROR(INDEX(設定!$F$4:$F$27,MATCH(K465,設定!$E$4:$E$27,0)),""),"")</f>
        <v/>
      </c>
    </row>
    <row r="466" customFormat="false" ht="15" hidden="false" customHeight="false" outlineLevel="0" collapsed="false">
      <c r="Z466" s="25" t="str">
        <f aca="false">IF(ISNUMBER(A466),IF(COUNTIF(祝日!$A:$A,A466)&gt;0,"祝",CHOOSE(WEEKDAY(A466,2),"月","火","水","木","金","土","日")),"")</f>
        <v/>
      </c>
      <c r="AA466" s="25" t="str">
        <f aca="false">IF(ISNUMBER(A466),IFERROR(INDEX(集計!$J$3:$J$33,MATCH(A466,集計!$B$3:$B$33,0)),0),"")</f>
        <v/>
      </c>
      <c r="AB466" s="25" t="str">
        <f aca="false">IF(ISNUMBER(A466),IFERROR(INDEX(設定!$F$4:$F$27,MATCH(K466,設定!$E$4:$E$27,0)),""),"")</f>
        <v/>
      </c>
    </row>
    <row r="467" customFormat="false" ht="15" hidden="false" customHeight="false" outlineLevel="0" collapsed="false">
      <c r="Z467" s="25" t="str">
        <f aca="false">IF(ISNUMBER(A467),IF(COUNTIF(祝日!$A:$A,A467)&gt;0,"祝",CHOOSE(WEEKDAY(A467,2),"月","火","水","木","金","土","日")),"")</f>
        <v/>
      </c>
      <c r="AA467" s="25" t="str">
        <f aca="false">IF(ISNUMBER(A467),IFERROR(INDEX(集計!$J$3:$J$33,MATCH(A467,集計!$B$3:$B$33,0)),0),"")</f>
        <v/>
      </c>
      <c r="AB467" s="25" t="str">
        <f aca="false">IF(ISNUMBER(A467),IFERROR(INDEX(設定!$F$4:$F$27,MATCH(K467,設定!$E$4:$E$27,0)),""),"")</f>
        <v/>
      </c>
    </row>
    <row r="468" customFormat="false" ht="15" hidden="false" customHeight="false" outlineLevel="0" collapsed="false">
      <c r="Z468" s="25" t="str">
        <f aca="false">IF(ISNUMBER(A468),IF(COUNTIF(祝日!$A:$A,A468)&gt;0,"祝",CHOOSE(WEEKDAY(A468,2),"月","火","水","木","金","土","日")),"")</f>
        <v/>
      </c>
      <c r="AA468" s="25" t="str">
        <f aca="false">IF(ISNUMBER(A468),IFERROR(INDEX(集計!$J$3:$J$33,MATCH(A468,集計!$B$3:$B$33,0)),0),"")</f>
        <v/>
      </c>
      <c r="AB468" s="25" t="str">
        <f aca="false">IF(ISNUMBER(A468),IFERROR(INDEX(設定!$F$4:$F$27,MATCH(K468,設定!$E$4:$E$27,0)),""),"")</f>
        <v/>
      </c>
    </row>
    <row r="469" customFormat="false" ht="15" hidden="false" customHeight="false" outlineLevel="0" collapsed="false">
      <c r="Z469" s="25" t="str">
        <f aca="false">IF(ISNUMBER(A469),IF(COUNTIF(祝日!$A:$A,A469)&gt;0,"祝",CHOOSE(WEEKDAY(A469,2),"月","火","水","木","金","土","日")),"")</f>
        <v/>
      </c>
      <c r="AA469" s="25" t="str">
        <f aca="false">IF(ISNUMBER(A469),IFERROR(INDEX(集計!$J$3:$J$33,MATCH(A469,集計!$B$3:$B$33,0)),0),"")</f>
        <v/>
      </c>
      <c r="AB469" s="25" t="str">
        <f aca="false">IF(ISNUMBER(A469),IFERROR(INDEX(設定!$F$4:$F$27,MATCH(K469,設定!$E$4:$E$27,0)),""),"")</f>
        <v/>
      </c>
    </row>
    <row r="470" customFormat="false" ht="15" hidden="false" customHeight="false" outlineLevel="0" collapsed="false">
      <c r="Z470" s="25" t="str">
        <f aca="false">IF(ISNUMBER(A470),IF(COUNTIF(祝日!$A:$A,A470)&gt;0,"祝",CHOOSE(WEEKDAY(A470,2),"月","火","水","木","金","土","日")),"")</f>
        <v/>
      </c>
      <c r="AA470" s="25" t="str">
        <f aca="false">IF(ISNUMBER(A470),IFERROR(INDEX(集計!$J$3:$J$33,MATCH(A470,集計!$B$3:$B$33,0)),0),"")</f>
        <v/>
      </c>
      <c r="AB470" s="25" t="str">
        <f aca="false">IF(ISNUMBER(A470),IFERROR(INDEX(設定!$F$4:$F$27,MATCH(K470,設定!$E$4:$E$27,0)),""),"")</f>
        <v/>
      </c>
    </row>
    <row r="471" customFormat="false" ht="15" hidden="false" customHeight="false" outlineLevel="0" collapsed="false">
      <c r="Z471" s="25" t="str">
        <f aca="false">IF(ISNUMBER(A471),IF(COUNTIF(祝日!$A:$A,A471)&gt;0,"祝",CHOOSE(WEEKDAY(A471,2),"月","火","水","木","金","土","日")),"")</f>
        <v/>
      </c>
      <c r="AA471" s="25" t="str">
        <f aca="false">IF(ISNUMBER(A471),IFERROR(INDEX(集計!$J$3:$J$33,MATCH(A471,集計!$B$3:$B$33,0)),0),"")</f>
        <v/>
      </c>
      <c r="AB471" s="25" t="str">
        <f aca="false">IF(ISNUMBER(A471),IFERROR(INDEX(設定!$F$4:$F$27,MATCH(K471,設定!$E$4:$E$27,0)),""),"")</f>
        <v/>
      </c>
    </row>
    <row r="472" customFormat="false" ht="15" hidden="false" customHeight="false" outlineLevel="0" collapsed="false">
      <c r="Z472" s="25" t="str">
        <f aca="false">IF(ISNUMBER(A472),IF(COUNTIF(祝日!$A:$A,A472)&gt;0,"祝",CHOOSE(WEEKDAY(A472,2),"月","火","水","木","金","土","日")),"")</f>
        <v/>
      </c>
      <c r="AA472" s="25" t="str">
        <f aca="false">IF(ISNUMBER(A472),IFERROR(INDEX(集計!$J$3:$J$33,MATCH(A472,集計!$B$3:$B$33,0)),0),"")</f>
        <v/>
      </c>
      <c r="AB472" s="25" t="str">
        <f aca="false">IF(ISNUMBER(A472),IFERROR(INDEX(設定!$F$4:$F$27,MATCH(K472,設定!$E$4:$E$27,0)),""),"")</f>
        <v/>
      </c>
    </row>
    <row r="473" customFormat="false" ht="15" hidden="false" customHeight="false" outlineLevel="0" collapsed="false">
      <c r="Z473" s="25" t="str">
        <f aca="false">IF(ISNUMBER(A473),IF(COUNTIF(祝日!$A:$A,A473)&gt;0,"祝",CHOOSE(WEEKDAY(A473,2),"月","火","水","木","金","土","日")),"")</f>
        <v/>
      </c>
      <c r="AA473" s="25" t="str">
        <f aca="false">IF(ISNUMBER(A473),IFERROR(INDEX(集計!$J$3:$J$33,MATCH(A473,集計!$B$3:$B$33,0)),0),"")</f>
        <v/>
      </c>
      <c r="AB473" s="25" t="str">
        <f aca="false">IF(ISNUMBER(A473),IFERROR(INDEX(設定!$F$4:$F$27,MATCH(K473,設定!$E$4:$E$27,0)),""),"")</f>
        <v/>
      </c>
    </row>
    <row r="474" customFormat="false" ht="15" hidden="false" customHeight="false" outlineLevel="0" collapsed="false">
      <c r="Z474" s="25" t="str">
        <f aca="false">IF(ISNUMBER(A474),IF(COUNTIF(祝日!$A:$A,A474)&gt;0,"祝",CHOOSE(WEEKDAY(A474,2),"月","火","水","木","金","土","日")),"")</f>
        <v/>
      </c>
      <c r="AA474" s="25" t="str">
        <f aca="false">IF(ISNUMBER(A474),IFERROR(INDEX(集計!$J$3:$J$33,MATCH(A474,集計!$B$3:$B$33,0)),0),"")</f>
        <v/>
      </c>
      <c r="AB474" s="25" t="str">
        <f aca="false">IF(ISNUMBER(A474),IFERROR(INDEX(設定!$F$4:$F$27,MATCH(K474,設定!$E$4:$E$27,0)),""),"")</f>
        <v/>
      </c>
    </row>
    <row r="475" customFormat="false" ht="15" hidden="false" customHeight="false" outlineLevel="0" collapsed="false">
      <c r="Z475" s="25" t="str">
        <f aca="false">IF(ISNUMBER(A475),IF(COUNTIF(祝日!$A:$A,A475)&gt;0,"祝",CHOOSE(WEEKDAY(A475,2),"月","火","水","木","金","土","日")),"")</f>
        <v/>
      </c>
      <c r="AA475" s="25" t="str">
        <f aca="false">IF(ISNUMBER(A475),IFERROR(INDEX(集計!$J$3:$J$33,MATCH(A475,集計!$B$3:$B$33,0)),0),"")</f>
        <v/>
      </c>
      <c r="AB475" s="25" t="str">
        <f aca="false">IF(ISNUMBER(A475),IFERROR(INDEX(設定!$F$4:$F$27,MATCH(K475,設定!$E$4:$E$27,0)),""),"")</f>
        <v/>
      </c>
    </row>
    <row r="476" customFormat="false" ht="15" hidden="false" customHeight="false" outlineLevel="0" collapsed="false">
      <c r="Z476" s="25" t="str">
        <f aca="false">IF(ISNUMBER(A476),IF(COUNTIF(祝日!$A:$A,A476)&gt;0,"祝",CHOOSE(WEEKDAY(A476,2),"月","火","水","木","金","土","日")),"")</f>
        <v/>
      </c>
      <c r="AA476" s="25" t="str">
        <f aca="false">IF(ISNUMBER(A476),IFERROR(INDEX(集計!$J$3:$J$33,MATCH(A476,集計!$B$3:$B$33,0)),0),"")</f>
        <v/>
      </c>
      <c r="AB476" s="25" t="str">
        <f aca="false">IF(ISNUMBER(A476),IFERROR(INDEX(設定!$F$4:$F$27,MATCH(K476,設定!$E$4:$E$27,0)),""),"")</f>
        <v/>
      </c>
    </row>
    <row r="477" customFormat="false" ht="15" hidden="false" customHeight="false" outlineLevel="0" collapsed="false">
      <c r="Z477" s="25" t="str">
        <f aca="false">IF(ISNUMBER(A477),IF(COUNTIF(祝日!$A:$A,A477)&gt;0,"祝",CHOOSE(WEEKDAY(A477,2),"月","火","水","木","金","土","日")),"")</f>
        <v/>
      </c>
      <c r="AA477" s="25" t="str">
        <f aca="false">IF(ISNUMBER(A477),IFERROR(INDEX(集計!$J$3:$J$33,MATCH(A477,集計!$B$3:$B$33,0)),0),"")</f>
        <v/>
      </c>
      <c r="AB477" s="25" t="str">
        <f aca="false">IF(ISNUMBER(A477),IFERROR(INDEX(設定!$F$4:$F$27,MATCH(K477,設定!$E$4:$E$27,0)),""),"")</f>
        <v/>
      </c>
    </row>
    <row r="478" customFormat="false" ht="15" hidden="false" customHeight="false" outlineLevel="0" collapsed="false">
      <c r="Z478" s="25" t="str">
        <f aca="false">IF(ISNUMBER(A478),IF(COUNTIF(祝日!$A:$A,A478)&gt;0,"祝",CHOOSE(WEEKDAY(A478,2),"月","火","水","木","金","土","日")),"")</f>
        <v/>
      </c>
      <c r="AA478" s="25" t="str">
        <f aca="false">IF(ISNUMBER(A478),IFERROR(INDEX(集計!$J$3:$J$33,MATCH(A478,集計!$B$3:$B$33,0)),0),"")</f>
        <v/>
      </c>
      <c r="AB478" s="25" t="str">
        <f aca="false">IF(ISNUMBER(A478),IFERROR(INDEX(設定!$F$4:$F$27,MATCH(K478,設定!$E$4:$E$27,0)),""),"")</f>
        <v/>
      </c>
    </row>
    <row r="479" customFormat="false" ht="15" hidden="false" customHeight="false" outlineLevel="0" collapsed="false">
      <c r="Z479" s="25" t="str">
        <f aca="false">IF(ISNUMBER(A479),IF(COUNTIF(祝日!$A:$A,A479)&gt;0,"祝",CHOOSE(WEEKDAY(A479,2),"月","火","水","木","金","土","日")),"")</f>
        <v/>
      </c>
      <c r="AA479" s="25" t="str">
        <f aca="false">IF(ISNUMBER(A479),IFERROR(INDEX(集計!$J$3:$J$33,MATCH(A479,集計!$B$3:$B$33,0)),0),"")</f>
        <v/>
      </c>
      <c r="AB479" s="25" t="str">
        <f aca="false">IF(ISNUMBER(A479),IFERROR(INDEX(設定!$F$4:$F$27,MATCH(K479,設定!$E$4:$E$27,0)),""),"")</f>
        <v/>
      </c>
    </row>
    <row r="480" customFormat="false" ht="15" hidden="false" customHeight="false" outlineLevel="0" collapsed="false">
      <c r="Z480" s="25" t="str">
        <f aca="false">IF(ISNUMBER(A480),IF(COUNTIF(祝日!$A:$A,A480)&gt;0,"祝",CHOOSE(WEEKDAY(A480,2),"月","火","水","木","金","土","日")),"")</f>
        <v/>
      </c>
      <c r="AA480" s="25" t="str">
        <f aca="false">IF(ISNUMBER(A480),IFERROR(INDEX(集計!$J$3:$J$33,MATCH(A480,集計!$B$3:$B$33,0)),0),"")</f>
        <v/>
      </c>
      <c r="AB480" s="25" t="str">
        <f aca="false">IF(ISNUMBER(A480),IFERROR(INDEX(設定!$F$4:$F$27,MATCH(K480,設定!$E$4:$E$27,0)),""),"")</f>
        <v/>
      </c>
    </row>
    <row r="481" customFormat="false" ht="15" hidden="false" customHeight="false" outlineLevel="0" collapsed="false">
      <c r="Z481" s="25" t="str">
        <f aca="false">IF(ISNUMBER(A481),IF(COUNTIF(祝日!$A:$A,A481)&gt;0,"祝",CHOOSE(WEEKDAY(A481,2),"月","火","水","木","金","土","日")),"")</f>
        <v/>
      </c>
      <c r="AA481" s="25" t="str">
        <f aca="false">IF(ISNUMBER(A481),IFERROR(INDEX(集計!$J$3:$J$33,MATCH(A481,集計!$B$3:$B$33,0)),0),"")</f>
        <v/>
      </c>
      <c r="AB481" s="25" t="str">
        <f aca="false">IF(ISNUMBER(A481),IFERROR(INDEX(設定!$F$4:$F$27,MATCH(K481,設定!$E$4:$E$27,0)),""),"")</f>
        <v/>
      </c>
    </row>
    <row r="482" customFormat="false" ht="15" hidden="false" customHeight="false" outlineLevel="0" collapsed="false">
      <c r="Z482" s="25" t="str">
        <f aca="false">IF(ISNUMBER(A482),IF(COUNTIF(祝日!$A:$A,A482)&gt;0,"祝",CHOOSE(WEEKDAY(A482,2),"月","火","水","木","金","土","日")),"")</f>
        <v/>
      </c>
      <c r="AA482" s="25" t="str">
        <f aca="false">IF(ISNUMBER(A482),IFERROR(INDEX(集計!$J$3:$J$33,MATCH(A482,集計!$B$3:$B$33,0)),0),"")</f>
        <v/>
      </c>
      <c r="AB482" s="25" t="str">
        <f aca="false">IF(ISNUMBER(A482),IFERROR(INDEX(設定!$F$4:$F$27,MATCH(K482,設定!$E$4:$E$27,0)),""),"")</f>
        <v/>
      </c>
    </row>
    <row r="483" customFormat="false" ht="15" hidden="false" customHeight="false" outlineLevel="0" collapsed="false">
      <c r="Z483" s="25" t="str">
        <f aca="false">IF(ISNUMBER(A483),IF(COUNTIF(祝日!$A:$A,A483)&gt;0,"祝",CHOOSE(WEEKDAY(A483,2),"月","火","水","木","金","土","日")),"")</f>
        <v/>
      </c>
      <c r="AA483" s="25" t="str">
        <f aca="false">IF(ISNUMBER(A483),IFERROR(INDEX(集計!$J$3:$J$33,MATCH(A483,集計!$B$3:$B$33,0)),0),"")</f>
        <v/>
      </c>
      <c r="AB483" s="25" t="str">
        <f aca="false">IF(ISNUMBER(A483),IFERROR(INDEX(設定!$F$4:$F$27,MATCH(K483,設定!$E$4:$E$27,0)),""),"")</f>
        <v/>
      </c>
    </row>
    <row r="484" customFormat="false" ht="15" hidden="false" customHeight="false" outlineLevel="0" collapsed="false">
      <c r="Z484" s="25" t="str">
        <f aca="false">IF(ISNUMBER(A484),IF(COUNTIF(祝日!$A:$A,A484)&gt;0,"祝",CHOOSE(WEEKDAY(A484,2),"月","火","水","木","金","土","日")),"")</f>
        <v/>
      </c>
      <c r="AA484" s="25" t="str">
        <f aca="false">IF(ISNUMBER(A484),IFERROR(INDEX(集計!$J$3:$J$33,MATCH(A484,集計!$B$3:$B$33,0)),0),"")</f>
        <v/>
      </c>
      <c r="AB484" s="25" t="str">
        <f aca="false">IF(ISNUMBER(A484),IFERROR(INDEX(設定!$F$4:$F$27,MATCH(K484,設定!$E$4:$E$27,0)),""),"")</f>
        <v/>
      </c>
    </row>
    <row r="485" customFormat="false" ht="15" hidden="false" customHeight="false" outlineLevel="0" collapsed="false">
      <c r="Z485" s="25" t="str">
        <f aca="false">IF(ISNUMBER(A485),IF(COUNTIF(祝日!$A:$A,A485)&gt;0,"祝",CHOOSE(WEEKDAY(A485,2),"月","火","水","木","金","土","日")),"")</f>
        <v/>
      </c>
      <c r="AA485" s="25" t="str">
        <f aca="false">IF(ISNUMBER(A485),IFERROR(INDEX(集計!$J$3:$J$33,MATCH(A485,集計!$B$3:$B$33,0)),0),"")</f>
        <v/>
      </c>
      <c r="AB485" s="25" t="str">
        <f aca="false">IF(ISNUMBER(A485),IFERROR(INDEX(設定!$F$4:$F$27,MATCH(K485,設定!$E$4:$E$27,0)),""),"")</f>
        <v/>
      </c>
    </row>
    <row r="486" customFormat="false" ht="15" hidden="false" customHeight="false" outlineLevel="0" collapsed="false">
      <c r="Z486" s="25" t="str">
        <f aca="false">IF(ISNUMBER(A486),IF(COUNTIF(祝日!$A:$A,A486)&gt;0,"祝",CHOOSE(WEEKDAY(A486,2),"月","火","水","木","金","土","日")),"")</f>
        <v/>
      </c>
      <c r="AA486" s="25" t="str">
        <f aca="false">IF(ISNUMBER(A486),IFERROR(INDEX(集計!$J$3:$J$33,MATCH(A486,集計!$B$3:$B$33,0)),0),"")</f>
        <v/>
      </c>
      <c r="AB486" s="25" t="str">
        <f aca="false">IF(ISNUMBER(A486),IFERROR(INDEX(設定!$F$4:$F$27,MATCH(K486,設定!$E$4:$E$27,0)),""),"")</f>
        <v/>
      </c>
    </row>
    <row r="487" customFormat="false" ht="15" hidden="false" customHeight="false" outlineLevel="0" collapsed="false">
      <c r="Z487" s="25" t="str">
        <f aca="false">IF(ISNUMBER(A487),IF(COUNTIF(祝日!$A:$A,A487)&gt;0,"祝",CHOOSE(WEEKDAY(A487,2),"月","火","水","木","金","土","日")),"")</f>
        <v/>
      </c>
      <c r="AA487" s="25" t="str">
        <f aca="false">IF(ISNUMBER(A487),IFERROR(INDEX(集計!$J$3:$J$33,MATCH(A487,集計!$B$3:$B$33,0)),0),"")</f>
        <v/>
      </c>
      <c r="AB487" s="25" t="str">
        <f aca="false">IF(ISNUMBER(A487),IFERROR(INDEX(設定!$F$4:$F$27,MATCH(K487,設定!$E$4:$E$27,0)),""),"")</f>
        <v/>
      </c>
    </row>
    <row r="488" customFormat="false" ht="15" hidden="false" customHeight="false" outlineLevel="0" collapsed="false">
      <c r="Z488" s="25" t="str">
        <f aca="false">IF(ISNUMBER(A488),IF(COUNTIF(祝日!$A:$A,A488)&gt;0,"祝",CHOOSE(WEEKDAY(A488,2),"月","火","水","木","金","土","日")),"")</f>
        <v/>
      </c>
      <c r="AA488" s="25" t="str">
        <f aca="false">IF(ISNUMBER(A488),IFERROR(INDEX(集計!$J$3:$J$33,MATCH(A488,集計!$B$3:$B$33,0)),0),"")</f>
        <v/>
      </c>
      <c r="AB488" s="25" t="str">
        <f aca="false">IF(ISNUMBER(A488),IFERROR(INDEX(設定!$F$4:$F$27,MATCH(K488,設定!$E$4:$E$27,0)),""),"")</f>
        <v/>
      </c>
    </row>
    <row r="489" customFormat="false" ht="15" hidden="false" customHeight="false" outlineLevel="0" collapsed="false">
      <c r="Z489" s="25" t="str">
        <f aca="false">IF(ISNUMBER(A489),IF(COUNTIF(祝日!$A:$A,A489)&gt;0,"祝",CHOOSE(WEEKDAY(A489,2),"月","火","水","木","金","土","日")),"")</f>
        <v/>
      </c>
      <c r="AA489" s="25" t="str">
        <f aca="false">IF(ISNUMBER(A489),IFERROR(INDEX(集計!$J$3:$J$33,MATCH(A489,集計!$B$3:$B$33,0)),0),"")</f>
        <v/>
      </c>
      <c r="AB489" s="25" t="str">
        <f aca="false">IF(ISNUMBER(A489),IFERROR(INDEX(設定!$F$4:$F$27,MATCH(K489,設定!$E$4:$E$27,0)),""),"")</f>
        <v/>
      </c>
    </row>
    <row r="490" customFormat="false" ht="15" hidden="false" customHeight="false" outlineLevel="0" collapsed="false">
      <c r="Z490" s="25" t="str">
        <f aca="false">IF(ISNUMBER(A490),IF(COUNTIF(祝日!$A:$A,A490)&gt;0,"祝",CHOOSE(WEEKDAY(A490,2),"月","火","水","木","金","土","日")),"")</f>
        <v/>
      </c>
      <c r="AA490" s="25" t="str">
        <f aca="false">IF(ISNUMBER(A490),IFERROR(INDEX(集計!$J$3:$J$33,MATCH(A490,集計!$B$3:$B$33,0)),0),"")</f>
        <v/>
      </c>
      <c r="AB490" s="25" t="str">
        <f aca="false">IF(ISNUMBER(A490),IFERROR(INDEX(設定!$F$4:$F$27,MATCH(K490,設定!$E$4:$E$27,0)),""),"")</f>
        <v/>
      </c>
    </row>
    <row r="491" customFormat="false" ht="15" hidden="false" customHeight="false" outlineLevel="0" collapsed="false">
      <c r="Z491" s="25" t="str">
        <f aca="false">IF(ISNUMBER(A491),IF(COUNTIF(祝日!$A:$A,A491)&gt;0,"祝",CHOOSE(WEEKDAY(A491,2),"月","火","水","木","金","土","日")),"")</f>
        <v/>
      </c>
      <c r="AA491" s="25" t="str">
        <f aca="false">IF(ISNUMBER(A491),IFERROR(INDEX(集計!$J$3:$J$33,MATCH(A491,集計!$B$3:$B$33,0)),0),"")</f>
        <v/>
      </c>
      <c r="AB491" s="25" t="str">
        <f aca="false">IF(ISNUMBER(A491),IFERROR(INDEX(設定!$F$4:$F$27,MATCH(K491,設定!$E$4:$E$27,0)),""),"")</f>
        <v/>
      </c>
    </row>
    <row r="492" customFormat="false" ht="15" hidden="false" customHeight="false" outlineLevel="0" collapsed="false">
      <c r="Z492" s="25" t="str">
        <f aca="false">IF(ISNUMBER(A492),IF(COUNTIF(祝日!$A:$A,A492)&gt;0,"祝",CHOOSE(WEEKDAY(A492,2),"月","火","水","木","金","土","日")),"")</f>
        <v/>
      </c>
      <c r="AA492" s="25" t="str">
        <f aca="false">IF(ISNUMBER(A492),IFERROR(INDEX(集計!$J$3:$J$33,MATCH(A492,集計!$B$3:$B$33,0)),0),"")</f>
        <v/>
      </c>
      <c r="AB492" s="25" t="str">
        <f aca="false">IF(ISNUMBER(A492),IFERROR(INDEX(設定!$F$4:$F$27,MATCH(K492,設定!$E$4:$E$27,0)),""),"")</f>
        <v/>
      </c>
    </row>
    <row r="493" customFormat="false" ht="15" hidden="false" customHeight="false" outlineLevel="0" collapsed="false">
      <c r="Z493" s="25" t="str">
        <f aca="false">IF(ISNUMBER(A493),IF(COUNTIF(祝日!$A:$A,A493)&gt;0,"祝",CHOOSE(WEEKDAY(A493,2),"月","火","水","木","金","土","日")),"")</f>
        <v/>
      </c>
      <c r="AA493" s="25" t="str">
        <f aca="false">IF(ISNUMBER(A493),IFERROR(INDEX(集計!$J$3:$J$33,MATCH(A493,集計!$B$3:$B$33,0)),0),"")</f>
        <v/>
      </c>
      <c r="AB493" s="25" t="str">
        <f aca="false">IF(ISNUMBER(A493),IFERROR(INDEX(設定!$F$4:$F$27,MATCH(K493,設定!$E$4:$E$27,0)),""),"")</f>
        <v/>
      </c>
    </row>
    <row r="494" customFormat="false" ht="15" hidden="false" customHeight="false" outlineLevel="0" collapsed="false">
      <c r="Z494" s="25" t="str">
        <f aca="false">IF(ISNUMBER(A494),IF(COUNTIF(祝日!$A:$A,A494)&gt;0,"祝",CHOOSE(WEEKDAY(A494,2),"月","火","水","木","金","土","日")),"")</f>
        <v/>
      </c>
      <c r="AA494" s="25" t="str">
        <f aca="false">IF(ISNUMBER(A494),IFERROR(INDEX(集計!$J$3:$J$33,MATCH(A494,集計!$B$3:$B$33,0)),0),"")</f>
        <v/>
      </c>
      <c r="AB494" s="25" t="str">
        <f aca="false">IF(ISNUMBER(A494),IFERROR(INDEX(設定!$F$4:$F$27,MATCH(K494,設定!$E$4:$E$27,0)),""),"")</f>
        <v/>
      </c>
    </row>
    <row r="495" customFormat="false" ht="15" hidden="false" customHeight="false" outlineLevel="0" collapsed="false">
      <c r="Z495" s="25" t="str">
        <f aca="false">IF(ISNUMBER(A495),IF(COUNTIF(祝日!$A:$A,A495)&gt;0,"祝",CHOOSE(WEEKDAY(A495,2),"月","火","水","木","金","土","日")),"")</f>
        <v/>
      </c>
      <c r="AA495" s="25" t="str">
        <f aca="false">IF(ISNUMBER(A495),IFERROR(INDEX(集計!$J$3:$J$33,MATCH(A495,集計!$B$3:$B$33,0)),0),"")</f>
        <v/>
      </c>
      <c r="AB495" s="25" t="str">
        <f aca="false">IF(ISNUMBER(A495),IFERROR(INDEX(設定!$F$4:$F$27,MATCH(K495,設定!$E$4:$E$27,0)),""),"")</f>
        <v/>
      </c>
    </row>
    <row r="496" customFormat="false" ht="15" hidden="false" customHeight="false" outlineLevel="0" collapsed="false">
      <c r="Z496" s="25" t="str">
        <f aca="false">IF(ISNUMBER(A496),IF(COUNTIF(祝日!$A:$A,A496)&gt;0,"祝",CHOOSE(WEEKDAY(A496,2),"月","火","水","木","金","土","日")),"")</f>
        <v/>
      </c>
      <c r="AA496" s="25" t="str">
        <f aca="false">IF(ISNUMBER(A496),IFERROR(INDEX(集計!$J$3:$J$33,MATCH(A496,集計!$B$3:$B$33,0)),0),"")</f>
        <v/>
      </c>
      <c r="AB496" s="25" t="str">
        <f aca="false">IF(ISNUMBER(A496),IFERROR(INDEX(設定!$F$4:$F$27,MATCH(K496,設定!$E$4:$E$27,0)),""),"")</f>
        <v/>
      </c>
    </row>
    <row r="497" customFormat="false" ht="15" hidden="false" customHeight="false" outlineLevel="0" collapsed="false">
      <c r="Z497" s="25" t="str">
        <f aca="false">IF(ISNUMBER(A497),IF(COUNTIF(祝日!$A:$A,A497)&gt;0,"祝",CHOOSE(WEEKDAY(A497,2),"月","火","水","木","金","土","日")),"")</f>
        <v/>
      </c>
      <c r="AA497" s="25" t="str">
        <f aca="false">IF(ISNUMBER(A497),IFERROR(INDEX(集計!$J$3:$J$33,MATCH(A497,集計!$B$3:$B$33,0)),0),"")</f>
        <v/>
      </c>
      <c r="AB497" s="25" t="str">
        <f aca="false">IF(ISNUMBER(A497),IFERROR(INDEX(設定!$F$4:$F$27,MATCH(K497,設定!$E$4:$E$27,0)),""),"")</f>
        <v/>
      </c>
    </row>
    <row r="498" customFormat="false" ht="15" hidden="false" customHeight="false" outlineLevel="0" collapsed="false">
      <c r="Z498" s="25" t="str">
        <f aca="false">IF(ISNUMBER(A498),IF(COUNTIF(祝日!$A:$A,A498)&gt;0,"祝",CHOOSE(WEEKDAY(A498,2),"月","火","水","木","金","土","日")),"")</f>
        <v/>
      </c>
      <c r="AA498" s="25" t="str">
        <f aca="false">IF(ISNUMBER(A498),IFERROR(INDEX(集計!$J$3:$J$33,MATCH(A498,集計!$B$3:$B$33,0)),0),"")</f>
        <v/>
      </c>
      <c r="AB498" s="25" t="str">
        <f aca="false">IF(ISNUMBER(A498),IFERROR(INDEX(設定!$F$4:$F$27,MATCH(K498,設定!$E$4:$E$27,0)),""),"")</f>
        <v/>
      </c>
    </row>
    <row r="499" customFormat="false" ht="15" hidden="false" customHeight="false" outlineLevel="0" collapsed="false">
      <c r="Z499" s="25" t="str">
        <f aca="false">IF(ISNUMBER(A499),IF(COUNTIF(祝日!$A:$A,A499)&gt;0,"祝",CHOOSE(WEEKDAY(A499,2),"月","火","水","木","金","土","日")),"")</f>
        <v/>
      </c>
      <c r="AA499" s="25" t="str">
        <f aca="false">IF(ISNUMBER(A499),IFERROR(INDEX(集計!$J$3:$J$33,MATCH(A499,集計!$B$3:$B$33,0)),0),"")</f>
        <v/>
      </c>
      <c r="AB499" s="25" t="str">
        <f aca="false">IF(ISNUMBER(A499),IFERROR(INDEX(設定!$F$4:$F$27,MATCH(K499,設定!$E$4:$E$27,0)),""),"")</f>
        <v/>
      </c>
    </row>
    <row r="500" customFormat="false" ht="15" hidden="false" customHeight="false" outlineLevel="0" collapsed="false">
      <c r="Z500" s="25" t="str">
        <f aca="false">IF(ISNUMBER(A500),IF(COUNTIF(祝日!$A:$A,A500)&gt;0,"祝",CHOOSE(WEEKDAY(A500,2),"月","火","水","木","金","土","日")),"")</f>
        <v/>
      </c>
      <c r="AA500" s="25" t="str">
        <f aca="false">IF(ISNUMBER(A500),IFERROR(INDEX(集計!$J$3:$J$33,MATCH(A500,集計!$B$3:$B$33,0)),0),"")</f>
        <v/>
      </c>
      <c r="AB500" s="25" t="str">
        <f aca="false">IF(ISNUMBER(A500),IFERROR(INDEX(設定!$F$4:$F$27,MATCH(K500,設定!$E$4:$E$27,0)),""),"")</f>
        <v/>
      </c>
    </row>
    <row r="501" customFormat="false" ht="15" hidden="false" customHeight="false" outlineLevel="0" collapsed="false">
      <c r="Z501" s="25" t="str">
        <f aca="false">IF(ISNUMBER(A501),IF(COUNTIF(祝日!$A:$A,A501)&gt;0,"祝",CHOOSE(WEEKDAY(A501,2),"月","火","水","木","金","土","日")),"")</f>
        <v/>
      </c>
      <c r="AA501" s="25" t="str">
        <f aca="false">IF(ISNUMBER(A501),IFERROR(INDEX(集計!$J$3:$J$33,MATCH(A501,集計!$B$3:$B$33,0)),0),"")</f>
        <v/>
      </c>
      <c r="AB501" s="25" t="str">
        <f aca="false">IF(ISNUMBER(A501),IFERROR(INDEX(設定!$F$4:$F$27,MATCH(K501,設定!$E$4:$E$27,0)),""),"")</f>
        <v/>
      </c>
    </row>
    <row r="502" customFormat="false" ht="15" hidden="false" customHeight="false" outlineLevel="0" collapsed="false">
      <c r="Z502" s="25" t="str">
        <f aca="false">IF(ISNUMBER(A502),IF(COUNTIF(祝日!$A:$A,A502)&gt;0,"祝",CHOOSE(WEEKDAY(A502,2),"月","火","水","木","金","土","日")),"")</f>
        <v/>
      </c>
      <c r="AA502" s="25" t="str">
        <f aca="false">IF(ISNUMBER(A502),IFERROR(INDEX(集計!$J$3:$J$33,MATCH(A502,集計!$B$3:$B$33,0)),0),"")</f>
        <v/>
      </c>
      <c r="AB502" s="25" t="str">
        <f aca="false">IF(ISNUMBER(A502),IFERROR(INDEX(設定!$F$4:$F$27,MATCH(K502,設定!$E$4:$E$27,0)),""),"")</f>
        <v/>
      </c>
    </row>
    <row r="503" customFormat="false" ht="15" hidden="false" customHeight="false" outlineLevel="0" collapsed="false">
      <c r="Z503" s="25" t="str">
        <f aca="false">IF(ISNUMBER(A503),IF(COUNTIF(祝日!$A:$A,A503)&gt;0,"祝",CHOOSE(WEEKDAY(A503,2),"月","火","水","木","金","土","日")),"")</f>
        <v/>
      </c>
      <c r="AA503" s="25" t="str">
        <f aca="false">IF(ISNUMBER(A503),IFERROR(INDEX(集計!$J$3:$J$33,MATCH(A503,集計!$B$3:$B$33,0)),0),"")</f>
        <v/>
      </c>
      <c r="AB503" s="25" t="str">
        <f aca="false">IF(ISNUMBER(A503),IFERROR(INDEX(設定!$F$4:$F$27,MATCH(K503,設定!$E$4:$E$27,0)),""),"")</f>
        <v/>
      </c>
    </row>
    <row r="504" customFormat="false" ht="15" hidden="false" customHeight="false" outlineLevel="0" collapsed="false">
      <c r="Z504" s="25" t="str">
        <f aca="false">IF(ISNUMBER(A504),IF(COUNTIF(祝日!$A:$A,A504)&gt;0,"祝",CHOOSE(WEEKDAY(A504,2),"月","火","水","木","金","土","日")),"")</f>
        <v/>
      </c>
      <c r="AA504" s="25" t="str">
        <f aca="false">IF(ISNUMBER(A504),IFERROR(INDEX(集計!$J$3:$J$33,MATCH(A504,集計!$B$3:$B$33,0)),0),"")</f>
        <v/>
      </c>
      <c r="AB504" s="25" t="str">
        <f aca="false">IF(ISNUMBER(A504),IFERROR(INDEX(設定!$F$4:$F$27,MATCH(K504,設定!$E$4:$E$27,0)),""),"")</f>
        <v/>
      </c>
    </row>
    <row r="505" customFormat="false" ht="15" hidden="false" customHeight="false" outlineLevel="0" collapsed="false">
      <c r="Z505" s="25" t="str">
        <f aca="false">IF(ISNUMBER(A505),IF(COUNTIF(祝日!$A:$A,A505)&gt;0,"祝",CHOOSE(WEEKDAY(A505,2),"月","火","水","木","金","土","日")),"")</f>
        <v/>
      </c>
      <c r="AA505" s="25" t="str">
        <f aca="false">IF(ISNUMBER(A505),IFERROR(INDEX(集計!$J$3:$J$33,MATCH(A505,集計!$B$3:$B$33,0)),0),"")</f>
        <v/>
      </c>
      <c r="AB505" s="25" t="str">
        <f aca="false">IF(ISNUMBER(A505),IFERROR(INDEX(設定!$F$4:$F$27,MATCH(K505,設定!$E$4:$E$27,0)),""),"")</f>
        <v/>
      </c>
    </row>
    <row r="506" customFormat="false" ht="15" hidden="false" customHeight="false" outlineLevel="0" collapsed="false">
      <c r="Z506" s="25" t="str">
        <f aca="false">IF(ISNUMBER(A506),IF(COUNTIF(祝日!$A:$A,A506)&gt;0,"祝",CHOOSE(WEEKDAY(A506,2),"月","火","水","木","金","土","日")),"")</f>
        <v/>
      </c>
      <c r="AA506" s="25" t="str">
        <f aca="false">IF(ISNUMBER(A506),IFERROR(INDEX(集計!$J$3:$J$33,MATCH(A506,集計!$B$3:$B$33,0)),0),"")</f>
        <v/>
      </c>
      <c r="AB506" s="25" t="str">
        <f aca="false">IF(ISNUMBER(A506),IFERROR(INDEX(設定!$F$4:$F$27,MATCH(K506,設定!$E$4:$E$27,0)),""),"")</f>
        <v/>
      </c>
    </row>
    <row r="507" customFormat="false" ht="15" hidden="false" customHeight="false" outlineLevel="0" collapsed="false">
      <c r="Z507" s="25" t="str">
        <f aca="false">IF(ISNUMBER(A507),IF(COUNTIF(祝日!$A:$A,A507)&gt;0,"祝",CHOOSE(WEEKDAY(A507,2),"月","火","水","木","金","土","日")),"")</f>
        <v/>
      </c>
      <c r="AA507" s="25" t="str">
        <f aca="false">IF(ISNUMBER(A507),IFERROR(INDEX(集計!$J$3:$J$33,MATCH(A507,集計!$B$3:$B$33,0)),0),"")</f>
        <v/>
      </c>
      <c r="AB507" s="25" t="str">
        <f aca="false">IF(ISNUMBER(A507),IFERROR(INDEX(設定!$F$4:$F$27,MATCH(K507,設定!$E$4:$E$27,0)),""),"")</f>
        <v/>
      </c>
    </row>
    <row r="508" customFormat="false" ht="15" hidden="false" customHeight="false" outlineLevel="0" collapsed="false">
      <c r="Z508" s="25" t="str">
        <f aca="false">IF(ISNUMBER(A508),IF(COUNTIF(祝日!$A:$A,A508)&gt;0,"祝",CHOOSE(WEEKDAY(A508,2),"月","火","水","木","金","土","日")),"")</f>
        <v/>
      </c>
      <c r="AA508" s="25" t="str">
        <f aca="false">IF(ISNUMBER(A508),IFERROR(INDEX(集計!$J$3:$J$33,MATCH(A508,集計!$B$3:$B$33,0)),0),"")</f>
        <v/>
      </c>
      <c r="AB508" s="25" t="str">
        <f aca="false">IF(ISNUMBER(A508),IFERROR(INDEX(設定!$F$4:$F$27,MATCH(K508,設定!$E$4:$E$27,0)),""),"")</f>
        <v/>
      </c>
    </row>
    <row r="509" customFormat="false" ht="15" hidden="false" customHeight="false" outlineLevel="0" collapsed="false">
      <c r="Z509" s="25" t="str">
        <f aca="false">IF(ISNUMBER(A509),IF(COUNTIF(祝日!$A:$A,A509)&gt;0,"祝",CHOOSE(WEEKDAY(A509,2),"月","火","水","木","金","土","日")),"")</f>
        <v/>
      </c>
      <c r="AA509" s="25" t="str">
        <f aca="false">IF(ISNUMBER(A509),IFERROR(INDEX(集計!$J$3:$J$33,MATCH(A509,集計!$B$3:$B$33,0)),0),"")</f>
        <v/>
      </c>
      <c r="AB509" s="25" t="str">
        <f aca="false">IF(ISNUMBER(A509),IFERROR(INDEX(設定!$F$4:$F$27,MATCH(K509,設定!$E$4:$E$27,0)),""),"")</f>
        <v/>
      </c>
    </row>
    <row r="510" customFormat="false" ht="15" hidden="false" customHeight="false" outlineLevel="0" collapsed="false">
      <c r="Z510" s="25" t="str">
        <f aca="false">IF(ISNUMBER(A510),IF(COUNTIF(祝日!$A:$A,A510)&gt;0,"祝",CHOOSE(WEEKDAY(A510,2),"月","火","水","木","金","土","日")),"")</f>
        <v/>
      </c>
      <c r="AA510" s="25" t="str">
        <f aca="false">IF(ISNUMBER(A510),IFERROR(INDEX(集計!$J$3:$J$33,MATCH(A510,集計!$B$3:$B$33,0)),0),"")</f>
        <v/>
      </c>
      <c r="AB510" s="25" t="str">
        <f aca="false">IF(ISNUMBER(A510),IFERROR(INDEX(設定!$F$4:$F$27,MATCH(K510,設定!$E$4:$E$27,0)),""),"")</f>
        <v/>
      </c>
    </row>
    <row r="511" customFormat="false" ht="15" hidden="false" customHeight="false" outlineLevel="0" collapsed="false">
      <c r="Z511" s="25" t="str">
        <f aca="false">IF(ISNUMBER(A511),IF(COUNTIF(祝日!$A:$A,A511)&gt;0,"祝",CHOOSE(WEEKDAY(A511,2),"月","火","水","木","金","土","日")),"")</f>
        <v/>
      </c>
      <c r="AA511" s="25" t="str">
        <f aca="false">IF(ISNUMBER(A511),IFERROR(INDEX(集計!$J$3:$J$33,MATCH(A511,集計!$B$3:$B$33,0)),0),"")</f>
        <v/>
      </c>
      <c r="AB511" s="25" t="str">
        <f aca="false">IF(ISNUMBER(A511),IFERROR(INDEX(設定!$F$4:$F$27,MATCH(K511,設定!$E$4:$E$27,0)),""),"")</f>
        <v/>
      </c>
    </row>
    <row r="512" customFormat="false" ht="15" hidden="false" customHeight="false" outlineLevel="0" collapsed="false">
      <c r="Z512" s="25" t="str">
        <f aca="false">IF(ISNUMBER(A512),IF(COUNTIF(祝日!$A:$A,A512)&gt;0,"祝",CHOOSE(WEEKDAY(A512,2),"月","火","水","木","金","土","日")),"")</f>
        <v/>
      </c>
      <c r="AA512" s="25" t="str">
        <f aca="false">IF(ISNUMBER(A512),IFERROR(INDEX(集計!$J$3:$J$33,MATCH(A512,集計!$B$3:$B$33,0)),0),"")</f>
        <v/>
      </c>
      <c r="AB512" s="25" t="str">
        <f aca="false">IF(ISNUMBER(A512),IFERROR(INDEX(設定!$F$4:$F$27,MATCH(K512,設定!$E$4:$E$27,0)),""),"")</f>
        <v/>
      </c>
    </row>
    <row r="513" customFormat="false" ht="15" hidden="false" customHeight="false" outlineLevel="0" collapsed="false">
      <c r="Z513" s="25" t="str">
        <f aca="false">IF(ISNUMBER(A513),IF(COUNTIF(祝日!$A:$A,A513)&gt;0,"祝",CHOOSE(WEEKDAY(A513,2),"月","火","水","木","金","土","日")),"")</f>
        <v/>
      </c>
      <c r="AA513" s="25" t="str">
        <f aca="false">IF(ISNUMBER(A513),IFERROR(INDEX(集計!$J$3:$J$33,MATCH(A513,集計!$B$3:$B$33,0)),0),"")</f>
        <v/>
      </c>
      <c r="AB513" s="25" t="str">
        <f aca="false">IF(ISNUMBER(A513),IFERROR(INDEX(設定!$F$4:$F$27,MATCH(K513,設定!$E$4:$E$27,0)),""),"")</f>
        <v/>
      </c>
    </row>
    <row r="514" customFormat="false" ht="15" hidden="false" customHeight="false" outlineLevel="0" collapsed="false">
      <c r="Z514" s="25" t="str">
        <f aca="false">IF(ISNUMBER(A514),IF(COUNTIF(祝日!$A:$A,A514)&gt;0,"祝",CHOOSE(WEEKDAY(A514,2),"月","火","水","木","金","土","日")),"")</f>
        <v/>
      </c>
      <c r="AA514" s="25" t="str">
        <f aca="false">IF(ISNUMBER(A514),IFERROR(INDEX(集計!$J$3:$J$33,MATCH(A514,集計!$B$3:$B$33,0)),0),"")</f>
        <v/>
      </c>
      <c r="AB514" s="25" t="str">
        <f aca="false">IF(ISNUMBER(A514),IFERROR(INDEX(設定!$F$4:$F$27,MATCH(K514,設定!$E$4:$E$27,0)),""),"")</f>
        <v/>
      </c>
    </row>
    <row r="515" customFormat="false" ht="15" hidden="false" customHeight="false" outlineLevel="0" collapsed="false">
      <c r="Z515" s="25" t="str">
        <f aca="false">IF(ISNUMBER(A515),IF(COUNTIF(祝日!$A:$A,A515)&gt;0,"祝",CHOOSE(WEEKDAY(A515,2),"月","火","水","木","金","土","日")),"")</f>
        <v/>
      </c>
      <c r="AA515" s="25" t="str">
        <f aca="false">IF(ISNUMBER(A515),IFERROR(INDEX(集計!$J$3:$J$33,MATCH(A515,集計!$B$3:$B$33,0)),0),"")</f>
        <v/>
      </c>
      <c r="AB515" s="25" t="str">
        <f aca="false">IF(ISNUMBER(A515),IFERROR(INDEX(設定!$F$4:$F$27,MATCH(K515,設定!$E$4:$E$27,0)),""),"")</f>
        <v/>
      </c>
    </row>
    <row r="516" customFormat="false" ht="15" hidden="false" customHeight="false" outlineLevel="0" collapsed="false">
      <c r="Z516" s="25" t="str">
        <f aca="false">IF(ISNUMBER(A516),IF(COUNTIF(祝日!$A:$A,A516)&gt;0,"祝",CHOOSE(WEEKDAY(A516,2),"月","火","水","木","金","土","日")),"")</f>
        <v/>
      </c>
      <c r="AA516" s="25" t="str">
        <f aca="false">IF(ISNUMBER(A516),IFERROR(INDEX(集計!$J$3:$J$33,MATCH(A516,集計!$B$3:$B$33,0)),0),"")</f>
        <v/>
      </c>
      <c r="AB516" s="25" t="str">
        <f aca="false">IF(ISNUMBER(A516),IFERROR(INDEX(設定!$F$4:$F$27,MATCH(K516,設定!$E$4:$E$27,0)),""),"")</f>
        <v/>
      </c>
    </row>
    <row r="517" customFormat="false" ht="15" hidden="false" customHeight="false" outlineLevel="0" collapsed="false">
      <c r="Z517" s="25" t="str">
        <f aca="false">IF(ISNUMBER(A517),IF(COUNTIF(祝日!$A:$A,A517)&gt;0,"祝",CHOOSE(WEEKDAY(A517,2),"月","火","水","木","金","土","日")),"")</f>
        <v/>
      </c>
      <c r="AA517" s="25" t="str">
        <f aca="false">IF(ISNUMBER(A517),IFERROR(INDEX(集計!$J$3:$J$33,MATCH(A517,集計!$B$3:$B$33,0)),0),"")</f>
        <v/>
      </c>
      <c r="AB517" s="25" t="str">
        <f aca="false">IF(ISNUMBER(A517),IFERROR(INDEX(設定!$F$4:$F$27,MATCH(K517,設定!$E$4:$E$27,0)),""),"")</f>
        <v/>
      </c>
    </row>
    <row r="518" customFormat="false" ht="15" hidden="false" customHeight="false" outlineLevel="0" collapsed="false">
      <c r="Z518" s="25" t="str">
        <f aca="false">IF(ISNUMBER(A518),IF(COUNTIF(祝日!$A:$A,A518)&gt;0,"祝",CHOOSE(WEEKDAY(A518,2),"月","火","水","木","金","土","日")),"")</f>
        <v/>
      </c>
      <c r="AA518" s="25" t="str">
        <f aca="false">IF(ISNUMBER(A518),IFERROR(INDEX(集計!$J$3:$J$33,MATCH(A518,集計!$B$3:$B$33,0)),0),"")</f>
        <v/>
      </c>
      <c r="AB518" s="25" t="str">
        <f aca="false">IF(ISNUMBER(A518),IFERROR(INDEX(設定!$F$4:$F$27,MATCH(K518,設定!$E$4:$E$27,0)),""),"")</f>
        <v/>
      </c>
    </row>
    <row r="519" customFormat="false" ht="15" hidden="false" customHeight="false" outlineLevel="0" collapsed="false">
      <c r="Z519" s="25" t="str">
        <f aca="false">IF(ISNUMBER(A519),IF(COUNTIF(祝日!$A:$A,A519)&gt;0,"祝",CHOOSE(WEEKDAY(A519,2),"月","火","水","木","金","土","日")),"")</f>
        <v/>
      </c>
      <c r="AA519" s="25" t="str">
        <f aca="false">IF(ISNUMBER(A519),IFERROR(INDEX(集計!$J$3:$J$33,MATCH(A519,集計!$B$3:$B$33,0)),0),"")</f>
        <v/>
      </c>
      <c r="AB519" s="25" t="str">
        <f aca="false">IF(ISNUMBER(A519),IFERROR(INDEX(設定!$F$4:$F$27,MATCH(K519,設定!$E$4:$E$27,0)),""),"")</f>
        <v/>
      </c>
    </row>
    <row r="520" customFormat="false" ht="15" hidden="false" customHeight="false" outlineLevel="0" collapsed="false">
      <c r="Z520" s="25" t="str">
        <f aca="false">IF(ISNUMBER(A520),IF(COUNTIF(祝日!$A:$A,A520)&gt;0,"祝",CHOOSE(WEEKDAY(A520,2),"月","火","水","木","金","土","日")),"")</f>
        <v/>
      </c>
      <c r="AA520" s="25" t="str">
        <f aca="false">IF(ISNUMBER(A520),IFERROR(INDEX(集計!$J$3:$J$33,MATCH(A520,集計!$B$3:$B$33,0)),0),"")</f>
        <v/>
      </c>
      <c r="AB520" s="25" t="str">
        <f aca="false">IF(ISNUMBER(A520),IFERROR(INDEX(設定!$F$4:$F$27,MATCH(K520,設定!$E$4:$E$27,0)),""),"")</f>
        <v/>
      </c>
    </row>
    <row r="521" customFormat="false" ht="15" hidden="false" customHeight="false" outlineLevel="0" collapsed="false">
      <c r="Z521" s="25" t="str">
        <f aca="false">IF(ISNUMBER(A521),IF(COUNTIF(祝日!$A:$A,A521)&gt;0,"祝",CHOOSE(WEEKDAY(A521,2),"月","火","水","木","金","土","日")),"")</f>
        <v/>
      </c>
      <c r="AA521" s="25" t="str">
        <f aca="false">IF(ISNUMBER(A521),IFERROR(INDEX(集計!$J$3:$J$33,MATCH(A521,集計!$B$3:$B$33,0)),0),"")</f>
        <v/>
      </c>
      <c r="AB521" s="25" t="str">
        <f aca="false">IF(ISNUMBER(A521),IFERROR(INDEX(設定!$F$4:$F$27,MATCH(K521,設定!$E$4:$E$27,0)),""),"")</f>
        <v/>
      </c>
    </row>
    <row r="522" customFormat="false" ht="15" hidden="false" customHeight="false" outlineLevel="0" collapsed="false">
      <c r="Z522" s="25" t="str">
        <f aca="false">IF(ISNUMBER(A522),IF(COUNTIF(祝日!$A:$A,A522)&gt;0,"祝",CHOOSE(WEEKDAY(A522,2),"月","火","水","木","金","土","日")),"")</f>
        <v/>
      </c>
      <c r="AA522" s="25" t="str">
        <f aca="false">IF(ISNUMBER(A522),IFERROR(INDEX(集計!$J$3:$J$33,MATCH(A522,集計!$B$3:$B$33,0)),0),"")</f>
        <v/>
      </c>
      <c r="AB522" s="25" t="str">
        <f aca="false">IF(ISNUMBER(A522),IFERROR(INDEX(設定!$F$4:$F$27,MATCH(K522,設定!$E$4:$E$27,0)),""),"")</f>
        <v/>
      </c>
    </row>
    <row r="523" customFormat="false" ht="15" hidden="false" customHeight="false" outlineLevel="0" collapsed="false">
      <c r="Z523" s="25" t="str">
        <f aca="false">IF(ISNUMBER(A523),IF(COUNTIF(祝日!$A:$A,A523)&gt;0,"祝",CHOOSE(WEEKDAY(A523,2),"月","火","水","木","金","土","日")),"")</f>
        <v/>
      </c>
      <c r="AA523" s="25" t="str">
        <f aca="false">IF(ISNUMBER(A523),IFERROR(INDEX(集計!$J$3:$J$33,MATCH(A523,集計!$B$3:$B$33,0)),0),"")</f>
        <v/>
      </c>
      <c r="AB523" s="25" t="str">
        <f aca="false">IF(ISNUMBER(A523),IFERROR(INDEX(設定!$F$4:$F$27,MATCH(K523,設定!$E$4:$E$27,0)),""),"")</f>
        <v/>
      </c>
    </row>
    <row r="524" customFormat="false" ht="15" hidden="false" customHeight="false" outlineLevel="0" collapsed="false">
      <c r="Z524" s="25" t="str">
        <f aca="false">IF(ISNUMBER(A524),IF(COUNTIF(祝日!$A:$A,A524)&gt;0,"祝",CHOOSE(WEEKDAY(A524,2),"月","火","水","木","金","土","日")),"")</f>
        <v/>
      </c>
      <c r="AA524" s="25" t="str">
        <f aca="false">IF(ISNUMBER(A524),IFERROR(INDEX(集計!$J$3:$J$33,MATCH(A524,集計!$B$3:$B$33,0)),0),"")</f>
        <v/>
      </c>
      <c r="AB524" s="25" t="str">
        <f aca="false">IF(ISNUMBER(A524),IFERROR(INDEX(設定!$F$4:$F$27,MATCH(K524,設定!$E$4:$E$27,0)),""),"")</f>
        <v/>
      </c>
    </row>
    <row r="525" customFormat="false" ht="15" hidden="false" customHeight="false" outlineLevel="0" collapsed="false">
      <c r="Z525" s="25" t="str">
        <f aca="false">IF(ISNUMBER(A525),IF(COUNTIF(祝日!$A:$A,A525)&gt;0,"祝",CHOOSE(WEEKDAY(A525,2),"月","火","水","木","金","土","日")),"")</f>
        <v/>
      </c>
      <c r="AA525" s="25" t="str">
        <f aca="false">IF(ISNUMBER(A525),IFERROR(INDEX(集計!$J$3:$J$33,MATCH(A525,集計!$B$3:$B$33,0)),0),"")</f>
        <v/>
      </c>
      <c r="AB525" s="25" t="str">
        <f aca="false">IF(ISNUMBER(A525),IFERROR(INDEX(設定!$F$4:$F$27,MATCH(K525,設定!$E$4:$E$27,0)),""),"")</f>
        <v/>
      </c>
    </row>
    <row r="526" customFormat="false" ht="15" hidden="false" customHeight="false" outlineLevel="0" collapsed="false">
      <c r="Z526" s="25" t="str">
        <f aca="false">IF(ISNUMBER(A526),IF(COUNTIF(祝日!$A:$A,A526)&gt;0,"祝",CHOOSE(WEEKDAY(A526,2),"月","火","水","木","金","土","日")),"")</f>
        <v/>
      </c>
      <c r="AA526" s="25" t="str">
        <f aca="false">IF(ISNUMBER(A526),IFERROR(INDEX(集計!$J$3:$J$33,MATCH(A526,集計!$B$3:$B$33,0)),0),"")</f>
        <v/>
      </c>
      <c r="AB526" s="25" t="str">
        <f aca="false">IF(ISNUMBER(A526),IFERROR(INDEX(設定!$F$4:$F$27,MATCH(K526,設定!$E$4:$E$27,0)),""),"")</f>
        <v/>
      </c>
    </row>
    <row r="527" customFormat="false" ht="15" hidden="false" customHeight="false" outlineLevel="0" collapsed="false">
      <c r="Z527" s="25" t="str">
        <f aca="false">IF(ISNUMBER(A527),IF(COUNTIF(祝日!$A:$A,A527)&gt;0,"祝",CHOOSE(WEEKDAY(A527,2),"月","火","水","木","金","土","日")),"")</f>
        <v/>
      </c>
      <c r="AA527" s="25" t="str">
        <f aca="false">IF(ISNUMBER(A527),IFERROR(INDEX(集計!$J$3:$J$33,MATCH(A527,集計!$B$3:$B$33,0)),0),"")</f>
        <v/>
      </c>
      <c r="AB527" s="25" t="str">
        <f aca="false">IF(ISNUMBER(A527),IFERROR(INDEX(設定!$F$4:$F$27,MATCH(K527,設定!$E$4:$E$27,0)),""),"")</f>
        <v/>
      </c>
    </row>
    <row r="528" customFormat="false" ht="15" hidden="false" customHeight="false" outlineLevel="0" collapsed="false">
      <c r="Z528" s="25" t="str">
        <f aca="false">IF(ISNUMBER(A528),IF(COUNTIF(祝日!$A:$A,A528)&gt;0,"祝",CHOOSE(WEEKDAY(A528,2),"月","火","水","木","金","土","日")),"")</f>
        <v/>
      </c>
      <c r="AA528" s="25" t="str">
        <f aca="false">IF(ISNUMBER(A528),IFERROR(INDEX(集計!$J$3:$J$33,MATCH(A528,集計!$B$3:$B$33,0)),0),"")</f>
        <v/>
      </c>
      <c r="AB528" s="25" t="str">
        <f aca="false">IF(ISNUMBER(A528),IFERROR(INDEX(設定!$F$4:$F$27,MATCH(K528,設定!$E$4:$E$27,0)),""),"")</f>
        <v/>
      </c>
    </row>
    <row r="529" customFormat="false" ht="15" hidden="false" customHeight="false" outlineLevel="0" collapsed="false">
      <c r="Z529" s="25" t="str">
        <f aca="false">IF(ISNUMBER(A529),IF(COUNTIF(祝日!$A:$A,A529)&gt;0,"祝",CHOOSE(WEEKDAY(A529,2),"月","火","水","木","金","土","日")),"")</f>
        <v/>
      </c>
      <c r="AA529" s="25" t="str">
        <f aca="false">IF(ISNUMBER(A529),IFERROR(INDEX(集計!$J$3:$J$33,MATCH(A529,集計!$B$3:$B$33,0)),0),"")</f>
        <v/>
      </c>
      <c r="AB529" s="25" t="str">
        <f aca="false">IF(ISNUMBER(A529),IFERROR(INDEX(設定!$F$4:$F$27,MATCH(K529,設定!$E$4:$E$27,0)),""),"")</f>
        <v/>
      </c>
    </row>
    <row r="530" customFormat="false" ht="15" hidden="false" customHeight="false" outlineLevel="0" collapsed="false">
      <c r="Z530" s="25" t="str">
        <f aca="false">IF(ISNUMBER(A530),IF(COUNTIF(祝日!$A:$A,A530)&gt;0,"祝",CHOOSE(WEEKDAY(A530,2),"月","火","水","木","金","土","日")),"")</f>
        <v/>
      </c>
      <c r="AA530" s="25" t="str">
        <f aca="false">IF(ISNUMBER(A530),IFERROR(INDEX(集計!$J$3:$J$33,MATCH(A530,集計!$B$3:$B$33,0)),0),"")</f>
        <v/>
      </c>
      <c r="AB530" s="25" t="str">
        <f aca="false">IF(ISNUMBER(A530),IFERROR(INDEX(設定!$F$4:$F$27,MATCH(K530,設定!$E$4:$E$27,0)),""),"")</f>
        <v/>
      </c>
    </row>
    <row r="531" customFormat="false" ht="15" hidden="false" customHeight="false" outlineLevel="0" collapsed="false">
      <c r="Z531" s="25" t="str">
        <f aca="false">IF(ISNUMBER(A531),IF(COUNTIF(祝日!$A:$A,A531)&gt;0,"祝",CHOOSE(WEEKDAY(A531,2),"月","火","水","木","金","土","日")),"")</f>
        <v/>
      </c>
      <c r="AA531" s="25" t="str">
        <f aca="false">IF(ISNUMBER(A531),IFERROR(INDEX(集計!$J$3:$J$33,MATCH(A531,集計!$B$3:$B$33,0)),0),"")</f>
        <v/>
      </c>
      <c r="AB531" s="25" t="str">
        <f aca="false">IF(ISNUMBER(A531),IFERROR(INDEX(設定!$F$4:$F$27,MATCH(K531,設定!$E$4:$E$27,0)),""),"")</f>
        <v/>
      </c>
    </row>
    <row r="532" customFormat="false" ht="15" hidden="false" customHeight="false" outlineLevel="0" collapsed="false">
      <c r="Z532" s="25" t="str">
        <f aca="false">IF(ISNUMBER(A532),IF(COUNTIF(祝日!$A:$A,A532)&gt;0,"祝",CHOOSE(WEEKDAY(A532,2),"月","火","水","木","金","土","日")),"")</f>
        <v/>
      </c>
      <c r="AA532" s="25" t="str">
        <f aca="false">IF(ISNUMBER(A532),IFERROR(INDEX(集計!$J$3:$J$33,MATCH(A532,集計!$B$3:$B$33,0)),0),"")</f>
        <v/>
      </c>
      <c r="AB532" s="25" t="str">
        <f aca="false">IF(ISNUMBER(A532),IFERROR(INDEX(設定!$F$4:$F$27,MATCH(K532,設定!$E$4:$E$27,0)),""),"")</f>
        <v/>
      </c>
    </row>
    <row r="533" customFormat="false" ht="15" hidden="false" customHeight="false" outlineLevel="0" collapsed="false">
      <c r="Z533" s="25" t="str">
        <f aca="false">IF(ISNUMBER(A533),IF(COUNTIF(祝日!$A:$A,A533)&gt;0,"祝",CHOOSE(WEEKDAY(A533,2),"月","火","水","木","金","土","日")),"")</f>
        <v/>
      </c>
      <c r="AA533" s="25" t="str">
        <f aca="false">IF(ISNUMBER(A533),IFERROR(INDEX(集計!$J$3:$J$33,MATCH(A533,集計!$B$3:$B$33,0)),0),"")</f>
        <v/>
      </c>
      <c r="AB533" s="25" t="str">
        <f aca="false">IF(ISNUMBER(A533),IFERROR(INDEX(設定!$F$4:$F$27,MATCH(K533,設定!$E$4:$E$27,0)),""),"")</f>
        <v/>
      </c>
    </row>
    <row r="534" customFormat="false" ht="15" hidden="false" customHeight="false" outlineLevel="0" collapsed="false">
      <c r="Z534" s="25" t="str">
        <f aca="false">IF(ISNUMBER(A534),IF(COUNTIF(祝日!$A:$A,A534)&gt;0,"祝",CHOOSE(WEEKDAY(A534,2),"月","火","水","木","金","土","日")),"")</f>
        <v/>
      </c>
      <c r="AA534" s="25" t="str">
        <f aca="false">IF(ISNUMBER(A534),IFERROR(INDEX(集計!$J$3:$J$33,MATCH(A534,集計!$B$3:$B$33,0)),0),"")</f>
        <v/>
      </c>
      <c r="AB534" s="25" t="str">
        <f aca="false">IF(ISNUMBER(A534),IFERROR(INDEX(設定!$F$4:$F$27,MATCH(K534,設定!$E$4:$E$27,0)),""),"")</f>
        <v/>
      </c>
    </row>
    <row r="535" customFormat="false" ht="15" hidden="false" customHeight="false" outlineLevel="0" collapsed="false">
      <c r="Z535" s="25" t="str">
        <f aca="false">IF(ISNUMBER(A535),IF(COUNTIF(祝日!$A:$A,A535)&gt;0,"祝",CHOOSE(WEEKDAY(A535,2),"月","火","水","木","金","土","日")),"")</f>
        <v/>
      </c>
      <c r="AA535" s="25" t="str">
        <f aca="false">IF(ISNUMBER(A535),IFERROR(INDEX(集計!$J$3:$J$33,MATCH(A535,集計!$B$3:$B$33,0)),0),"")</f>
        <v/>
      </c>
      <c r="AB535" s="25" t="str">
        <f aca="false">IF(ISNUMBER(A535),IFERROR(INDEX(設定!$F$4:$F$27,MATCH(K535,設定!$E$4:$E$27,0)),""),"")</f>
        <v/>
      </c>
    </row>
    <row r="536" customFormat="false" ht="15" hidden="false" customHeight="false" outlineLevel="0" collapsed="false">
      <c r="Z536" s="25" t="str">
        <f aca="false">IF(ISNUMBER(A536),IF(COUNTIF(祝日!$A:$A,A536)&gt;0,"祝",CHOOSE(WEEKDAY(A536,2),"月","火","水","木","金","土","日")),"")</f>
        <v/>
      </c>
      <c r="AA536" s="25" t="str">
        <f aca="false">IF(ISNUMBER(A536),IFERROR(INDEX(集計!$J$3:$J$33,MATCH(A536,集計!$B$3:$B$33,0)),0),"")</f>
        <v/>
      </c>
      <c r="AB536" s="25" t="str">
        <f aca="false">IF(ISNUMBER(A536),IFERROR(INDEX(設定!$F$4:$F$27,MATCH(K536,設定!$E$4:$E$27,0)),""),"")</f>
        <v/>
      </c>
    </row>
    <row r="537" customFormat="false" ht="15" hidden="false" customHeight="false" outlineLevel="0" collapsed="false">
      <c r="Z537" s="25" t="str">
        <f aca="false">IF(ISNUMBER(A537),IF(COUNTIF(祝日!$A:$A,A537)&gt;0,"祝",CHOOSE(WEEKDAY(A537,2),"月","火","水","木","金","土","日")),"")</f>
        <v/>
      </c>
      <c r="AA537" s="25" t="str">
        <f aca="false">IF(ISNUMBER(A537),IFERROR(INDEX(集計!$J$3:$J$33,MATCH(A537,集計!$B$3:$B$33,0)),0),"")</f>
        <v/>
      </c>
      <c r="AB537" s="25" t="str">
        <f aca="false">IF(ISNUMBER(A537),IFERROR(INDEX(設定!$F$4:$F$27,MATCH(K537,設定!$E$4:$E$27,0)),""),"")</f>
        <v/>
      </c>
    </row>
    <row r="538" customFormat="false" ht="15" hidden="false" customHeight="false" outlineLevel="0" collapsed="false">
      <c r="Z538" s="25" t="str">
        <f aca="false">IF(ISNUMBER(A538),IF(COUNTIF(祝日!$A:$A,A538)&gt;0,"祝",CHOOSE(WEEKDAY(A538,2),"月","火","水","木","金","土","日")),"")</f>
        <v/>
      </c>
      <c r="AA538" s="25" t="str">
        <f aca="false">IF(ISNUMBER(A538),IFERROR(INDEX(集計!$J$3:$J$33,MATCH(A538,集計!$B$3:$B$33,0)),0),"")</f>
        <v/>
      </c>
      <c r="AB538" s="25" t="str">
        <f aca="false">IF(ISNUMBER(A538),IFERROR(INDEX(設定!$F$4:$F$27,MATCH(K538,設定!$E$4:$E$27,0)),""),"")</f>
        <v/>
      </c>
    </row>
    <row r="539" customFormat="false" ht="15" hidden="false" customHeight="false" outlineLevel="0" collapsed="false">
      <c r="Z539" s="25" t="str">
        <f aca="false">IF(ISNUMBER(A539),IF(COUNTIF(祝日!$A:$A,A539)&gt;0,"祝",CHOOSE(WEEKDAY(A539,2),"月","火","水","木","金","土","日")),"")</f>
        <v/>
      </c>
      <c r="AA539" s="25" t="str">
        <f aca="false">IF(ISNUMBER(A539),IFERROR(INDEX(集計!$J$3:$J$33,MATCH(A539,集計!$B$3:$B$33,0)),0),"")</f>
        <v/>
      </c>
      <c r="AB539" s="25" t="str">
        <f aca="false">IF(ISNUMBER(A539),IFERROR(INDEX(設定!$F$4:$F$27,MATCH(K539,設定!$E$4:$E$27,0)),""),"")</f>
        <v/>
      </c>
    </row>
    <row r="540" customFormat="false" ht="15" hidden="false" customHeight="false" outlineLevel="0" collapsed="false">
      <c r="Z540" s="25" t="str">
        <f aca="false">IF(ISNUMBER(A540),IF(COUNTIF(祝日!$A:$A,A540)&gt;0,"祝",CHOOSE(WEEKDAY(A540,2),"月","火","水","木","金","土","日")),"")</f>
        <v/>
      </c>
      <c r="AA540" s="25" t="str">
        <f aca="false">IF(ISNUMBER(A540),IFERROR(INDEX(集計!$J$3:$J$33,MATCH(A540,集計!$B$3:$B$33,0)),0),"")</f>
        <v/>
      </c>
      <c r="AB540" s="25" t="str">
        <f aca="false">IF(ISNUMBER(A540),IFERROR(INDEX(設定!$F$4:$F$27,MATCH(K540,設定!$E$4:$E$27,0)),""),"")</f>
        <v/>
      </c>
    </row>
    <row r="541" customFormat="false" ht="15" hidden="false" customHeight="false" outlineLevel="0" collapsed="false">
      <c r="Z541" s="25" t="str">
        <f aca="false">IF(ISNUMBER(A541),IF(COUNTIF(祝日!$A:$A,A541)&gt;0,"祝",CHOOSE(WEEKDAY(A541,2),"月","火","水","木","金","土","日")),"")</f>
        <v/>
      </c>
      <c r="AA541" s="25" t="str">
        <f aca="false">IF(ISNUMBER(A541),IFERROR(INDEX(集計!$J$3:$J$33,MATCH(A541,集計!$B$3:$B$33,0)),0),"")</f>
        <v/>
      </c>
      <c r="AB541" s="25" t="str">
        <f aca="false">IF(ISNUMBER(A541),IFERROR(INDEX(設定!$F$4:$F$27,MATCH(K541,設定!$E$4:$E$27,0)),""),"")</f>
        <v/>
      </c>
    </row>
    <row r="542" customFormat="false" ht="15" hidden="false" customHeight="false" outlineLevel="0" collapsed="false">
      <c r="Z542" s="25" t="str">
        <f aca="false">IF(ISNUMBER(A542),IF(COUNTIF(祝日!$A:$A,A542)&gt;0,"祝",CHOOSE(WEEKDAY(A542,2),"月","火","水","木","金","土","日")),"")</f>
        <v/>
      </c>
      <c r="AA542" s="25" t="str">
        <f aca="false">IF(ISNUMBER(A542),IFERROR(INDEX(集計!$J$3:$J$33,MATCH(A542,集計!$B$3:$B$33,0)),0),"")</f>
        <v/>
      </c>
      <c r="AB542" s="25" t="str">
        <f aca="false">IF(ISNUMBER(A542),IFERROR(INDEX(設定!$F$4:$F$27,MATCH(K542,設定!$E$4:$E$27,0)),""),"")</f>
        <v/>
      </c>
    </row>
    <row r="543" customFormat="false" ht="15" hidden="false" customHeight="false" outlineLevel="0" collapsed="false">
      <c r="Z543" s="25" t="str">
        <f aca="false">IF(ISNUMBER(A543),IF(COUNTIF(祝日!$A:$A,A543)&gt;0,"祝",CHOOSE(WEEKDAY(A543,2),"月","火","水","木","金","土","日")),"")</f>
        <v/>
      </c>
      <c r="AA543" s="25" t="str">
        <f aca="false">IF(ISNUMBER(A543),IFERROR(INDEX(集計!$J$3:$J$33,MATCH(A543,集計!$B$3:$B$33,0)),0),"")</f>
        <v/>
      </c>
      <c r="AB543" s="25" t="str">
        <f aca="false">IF(ISNUMBER(A543),IFERROR(INDEX(設定!$F$4:$F$27,MATCH(K543,設定!$E$4:$E$27,0)),""),"")</f>
        <v/>
      </c>
    </row>
    <row r="544" customFormat="false" ht="15" hidden="false" customHeight="false" outlineLevel="0" collapsed="false">
      <c r="Z544" s="25" t="str">
        <f aca="false">IF(ISNUMBER(A544),IF(COUNTIF(祝日!$A:$A,A544)&gt;0,"祝",CHOOSE(WEEKDAY(A544,2),"月","火","水","木","金","土","日")),"")</f>
        <v/>
      </c>
      <c r="AA544" s="25" t="str">
        <f aca="false">IF(ISNUMBER(A544),IFERROR(INDEX(集計!$J$3:$J$33,MATCH(A544,集計!$B$3:$B$33,0)),0),"")</f>
        <v/>
      </c>
      <c r="AB544" s="25" t="str">
        <f aca="false">IF(ISNUMBER(A544),IFERROR(INDEX(設定!$F$4:$F$27,MATCH(K544,設定!$E$4:$E$27,0)),""),"")</f>
        <v/>
      </c>
    </row>
    <row r="545" customFormat="false" ht="15" hidden="false" customHeight="false" outlineLevel="0" collapsed="false">
      <c r="Z545" s="25" t="str">
        <f aca="false">IF(ISNUMBER(A545),IF(COUNTIF(祝日!$A:$A,A545)&gt;0,"祝",CHOOSE(WEEKDAY(A545,2),"月","火","水","木","金","土","日")),"")</f>
        <v/>
      </c>
      <c r="AA545" s="25" t="str">
        <f aca="false">IF(ISNUMBER(A545),IFERROR(INDEX(集計!$J$3:$J$33,MATCH(A545,集計!$B$3:$B$33,0)),0),"")</f>
        <v/>
      </c>
      <c r="AB545" s="25" t="str">
        <f aca="false">IF(ISNUMBER(A545),IFERROR(INDEX(設定!$F$4:$F$27,MATCH(K545,設定!$E$4:$E$27,0)),""),"")</f>
        <v/>
      </c>
    </row>
    <row r="546" customFormat="false" ht="15" hidden="false" customHeight="false" outlineLevel="0" collapsed="false">
      <c r="Z546" s="25" t="str">
        <f aca="false">IF(ISNUMBER(A546),IF(COUNTIF(祝日!$A:$A,A546)&gt;0,"祝",CHOOSE(WEEKDAY(A546,2),"月","火","水","木","金","土","日")),"")</f>
        <v/>
      </c>
      <c r="AA546" s="25" t="str">
        <f aca="false">IF(ISNUMBER(A546),IFERROR(INDEX(集計!$J$3:$J$33,MATCH(A546,集計!$B$3:$B$33,0)),0),"")</f>
        <v/>
      </c>
      <c r="AB546" s="25" t="str">
        <f aca="false">IF(ISNUMBER(A546),IFERROR(INDEX(設定!$F$4:$F$27,MATCH(K546,設定!$E$4:$E$27,0)),""),"")</f>
        <v/>
      </c>
    </row>
    <row r="547" customFormat="false" ht="15" hidden="false" customHeight="false" outlineLevel="0" collapsed="false">
      <c r="Z547" s="25" t="str">
        <f aca="false">IF(ISNUMBER(A547),IF(COUNTIF(祝日!$A:$A,A547)&gt;0,"祝",CHOOSE(WEEKDAY(A547,2),"月","火","水","木","金","土","日")),"")</f>
        <v/>
      </c>
      <c r="AA547" s="25" t="str">
        <f aca="false">IF(ISNUMBER(A547),IFERROR(INDEX(集計!$J$3:$J$33,MATCH(A547,集計!$B$3:$B$33,0)),0),"")</f>
        <v/>
      </c>
      <c r="AB547" s="25" t="str">
        <f aca="false">IF(ISNUMBER(A547),IFERROR(INDEX(設定!$F$4:$F$27,MATCH(K547,設定!$E$4:$E$27,0)),""),"")</f>
        <v/>
      </c>
    </row>
    <row r="548" customFormat="false" ht="15" hidden="false" customHeight="false" outlineLevel="0" collapsed="false">
      <c r="Z548" s="25" t="str">
        <f aca="false">IF(ISNUMBER(A548),IF(COUNTIF(祝日!$A:$A,A548)&gt;0,"祝",CHOOSE(WEEKDAY(A548,2),"月","火","水","木","金","土","日")),"")</f>
        <v/>
      </c>
      <c r="AA548" s="25" t="str">
        <f aca="false">IF(ISNUMBER(A548),IFERROR(INDEX(集計!$J$3:$J$33,MATCH(A548,集計!$B$3:$B$33,0)),0),"")</f>
        <v/>
      </c>
      <c r="AB548" s="25" t="str">
        <f aca="false">IF(ISNUMBER(A548),IFERROR(INDEX(設定!$F$4:$F$27,MATCH(K548,設定!$E$4:$E$27,0)),""),"")</f>
        <v/>
      </c>
    </row>
    <row r="549" customFormat="false" ht="15" hidden="false" customHeight="false" outlineLevel="0" collapsed="false">
      <c r="Z549" s="25" t="str">
        <f aca="false">IF(ISNUMBER(A549),IF(COUNTIF(祝日!$A:$A,A549)&gt;0,"祝",CHOOSE(WEEKDAY(A549,2),"月","火","水","木","金","土","日")),"")</f>
        <v/>
      </c>
      <c r="AA549" s="25" t="str">
        <f aca="false">IF(ISNUMBER(A549),IFERROR(INDEX(集計!$J$3:$J$33,MATCH(A549,集計!$B$3:$B$33,0)),0),"")</f>
        <v/>
      </c>
      <c r="AB549" s="25" t="str">
        <f aca="false">IF(ISNUMBER(A549),IFERROR(INDEX(設定!$F$4:$F$27,MATCH(K549,設定!$E$4:$E$27,0)),""),"")</f>
        <v/>
      </c>
    </row>
    <row r="550" customFormat="false" ht="15" hidden="false" customHeight="false" outlineLevel="0" collapsed="false">
      <c r="Z550" s="25" t="str">
        <f aca="false">IF(ISNUMBER(A550),IF(COUNTIF(祝日!$A:$A,A550)&gt;0,"祝",CHOOSE(WEEKDAY(A550,2),"月","火","水","木","金","土","日")),"")</f>
        <v/>
      </c>
      <c r="AA550" s="25" t="str">
        <f aca="false">IF(ISNUMBER(A550),IFERROR(INDEX(集計!$J$3:$J$33,MATCH(A550,集計!$B$3:$B$33,0)),0),"")</f>
        <v/>
      </c>
      <c r="AB550" s="25" t="str">
        <f aca="false">IF(ISNUMBER(A550),IFERROR(INDEX(設定!$F$4:$F$27,MATCH(K550,設定!$E$4:$E$27,0)),""),"")</f>
        <v/>
      </c>
    </row>
    <row r="551" customFormat="false" ht="15" hidden="false" customHeight="false" outlineLevel="0" collapsed="false">
      <c r="Z551" s="25" t="str">
        <f aca="false">IF(ISNUMBER(A551),IF(COUNTIF(祝日!$A:$A,A551)&gt;0,"祝",CHOOSE(WEEKDAY(A551,2),"月","火","水","木","金","土","日")),"")</f>
        <v/>
      </c>
      <c r="AA551" s="25" t="str">
        <f aca="false">IF(ISNUMBER(A551),IFERROR(INDEX(集計!$J$3:$J$33,MATCH(A551,集計!$B$3:$B$33,0)),0),"")</f>
        <v/>
      </c>
      <c r="AB551" s="25" t="str">
        <f aca="false">IF(ISNUMBER(A551),IFERROR(INDEX(設定!$F$4:$F$27,MATCH(K551,設定!$E$4:$E$27,0)),""),"")</f>
        <v/>
      </c>
    </row>
    <row r="552" customFormat="false" ht="15" hidden="false" customHeight="false" outlineLevel="0" collapsed="false">
      <c r="Z552" s="25" t="str">
        <f aca="false">IF(ISNUMBER(A552),IF(COUNTIF(祝日!$A:$A,A552)&gt;0,"祝",CHOOSE(WEEKDAY(A552,2),"月","火","水","木","金","土","日")),"")</f>
        <v/>
      </c>
      <c r="AA552" s="25" t="str">
        <f aca="false">IF(ISNUMBER(A552),IFERROR(INDEX(集計!$J$3:$J$33,MATCH(A552,集計!$B$3:$B$33,0)),0),"")</f>
        <v/>
      </c>
      <c r="AB552" s="25" t="str">
        <f aca="false">IF(ISNUMBER(A552),IFERROR(INDEX(設定!$F$4:$F$27,MATCH(K552,設定!$E$4:$E$27,0)),""),"")</f>
        <v/>
      </c>
    </row>
    <row r="553" customFormat="false" ht="15" hidden="false" customHeight="false" outlineLevel="0" collapsed="false">
      <c r="Z553" s="25" t="str">
        <f aca="false">IF(ISNUMBER(A553),IF(COUNTIF(祝日!$A:$A,A553)&gt;0,"祝",CHOOSE(WEEKDAY(A553,2),"月","火","水","木","金","土","日")),"")</f>
        <v/>
      </c>
      <c r="AA553" s="25" t="str">
        <f aca="false">IF(ISNUMBER(A553),IFERROR(INDEX(集計!$J$3:$J$33,MATCH(A553,集計!$B$3:$B$33,0)),0),"")</f>
        <v/>
      </c>
      <c r="AB553" s="25" t="str">
        <f aca="false">IF(ISNUMBER(A553),IFERROR(INDEX(設定!$F$4:$F$27,MATCH(K553,設定!$E$4:$E$27,0)),""),"")</f>
        <v/>
      </c>
    </row>
    <row r="554" customFormat="false" ht="15" hidden="false" customHeight="false" outlineLevel="0" collapsed="false">
      <c r="Z554" s="25" t="str">
        <f aca="false">IF(ISNUMBER(A554),IF(COUNTIF(祝日!$A:$A,A554)&gt;0,"祝",CHOOSE(WEEKDAY(A554,2),"月","火","水","木","金","土","日")),"")</f>
        <v/>
      </c>
      <c r="AA554" s="25" t="str">
        <f aca="false">IF(ISNUMBER(A554),IFERROR(INDEX(集計!$J$3:$J$33,MATCH(A554,集計!$B$3:$B$33,0)),0),"")</f>
        <v/>
      </c>
      <c r="AB554" s="25" t="str">
        <f aca="false">IF(ISNUMBER(A554),IFERROR(INDEX(設定!$F$4:$F$27,MATCH(K554,設定!$E$4:$E$27,0)),""),"")</f>
        <v/>
      </c>
    </row>
    <row r="555" customFormat="false" ht="15" hidden="false" customHeight="false" outlineLevel="0" collapsed="false">
      <c r="Z555" s="25" t="str">
        <f aca="false">IF(ISNUMBER(A555),IF(COUNTIF(祝日!$A:$A,A555)&gt;0,"祝",CHOOSE(WEEKDAY(A555,2),"月","火","水","木","金","土","日")),"")</f>
        <v/>
      </c>
      <c r="AA555" s="25" t="str">
        <f aca="false">IF(ISNUMBER(A555),IFERROR(INDEX(集計!$J$3:$J$33,MATCH(A555,集計!$B$3:$B$33,0)),0),"")</f>
        <v/>
      </c>
      <c r="AB555" s="25" t="str">
        <f aca="false">IF(ISNUMBER(A555),IFERROR(INDEX(設定!$F$4:$F$27,MATCH(K555,設定!$E$4:$E$27,0)),""),"")</f>
        <v/>
      </c>
    </row>
    <row r="556" customFormat="false" ht="15" hidden="false" customHeight="false" outlineLevel="0" collapsed="false">
      <c r="Z556" s="25" t="str">
        <f aca="false">IF(ISNUMBER(A556),IF(COUNTIF(祝日!$A:$A,A556)&gt;0,"祝",CHOOSE(WEEKDAY(A556,2),"月","火","水","木","金","土","日")),"")</f>
        <v/>
      </c>
      <c r="AA556" s="25" t="str">
        <f aca="false">IF(ISNUMBER(A556),IFERROR(INDEX(集計!$J$3:$J$33,MATCH(A556,集計!$B$3:$B$33,0)),0),"")</f>
        <v/>
      </c>
      <c r="AB556" s="25" t="str">
        <f aca="false">IF(ISNUMBER(A556),IFERROR(INDEX(設定!$F$4:$F$27,MATCH(K556,設定!$E$4:$E$27,0)),""),"")</f>
        <v/>
      </c>
    </row>
    <row r="557" customFormat="false" ht="15" hidden="false" customHeight="false" outlineLevel="0" collapsed="false">
      <c r="Z557" s="25" t="str">
        <f aca="false">IF(ISNUMBER(A557),IF(COUNTIF(祝日!$A:$A,A557)&gt;0,"祝",CHOOSE(WEEKDAY(A557,2),"月","火","水","木","金","土","日")),"")</f>
        <v/>
      </c>
      <c r="AA557" s="25" t="str">
        <f aca="false">IF(ISNUMBER(A557),IFERROR(INDEX(集計!$J$3:$J$33,MATCH(A557,集計!$B$3:$B$33,0)),0),"")</f>
        <v/>
      </c>
      <c r="AB557" s="25" t="str">
        <f aca="false">IF(ISNUMBER(A557),IFERROR(INDEX(設定!$F$4:$F$27,MATCH(K557,設定!$E$4:$E$27,0)),""),"")</f>
        <v/>
      </c>
    </row>
    <row r="558" customFormat="false" ht="15" hidden="false" customHeight="false" outlineLevel="0" collapsed="false">
      <c r="Z558" s="25" t="str">
        <f aca="false">IF(ISNUMBER(A558),IF(COUNTIF(祝日!$A:$A,A558)&gt;0,"祝",CHOOSE(WEEKDAY(A558,2),"月","火","水","木","金","土","日")),"")</f>
        <v/>
      </c>
      <c r="AA558" s="25" t="str">
        <f aca="false">IF(ISNUMBER(A558),IFERROR(INDEX(集計!$J$3:$J$33,MATCH(A558,集計!$B$3:$B$33,0)),0),"")</f>
        <v/>
      </c>
      <c r="AB558" s="25" t="str">
        <f aca="false">IF(ISNUMBER(A558),IFERROR(INDEX(設定!$F$4:$F$27,MATCH(K558,設定!$E$4:$E$27,0)),""),"")</f>
        <v/>
      </c>
    </row>
    <row r="559" customFormat="false" ht="15" hidden="false" customHeight="false" outlineLevel="0" collapsed="false">
      <c r="Z559" s="25" t="str">
        <f aca="false">IF(ISNUMBER(A559),IF(COUNTIF(祝日!$A:$A,A559)&gt;0,"祝",CHOOSE(WEEKDAY(A559,2),"月","火","水","木","金","土","日")),"")</f>
        <v/>
      </c>
      <c r="AA559" s="25" t="str">
        <f aca="false">IF(ISNUMBER(A559),IFERROR(INDEX(集計!$J$3:$J$33,MATCH(A559,集計!$B$3:$B$33,0)),0),"")</f>
        <v/>
      </c>
      <c r="AB559" s="25" t="str">
        <f aca="false">IF(ISNUMBER(A559),IFERROR(INDEX(設定!$F$4:$F$27,MATCH(K559,設定!$E$4:$E$27,0)),""),"")</f>
        <v/>
      </c>
    </row>
    <row r="560" customFormat="false" ht="15" hidden="false" customHeight="false" outlineLevel="0" collapsed="false">
      <c r="Z560" s="25" t="str">
        <f aca="false">IF(ISNUMBER(A560),IF(COUNTIF(祝日!$A:$A,A560)&gt;0,"祝",CHOOSE(WEEKDAY(A560,2),"月","火","水","木","金","土","日")),"")</f>
        <v/>
      </c>
      <c r="AA560" s="25" t="str">
        <f aca="false">IF(ISNUMBER(A560),IFERROR(INDEX(集計!$J$3:$J$33,MATCH(A560,集計!$B$3:$B$33,0)),0),"")</f>
        <v/>
      </c>
      <c r="AB560" s="25" t="str">
        <f aca="false">IF(ISNUMBER(A560),IFERROR(INDEX(設定!$F$4:$F$27,MATCH(K560,設定!$E$4:$E$27,0)),""),"")</f>
        <v/>
      </c>
    </row>
    <row r="561" customFormat="false" ht="15" hidden="false" customHeight="false" outlineLevel="0" collapsed="false">
      <c r="Z561" s="25" t="str">
        <f aca="false">IF(ISNUMBER(A561),IF(COUNTIF(祝日!$A:$A,A561)&gt;0,"祝",CHOOSE(WEEKDAY(A561,2),"月","火","水","木","金","土","日")),"")</f>
        <v/>
      </c>
      <c r="AA561" s="25" t="str">
        <f aca="false">IF(ISNUMBER(A561),IFERROR(INDEX(集計!$J$3:$J$33,MATCH(A561,集計!$B$3:$B$33,0)),0),"")</f>
        <v/>
      </c>
      <c r="AB561" s="25" t="str">
        <f aca="false">IF(ISNUMBER(A561),IFERROR(INDEX(設定!$F$4:$F$27,MATCH(K561,設定!$E$4:$E$27,0)),""),"")</f>
        <v/>
      </c>
    </row>
    <row r="562" customFormat="false" ht="15" hidden="false" customHeight="false" outlineLevel="0" collapsed="false">
      <c r="Z562" s="25" t="str">
        <f aca="false">IF(ISNUMBER(A562),IF(COUNTIF(祝日!$A:$A,A562)&gt;0,"祝",CHOOSE(WEEKDAY(A562,2),"月","火","水","木","金","土","日")),"")</f>
        <v/>
      </c>
      <c r="AA562" s="25" t="str">
        <f aca="false">IF(ISNUMBER(A562),IFERROR(INDEX(集計!$J$3:$J$33,MATCH(A562,集計!$B$3:$B$33,0)),0),"")</f>
        <v/>
      </c>
      <c r="AB562" s="25" t="str">
        <f aca="false">IF(ISNUMBER(A562),IFERROR(INDEX(設定!$F$4:$F$27,MATCH(K562,設定!$E$4:$E$27,0)),""),"")</f>
        <v/>
      </c>
    </row>
    <row r="563" customFormat="false" ht="15" hidden="false" customHeight="false" outlineLevel="0" collapsed="false">
      <c r="Z563" s="25" t="str">
        <f aca="false">IF(ISNUMBER(A563),IF(COUNTIF(祝日!$A:$A,A563)&gt;0,"祝",CHOOSE(WEEKDAY(A563,2),"月","火","水","木","金","土","日")),"")</f>
        <v/>
      </c>
      <c r="AA563" s="25" t="str">
        <f aca="false">IF(ISNUMBER(A563),IFERROR(INDEX(集計!$J$3:$J$33,MATCH(A563,集計!$B$3:$B$33,0)),0),"")</f>
        <v/>
      </c>
      <c r="AB563" s="25" t="str">
        <f aca="false">IF(ISNUMBER(A563),IFERROR(INDEX(設定!$F$4:$F$27,MATCH(K563,設定!$E$4:$E$27,0)),""),"")</f>
        <v/>
      </c>
    </row>
    <row r="564" customFormat="false" ht="15" hidden="false" customHeight="false" outlineLevel="0" collapsed="false">
      <c r="Z564" s="25" t="str">
        <f aca="false">IF(ISNUMBER(A564),IF(COUNTIF(祝日!$A:$A,A564)&gt;0,"祝",CHOOSE(WEEKDAY(A564,2),"月","火","水","木","金","土","日")),"")</f>
        <v/>
      </c>
      <c r="AA564" s="25" t="str">
        <f aca="false">IF(ISNUMBER(A564),IFERROR(INDEX(集計!$J$3:$J$33,MATCH(A564,集計!$B$3:$B$33,0)),0),"")</f>
        <v/>
      </c>
      <c r="AB564" s="25" t="str">
        <f aca="false">IF(ISNUMBER(A564),IFERROR(INDEX(設定!$F$4:$F$27,MATCH(K564,設定!$E$4:$E$27,0)),""),"")</f>
        <v/>
      </c>
    </row>
    <row r="565" customFormat="false" ht="15" hidden="false" customHeight="false" outlineLevel="0" collapsed="false">
      <c r="Z565" s="25" t="str">
        <f aca="false">IF(ISNUMBER(A565),IF(COUNTIF(祝日!$A:$A,A565)&gt;0,"祝",CHOOSE(WEEKDAY(A565,2),"月","火","水","木","金","土","日")),"")</f>
        <v/>
      </c>
      <c r="AA565" s="25" t="str">
        <f aca="false">IF(ISNUMBER(A565),IFERROR(INDEX(集計!$J$3:$J$33,MATCH(A565,集計!$B$3:$B$33,0)),0),"")</f>
        <v/>
      </c>
      <c r="AB565" s="25" t="str">
        <f aca="false">IF(ISNUMBER(A565),IFERROR(INDEX(設定!$F$4:$F$27,MATCH(K565,設定!$E$4:$E$27,0)),""),"")</f>
        <v/>
      </c>
    </row>
    <row r="566" customFormat="false" ht="15" hidden="false" customHeight="false" outlineLevel="0" collapsed="false">
      <c r="Z566" s="25" t="str">
        <f aca="false">IF(ISNUMBER(A566),IF(COUNTIF(祝日!$A:$A,A566)&gt;0,"祝",CHOOSE(WEEKDAY(A566,2),"月","火","水","木","金","土","日")),"")</f>
        <v/>
      </c>
      <c r="AA566" s="25" t="str">
        <f aca="false">IF(ISNUMBER(A566),IFERROR(INDEX(集計!$J$3:$J$33,MATCH(A566,集計!$B$3:$B$33,0)),0),"")</f>
        <v/>
      </c>
      <c r="AB566" s="25" t="str">
        <f aca="false">IF(ISNUMBER(A566),IFERROR(INDEX(設定!$F$4:$F$27,MATCH(K566,設定!$E$4:$E$27,0)),""),"")</f>
        <v/>
      </c>
    </row>
    <row r="567" customFormat="false" ht="15" hidden="false" customHeight="false" outlineLevel="0" collapsed="false">
      <c r="Z567" s="25" t="str">
        <f aca="false">IF(ISNUMBER(A567),IF(COUNTIF(祝日!$A:$A,A567)&gt;0,"祝",CHOOSE(WEEKDAY(A567,2),"月","火","水","木","金","土","日")),"")</f>
        <v/>
      </c>
      <c r="AA567" s="25" t="str">
        <f aca="false">IF(ISNUMBER(A567),IFERROR(INDEX(集計!$J$3:$J$33,MATCH(A567,集計!$B$3:$B$33,0)),0),"")</f>
        <v/>
      </c>
      <c r="AB567" s="25" t="str">
        <f aca="false">IF(ISNUMBER(A567),IFERROR(INDEX(設定!$F$4:$F$27,MATCH(K567,設定!$E$4:$E$27,0)),""),"")</f>
        <v/>
      </c>
    </row>
    <row r="568" customFormat="false" ht="15" hidden="false" customHeight="false" outlineLevel="0" collapsed="false">
      <c r="Z568" s="25" t="str">
        <f aca="false">IF(ISNUMBER(A568),IF(COUNTIF(祝日!$A:$A,A568)&gt;0,"祝",CHOOSE(WEEKDAY(A568,2),"月","火","水","木","金","土","日")),"")</f>
        <v/>
      </c>
      <c r="AA568" s="25" t="str">
        <f aca="false">IF(ISNUMBER(A568),IFERROR(INDEX(集計!$J$3:$J$33,MATCH(A568,集計!$B$3:$B$33,0)),0),"")</f>
        <v/>
      </c>
      <c r="AB568" s="25" t="str">
        <f aca="false">IF(ISNUMBER(A568),IFERROR(INDEX(設定!$F$4:$F$27,MATCH(K568,設定!$E$4:$E$27,0)),""),"")</f>
        <v/>
      </c>
    </row>
    <row r="569" customFormat="false" ht="15" hidden="false" customHeight="false" outlineLevel="0" collapsed="false">
      <c r="Z569" s="25" t="str">
        <f aca="false">IF(ISNUMBER(A569),IF(COUNTIF(祝日!$A:$A,A569)&gt;0,"祝",CHOOSE(WEEKDAY(A569,2),"月","火","水","木","金","土","日")),"")</f>
        <v/>
      </c>
      <c r="AA569" s="25" t="str">
        <f aca="false">IF(ISNUMBER(A569),IFERROR(INDEX(集計!$J$3:$J$33,MATCH(A569,集計!$B$3:$B$33,0)),0),"")</f>
        <v/>
      </c>
      <c r="AB569" s="25" t="str">
        <f aca="false">IF(ISNUMBER(A569),IFERROR(INDEX(設定!$F$4:$F$27,MATCH(K569,設定!$E$4:$E$27,0)),""),"")</f>
        <v/>
      </c>
    </row>
    <row r="570" customFormat="false" ht="15" hidden="false" customHeight="false" outlineLevel="0" collapsed="false">
      <c r="Z570" s="25" t="str">
        <f aca="false">IF(ISNUMBER(A570),IF(COUNTIF(祝日!$A:$A,A570)&gt;0,"祝",CHOOSE(WEEKDAY(A570,2),"月","火","水","木","金","土","日")),"")</f>
        <v/>
      </c>
      <c r="AA570" s="25" t="str">
        <f aca="false">IF(ISNUMBER(A570),IFERROR(INDEX(集計!$J$3:$J$33,MATCH(A570,集計!$B$3:$B$33,0)),0),"")</f>
        <v/>
      </c>
      <c r="AB570" s="25" t="str">
        <f aca="false">IF(ISNUMBER(A570),IFERROR(INDEX(設定!$F$4:$F$27,MATCH(K570,設定!$E$4:$E$27,0)),""),"")</f>
        <v/>
      </c>
    </row>
    <row r="571" customFormat="false" ht="15" hidden="false" customHeight="false" outlineLevel="0" collapsed="false">
      <c r="Z571" s="25" t="str">
        <f aca="false">IF(ISNUMBER(A571),IF(COUNTIF(祝日!$A:$A,A571)&gt;0,"祝",CHOOSE(WEEKDAY(A571,2),"月","火","水","木","金","土","日")),"")</f>
        <v/>
      </c>
      <c r="AA571" s="25" t="str">
        <f aca="false">IF(ISNUMBER(A571),IFERROR(INDEX(集計!$J$3:$J$33,MATCH(A571,集計!$B$3:$B$33,0)),0),"")</f>
        <v/>
      </c>
      <c r="AB571" s="25" t="str">
        <f aca="false">IF(ISNUMBER(A571),IFERROR(INDEX(設定!$F$4:$F$27,MATCH(K571,設定!$E$4:$E$27,0)),""),"")</f>
        <v/>
      </c>
    </row>
    <row r="572" customFormat="false" ht="15" hidden="false" customHeight="false" outlineLevel="0" collapsed="false">
      <c r="Z572" s="25" t="str">
        <f aca="false">IF(ISNUMBER(A572),IF(COUNTIF(祝日!$A:$A,A572)&gt;0,"祝",CHOOSE(WEEKDAY(A572,2),"月","火","水","木","金","土","日")),"")</f>
        <v/>
      </c>
      <c r="AA572" s="25" t="str">
        <f aca="false">IF(ISNUMBER(A572),IFERROR(INDEX(集計!$J$3:$J$33,MATCH(A572,集計!$B$3:$B$33,0)),0),"")</f>
        <v/>
      </c>
      <c r="AB572" s="25" t="str">
        <f aca="false">IF(ISNUMBER(A572),IFERROR(INDEX(設定!$F$4:$F$27,MATCH(K572,設定!$E$4:$E$27,0)),""),"")</f>
        <v/>
      </c>
    </row>
    <row r="573" customFormat="false" ht="15" hidden="false" customHeight="false" outlineLevel="0" collapsed="false">
      <c r="Z573" s="25" t="str">
        <f aca="false">IF(ISNUMBER(A573),IF(COUNTIF(祝日!$A:$A,A573)&gt;0,"祝",CHOOSE(WEEKDAY(A573,2),"月","火","水","木","金","土","日")),"")</f>
        <v/>
      </c>
      <c r="AA573" s="25" t="str">
        <f aca="false">IF(ISNUMBER(A573),IFERROR(INDEX(集計!$J$3:$J$33,MATCH(A573,集計!$B$3:$B$33,0)),0),"")</f>
        <v/>
      </c>
      <c r="AB573" s="25" t="str">
        <f aca="false">IF(ISNUMBER(A573),IFERROR(INDEX(設定!$F$4:$F$27,MATCH(K573,設定!$E$4:$E$27,0)),""),"")</f>
        <v/>
      </c>
    </row>
    <row r="574" customFormat="false" ht="15" hidden="false" customHeight="false" outlineLevel="0" collapsed="false">
      <c r="Z574" s="25" t="str">
        <f aca="false">IF(ISNUMBER(A574),IF(COUNTIF(祝日!$A:$A,A574)&gt;0,"祝",CHOOSE(WEEKDAY(A574,2),"月","火","水","木","金","土","日")),"")</f>
        <v/>
      </c>
      <c r="AA574" s="25" t="str">
        <f aca="false">IF(ISNUMBER(A574),IFERROR(INDEX(集計!$J$3:$J$33,MATCH(A574,集計!$B$3:$B$33,0)),0),"")</f>
        <v/>
      </c>
      <c r="AB574" s="25" t="str">
        <f aca="false">IF(ISNUMBER(A574),IFERROR(INDEX(設定!$F$4:$F$27,MATCH(K574,設定!$E$4:$E$27,0)),""),"")</f>
        <v/>
      </c>
    </row>
    <row r="575" customFormat="false" ht="15" hidden="false" customHeight="false" outlineLevel="0" collapsed="false">
      <c r="Z575" s="25" t="str">
        <f aca="false">IF(ISNUMBER(A575),IF(COUNTIF(祝日!$A:$A,A575)&gt;0,"祝",CHOOSE(WEEKDAY(A575,2),"月","火","水","木","金","土","日")),"")</f>
        <v/>
      </c>
      <c r="AA575" s="25" t="str">
        <f aca="false">IF(ISNUMBER(A575),IFERROR(INDEX(集計!$J$3:$J$33,MATCH(A575,集計!$B$3:$B$33,0)),0),"")</f>
        <v/>
      </c>
      <c r="AB575" s="25" t="str">
        <f aca="false">IF(ISNUMBER(A575),IFERROR(INDEX(設定!$F$4:$F$27,MATCH(K575,設定!$E$4:$E$27,0)),""),"")</f>
        <v/>
      </c>
    </row>
    <row r="576" customFormat="false" ht="15" hidden="false" customHeight="false" outlineLevel="0" collapsed="false">
      <c r="Z576" s="25" t="str">
        <f aca="false">IF(ISNUMBER(A576),IF(COUNTIF(祝日!$A:$A,A576)&gt;0,"祝",CHOOSE(WEEKDAY(A576,2),"月","火","水","木","金","土","日")),"")</f>
        <v/>
      </c>
      <c r="AA576" s="25" t="str">
        <f aca="false">IF(ISNUMBER(A576),IFERROR(INDEX(集計!$J$3:$J$33,MATCH(A576,集計!$B$3:$B$33,0)),0),"")</f>
        <v/>
      </c>
      <c r="AB576" s="25" t="str">
        <f aca="false">IF(ISNUMBER(A576),IFERROR(INDEX(設定!$F$4:$F$27,MATCH(K576,設定!$E$4:$E$27,0)),""),"")</f>
        <v/>
      </c>
    </row>
    <row r="577" customFormat="false" ht="15" hidden="false" customHeight="false" outlineLevel="0" collapsed="false">
      <c r="Z577" s="25" t="str">
        <f aca="false">IF(ISNUMBER(A577),IF(COUNTIF(祝日!$A:$A,A577)&gt;0,"祝",CHOOSE(WEEKDAY(A577,2),"月","火","水","木","金","土","日")),"")</f>
        <v/>
      </c>
      <c r="AA577" s="25" t="str">
        <f aca="false">IF(ISNUMBER(A577),IFERROR(INDEX(集計!$J$3:$J$33,MATCH(A577,集計!$B$3:$B$33,0)),0),"")</f>
        <v/>
      </c>
      <c r="AB577" s="25" t="str">
        <f aca="false">IF(ISNUMBER(A577),IFERROR(INDEX(設定!$F$4:$F$27,MATCH(K577,設定!$E$4:$E$27,0)),""),"")</f>
        <v/>
      </c>
    </row>
    <row r="578" customFormat="false" ht="15" hidden="false" customHeight="false" outlineLevel="0" collapsed="false">
      <c r="Z578" s="25" t="str">
        <f aca="false">IF(ISNUMBER(A578),IF(COUNTIF(祝日!$A:$A,A578)&gt;0,"祝",CHOOSE(WEEKDAY(A578,2),"月","火","水","木","金","土","日")),"")</f>
        <v/>
      </c>
      <c r="AA578" s="25" t="str">
        <f aca="false">IF(ISNUMBER(A578),IFERROR(INDEX(集計!$J$3:$J$33,MATCH(A578,集計!$B$3:$B$33,0)),0),"")</f>
        <v/>
      </c>
      <c r="AB578" s="25" t="str">
        <f aca="false">IF(ISNUMBER(A578),IFERROR(INDEX(設定!$F$4:$F$27,MATCH(K578,設定!$E$4:$E$27,0)),""),"")</f>
        <v/>
      </c>
    </row>
    <row r="579" customFormat="false" ht="15" hidden="false" customHeight="false" outlineLevel="0" collapsed="false">
      <c r="Z579" s="25" t="str">
        <f aca="false">IF(ISNUMBER(A579),IF(COUNTIF(祝日!$A:$A,A579)&gt;0,"祝",CHOOSE(WEEKDAY(A579,2),"月","火","水","木","金","土","日")),"")</f>
        <v/>
      </c>
      <c r="AA579" s="25" t="str">
        <f aca="false">IF(ISNUMBER(A579),IFERROR(INDEX(集計!$J$3:$J$33,MATCH(A579,集計!$B$3:$B$33,0)),0),"")</f>
        <v/>
      </c>
      <c r="AB579" s="25" t="str">
        <f aca="false">IF(ISNUMBER(A579),IFERROR(INDEX(設定!$F$4:$F$27,MATCH(K579,設定!$E$4:$E$27,0)),""),"")</f>
        <v/>
      </c>
    </row>
    <row r="580" customFormat="false" ht="15" hidden="false" customHeight="false" outlineLevel="0" collapsed="false">
      <c r="Z580" s="25" t="str">
        <f aca="false">IF(ISNUMBER(A580),IF(COUNTIF(祝日!$A:$A,A580)&gt;0,"祝",CHOOSE(WEEKDAY(A580,2),"月","火","水","木","金","土","日")),"")</f>
        <v/>
      </c>
      <c r="AA580" s="25" t="str">
        <f aca="false">IF(ISNUMBER(A580),IFERROR(INDEX(集計!$J$3:$J$33,MATCH(A580,集計!$B$3:$B$33,0)),0),"")</f>
        <v/>
      </c>
      <c r="AB580" s="25" t="str">
        <f aca="false">IF(ISNUMBER(A580),IFERROR(INDEX(設定!$F$4:$F$27,MATCH(K580,設定!$E$4:$E$27,0)),""),"")</f>
        <v/>
      </c>
    </row>
    <row r="581" customFormat="false" ht="15" hidden="false" customHeight="false" outlineLevel="0" collapsed="false">
      <c r="Z581" s="25" t="str">
        <f aca="false">IF(ISNUMBER(A581),IF(COUNTIF(祝日!$A:$A,A581)&gt;0,"祝",CHOOSE(WEEKDAY(A581,2),"月","火","水","木","金","土","日")),"")</f>
        <v/>
      </c>
      <c r="AA581" s="25" t="str">
        <f aca="false">IF(ISNUMBER(A581),IFERROR(INDEX(集計!$J$3:$J$33,MATCH(A581,集計!$B$3:$B$33,0)),0),"")</f>
        <v/>
      </c>
      <c r="AB581" s="25" t="str">
        <f aca="false">IF(ISNUMBER(A581),IFERROR(INDEX(設定!$F$4:$F$27,MATCH(K581,設定!$E$4:$E$27,0)),""),"")</f>
        <v/>
      </c>
    </row>
    <row r="582" customFormat="false" ht="15" hidden="false" customHeight="false" outlineLevel="0" collapsed="false">
      <c r="Z582" s="25" t="str">
        <f aca="false">IF(ISNUMBER(A582),IF(COUNTIF(祝日!$A:$A,A582)&gt;0,"祝",CHOOSE(WEEKDAY(A582,2),"月","火","水","木","金","土","日")),"")</f>
        <v/>
      </c>
      <c r="AA582" s="25" t="str">
        <f aca="false">IF(ISNUMBER(A582),IFERROR(INDEX(集計!$J$3:$J$33,MATCH(A582,集計!$B$3:$B$33,0)),0),"")</f>
        <v/>
      </c>
      <c r="AB582" s="25" t="str">
        <f aca="false">IF(ISNUMBER(A582),IFERROR(INDEX(設定!$F$4:$F$27,MATCH(K582,設定!$E$4:$E$27,0)),""),"")</f>
        <v/>
      </c>
    </row>
    <row r="583" customFormat="false" ht="15" hidden="false" customHeight="false" outlineLevel="0" collapsed="false">
      <c r="Z583" s="25" t="str">
        <f aca="false">IF(ISNUMBER(A583),IF(COUNTIF(祝日!$A:$A,A583)&gt;0,"祝",CHOOSE(WEEKDAY(A583,2),"月","火","水","木","金","土","日")),"")</f>
        <v/>
      </c>
      <c r="AA583" s="25" t="str">
        <f aca="false">IF(ISNUMBER(A583),IFERROR(INDEX(集計!$J$3:$J$33,MATCH(A583,集計!$B$3:$B$33,0)),0),"")</f>
        <v/>
      </c>
      <c r="AB583" s="25" t="str">
        <f aca="false">IF(ISNUMBER(A583),IFERROR(INDEX(設定!$F$4:$F$27,MATCH(K583,設定!$E$4:$E$27,0)),""),"")</f>
        <v/>
      </c>
    </row>
    <row r="584" customFormat="false" ht="15" hidden="false" customHeight="false" outlineLevel="0" collapsed="false">
      <c r="Z584" s="25" t="str">
        <f aca="false">IF(ISNUMBER(A584),IF(COUNTIF(祝日!$A:$A,A584)&gt;0,"祝",CHOOSE(WEEKDAY(A584,2),"月","火","水","木","金","土","日")),"")</f>
        <v/>
      </c>
      <c r="AA584" s="25" t="str">
        <f aca="false">IF(ISNUMBER(A584),IFERROR(INDEX(集計!$J$3:$J$33,MATCH(A584,集計!$B$3:$B$33,0)),0),"")</f>
        <v/>
      </c>
      <c r="AB584" s="25" t="str">
        <f aca="false">IF(ISNUMBER(A584),IFERROR(INDEX(設定!$F$4:$F$27,MATCH(K584,設定!$E$4:$E$27,0)),""),"")</f>
        <v/>
      </c>
    </row>
    <row r="585" customFormat="false" ht="15" hidden="false" customHeight="false" outlineLevel="0" collapsed="false">
      <c r="Z585" s="25" t="str">
        <f aca="false">IF(ISNUMBER(A585),IF(COUNTIF(祝日!$A:$A,A585)&gt;0,"祝",CHOOSE(WEEKDAY(A585,2),"月","火","水","木","金","土","日")),"")</f>
        <v/>
      </c>
      <c r="AA585" s="25" t="str">
        <f aca="false">IF(ISNUMBER(A585),IFERROR(INDEX(集計!$J$3:$J$33,MATCH(A585,集計!$B$3:$B$33,0)),0),"")</f>
        <v/>
      </c>
      <c r="AB585" s="25" t="str">
        <f aca="false">IF(ISNUMBER(A585),IFERROR(INDEX(設定!$F$4:$F$27,MATCH(K585,設定!$E$4:$E$27,0)),""),"")</f>
        <v/>
      </c>
    </row>
    <row r="586" customFormat="false" ht="15" hidden="false" customHeight="false" outlineLevel="0" collapsed="false">
      <c r="Z586" s="25" t="str">
        <f aca="false">IF(ISNUMBER(A586),IF(COUNTIF(祝日!$A:$A,A586)&gt;0,"祝",CHOOSE(WEEKDAY(A586,2),"月","火","水","木","金","土","日")),"")</f>
        <v/>
      </c>
      <c r="AA586" s="25" t="str">
        <f aca="false">IF(ISNUMBER(A586),IFERROR(INDEX(集計!$J$3:$J$33,MATCH(A586,集計!$B$3:$B$33,0)),0),"")</f>
        <v/>
      </c>
      <c r="AB586" s="25" t="str">
        <f aca="false">IF(ISNUMBER(A586),IFERROR(INDEX(設定!$F$4:$F$27,MATCH(K586,設定!$E$4:$E$27,0)),""),"")</f>
        <v/>
      </c>
    </row>
    <row r="587" customFormat="false" ht="15" hidden="false" customHeight="false" outlineLevel="0" collapsed="false">
      <c r="Z587" s="25" t="str">
        <f aca="false">IF(ISNUMBER(A587),IF(COUNTIF(祝日!$A:$A,A587)&gt;0,"祝",CHOOSE(WEEKDAY(A587,2),"月","火","水","木","金","土","日")),"")</f>
        <v/>
      </c>
      <c r="AA587" s="25" t="str">
        <f aca="false">IF(ISNUMBER(A587),IFERROR(INDEX(集計!$J$3:$J$33,MATCH(A587,集計!$B$3:$B$33,0)),0),"")</f>
        <v/>
      </c>
      <c r="AB587" s="25" t="str">
        <f aca="false">IF(ISNUMBER(A587),IFERROR(INDEX(設定!$F$4:$F$27,MATCH(K587,設定!$E$4:$E$27,0)),""),"")</f>
        <v/>
      </c>
    </row>
    <row r="588" customFormat="false" ht="15" hidden="false" customHeight="false" outlineLevel="0" collapsed="false">
      <c r="Z588" s="25" t="str">
        <f aca="false">IF(ISNUMBER(A588),IF(COUNTIF(祝日!$A:$A,A588)&gt;0,"祝",CHOOSE(WEEKDAY(A588,2),"月","火","水","木","金","土","日")),"")</f>
        <v/>
      </c>
      <c r="AA588" s="25" t="str">
        <f aca="false">IF(ISNUMBER(A588),IFERROR(INDEX(集計!$J$3:$J$33,MATCH(A588,集計!$B$3:$B$33,0)),0),"")</f>
        <v/>
      </c>
      <c r="AB588" s="25" t="str">
        <f aca="false">IF(ISNUMBER(A588),IFERROR(INDEX(設定!$F$4:$F$27,MATCH(K588,設定!$E$4:$E$27,0)),""),"")</f>
        <v/>
      </c>
    </row>
    <row r="589" customFormat="false" ht="15" hidden="false" customHeight="false" outlineLevel="0" collapsed="false">
      <c r="Z589" s="25" t="str">
        <f aca="false">IF(ISNUMBER(A589),IF(COUNTIF(祝日!$A:$A,A589)&gt;0,"祝",CHOOSE(WEEKDAY(A589,2),"月","火","水","木","金","土","日")),"")</f>
        <v/>
      </c>
      <c r="AA589" s="25" t="str">
        <f aca="false">IF(ISNUMBER(A589),IFERROR(INDEX(集計!$J$3:$J$33,MATCH(A589,集計!$B$3:$B$33,0)),0),"")</f>
        <v/>
      </c>
      <c r="AB589" s="25" t="str">
        <f aca="false">IF(ISNUMBER(A589),IFERROR(INDEX(設定!$F$4:$F$27,MATCH(K589,設定!$E$4:$E$27,0)),""),"")</f>
        <v/>
      </c>
    </row>
    <row r="590" customFormat="false" ht="15" hidden="false" customHeight="false" outlineLevel="0" collapsed="false">
      <c r="Z590" s="25" t="str">
        <f aca="false">IF(ISNUMBER(A590),IF(COUNTIF(祝日!$A:$A,A590)&gt;0,"祝",CHOOSE(WEEKDAY(A590,2),"月","火","水","木","金","土","日")),"")</f>
        <v/>
      </c>
      <c r="AA590" s="25" t="str">
        <f aca="false">IF(ISNUMBER(A590),IFERROR(INDEX(集計!$J$3:$J$33,MATCH(A590,集計!$B$3:$B$33,0)),0),"")</f>
        <v/>
      </c>
      <c r="AB590" s="25" t="str">
        <f aca="false">IF(ISNUMBER(A590),IFERROR(INDEX(設定!$F$4:$F$27,MATCH(K590,設定!$E$4:$E$27,0)),""),"")</f>
        <v/>
      </c>
    </row>
    <row r="591" customFormat="false" ht="15" hidden="false" customHeight="false" outlineLevel="0" collapsed="false">
      <c r="Z591" s="25" t="str">
        <f aca="false">IF(ISNUMBER(A591),IF(COUNTIF(祝日!$A:$A,A591)&gt;0,"祝",CHOOSE(WEEKDAY(A591,2),"月","火","水","木","金","土","日")),"")</f>
        <v/>
      </c>
      <c r="AA591" s="25" t="str">
        <f aca="false">IF(ISNUMBER(A591),IFERROR(INDEX(集計!$J$3:$J$33,MATCH(A591,集計!$B$3:$B$33,0)),0),"")</f>
        <v/>
      </c>
      <c r="AB591" s="25" t="str">
        <f aca="false">IF(ISNUMBER(A591),IFERROR(INDEX(設定!$F$4:$F$27,MATCH(K591,設定!$E$4:$E$27,0)),""),"")</f>
        <v/>
      </c>
    </row>
    <row r="592" customFormat="false" ht="15" hidden="false" customHeight="false" outlineLevel="0" collapsed="false">
      <c r="Z592" s="25" t="str">
        <f aca="false">IF(ISNUMBER(A592),IF(COUNTIF(祝日!$A:$A,A592)&gt;0,"祝",CHOOSE(WEEKDAY(A592,2),"月","火","水","木","金","土","日")),"")</f>
        <v/>
      </c>
      <c r="AA592" s="25" t="str">
        <f aca="false">IF(ISNUMBER(A592),IFERROR(INDEX(集計!$J$3:$J$33,MATCH(A592,集計!$B$3:$B$33,0)),0),"")</f>
        <v/>
      </c>
      <c r="AB592" s="25" t="str">
        <f aca="false">IF(ISNUMBER(A592),IFERROR(INDEX(設定!$F$4:$F$27,MATCH(K592,設定!$E$4:$E$27,0)),""),"")</f>
        <v/>
      </c>
    </row>
    <row r="593" customFormat="false" ht="15" hidden="false" customHeight="false" outlineLevel="0" collapsed="false">
      <c r="Z593" s="25" t="str">
        <f aca="false">IF(ISNUMBER(A593),IF(COUNTIF(祝日!$A:$A,A593)&gt;0,"祝",CHOOSE(WEEKDAY(A593,2),"月","火","水","木","金","土","日")),"")</f>
        <v/>
      </c>
      <c r="AA593" s="25" t="str">
        <f aca="false">IF(ISNUMBER(A593),IFERROR(INDEX(集計!$J$3:$J$33,MATCH(A593,集計!$B$3:$B$33,0)),0),"")</f>
        <v/>
      </c>
      <c r="AB593" s="25" t="str">
        <f aca="false">IF(ISNUMBER(A593),IFERROR(INDEX(設定!$F$4:$F$27,MATCH(K593,設定!$E$4:$E$27,0)),""),"")</f>
        <v/>
      </c>
    </row>
    <row r="594" customFormat="false" ht="15" hidden="false" customHeight="false" outlineLevel="0" collapsed="false">
      <c r="Z594" s="25" t="str">
        <f aca="false">IF(ISNUMBER(A594),IF(COUNTIF(祝日!$A:$A,A594)&gt;0,"祝",CHOOSE(WEEKDAY(A594,2),"月","火","水","木","金","土","日")),"")</f>
        <v/>
      </c>
      <c r="AA594" s="25" t="str">
        <f aca="false">IF(ISNUMBER(A594),IFERROR(INDEX(集計!$J$3:$J$33,MATCH(A594,集計!$B$3:$B$33,0)),0),"")</f>
        <v/>
      </c>
      <c r="AB594" s="25" t="str">
        <f aca="false">IF(ISNUMBER(A594),IFERROR(INDEX(設定!$F$4:$F$27,MATCH(K594,設定!$E$4:$E$27,0)),""),"")</f>
        <v/>
      </c>
    </row>
    <row r="595" customFormat="false" ht="15" hidden="false" customHeight="false" outlineLevel="0" collapsed="false">
      <c r="Z595" s="25" t="str">
        <f aca="false">IF(ISNUMBER(A595),IF(COUNTIF(祝日!$A:$A,A595)&gt;0,"祝",CHOOSE(WEEKDAY(A595,2),"月","火","水","木","金","土","日")),"")</f>
        <v/>
      </c>
      <c r="AA595" s="25" t="str">
        <f aca="false">IF(ISNUMBER(A595),IFERROR(INDEX(集計!$J$3:$J$33,MATCH(A595,集計!$B$3:$B$33,0)),0),"")</f>
        <v/>
      </c>
      <c r="AB595" s="25" t="str">
        <f aca="false">IF(ISNUMBER(A595),IFERROR(INDEX(設定!$F$4:$F$27,MATCH(K595,設定!$E$4:$E$27,0)),""),"")</f>
        <v/>
      </c>
    </row>
    <row r="596" customFormat="false" ht="15" hidden="false" customHeight="false" outlineLevel="0" collapsed="false">
      <c r="Z596" s="25" t="str">
        <f aca="false">IF(ISNUMBER(A596),IF(COUNTIF(祝日!$A:$A,A596)&gt;0,"祝",CHOOSE(WEEKDAY(A596,2),"月","火","水","木","金","土","日")),"")</f>
        <v/>
      </c>
      <c r="AA596" s="25" t="str">
        <f aca="false">IF(ISNUMBER(A596),IFERROR(INDEX(集計!$J$3:$J$33,MATCH(A596,集計!$B$3:$B$33,0)),0),"")</f>
        <v/>
      </c>
      <c r="AB596" s="25" t="str">
        <f aca="false">IF(ISNUMBER(A596),IFERROR(INDEX(設定!$F$4:$F$27,MATCH(K596,設定!$E$4:$E$27,0)),""),"")</f>
        <v/>
      </c>
    </row>
    <row r="597" customFormat="false" ht="15" hidden="false" customHeight="false" outlineLevel="0" collapsed="false">
      <c r="Z597" s="25" t="str">
        <f aca="false">IF(ISNUMBER(A597),IF(COUNTIF(祝日!$A:$A,A597)&gt;0,"祝",CHOOSE(WEEKDAY(A597,2),"月","火","水","木","金","土","日")),"")</f>
        <v/>
      </c>
      <c r="AA597" s="25" t="str">
        <f aca="false">IF(ISNUMBER(A597),IFERROR(INDEX(集計!$J$3:$J$33,MATCH(A597,集計!$B$3:$B$33,0)),0),"")</f>
        <v/>
      </c>
      <c r="AB597" s="25" t="str">
        <f aca="false">IF(ISNUMBER(A597),IFERROR(INDEX(設定!$F$4:$F$27,MATCH(K597,設定!$E$4:$E$27,0)),""),"")</f>
        <v/>
      </c>
    </row>
    <row r="598" customFormat="false" ht="15" hidden="false" customHeight="false" outlineLevel="0" collapsed="false">
      <c r="Z598" s="25" t="str">
        <f aca="false">IF(ISNUMBER(A598),IF(COUNTIF(祝日!$A:$A,A598)&gt;0,"祝",CHOOSE(WEEKDAY(A598,2),"月","火","水","木","金","土","日")),"")</f>
        <v/>
      </c>
      <c r="AA598" s="25" t="str">
        <f aca="false">IF(ISNUMBER(A598),IFERROR(INDEX(集計!$J$3:$J$33,MATCH(A598,集計!$B$3:$B$33,0)),0),"")</f>
        <v/>
      </c>
      <c r="AB598" s="25" t="str">
        <f aca="false">IF(ISNUMBER(A598),IFERROR(INDEX(設定!$F$4:$F$27,MATCH(K598,設定!$E$4:$E$27,0)),""),"")</f>
        <v/>
      </c>
    </row>
    <row r="599" customFormat="false" ht="15" hidden="false" customHeight="false" outlineLevel="0" collapsed="false">
      <c r="Z599" s="25" t="str">
        <f aca="false">IF(ISNUMBER(A599),IF(COUNTIF(祝日!$A:$A,A599)&gt;0,"祝",CHOOSE(WEEKDAY(A599,2),"月","火","水","木","金","土","日")),"")</f>
        <v/>
      </c>
      <c r="AA599" s="25" t="str">
        <f aca="false">IF(ISNUMBER(A599),IFERROR(INDEX(集計!$J$3:$J$33,MATCH(A599,集計!$B$3:$B$33,0)),0),"")</f>
        <v/>
      </c>
      <c r="AB599" s="25" t="str">
        <f aca="false">IF(ISNUMBER(A599),IFERROR(INDEX(設定!$F$4:$F$27,MATCH(K599,設定!$E$4:$E$27,0)),""),"")</f>
        <v/>
      </c>
    </row>
    <row r="600" customFormat="false" ht="15" hidden="false" customHeight="false" outlineLevel="0" collapsed="false">
      <c r="Z600" s="25" t="str">
        <f aca="false">IF(ISNUMBER(A600),IF(COUNTIF(祝日!$A:$A,A600)&gt;0,"祝",CHOOSE(WEEKDAY(A600,2),"月","火","水","木","金","土","日")),"")</f>
        <v/>
      </c>
      <c r="AA600" s="25" t="str">
        <f aca="false">IF(ISNUMBER(A600),IFERROR(INDEX(集計!$J$3:$J$33,MATCH(A600,集計!$B$3:$B$33,0)),0),"")</f>
        <v/>
      </c>
      <c r="AB600" s="25" t="str">
        <f aca="false">IF(ISNUMBER(A600),IFERROR(INDEX(設定!$F$4:$F$27,MATCH(K600,設定!$E$4:$E$27,0)),""),"")</f>
        <v/>
      </c>
    </row>
    <row r="601" customFormat="false" ht="15" hidden="false" customHeight="false" outlineLevel="0" collapsed="false">
      <c r="Z601" s="25" t="str">
        <f aca="false">IF(ISNUMBER(A601),IF(COUNTIF(祝日!$A:$A,A601)&gt;0,"祝",CHOOSE(WEEKDAY(A601,2),"月","火","水","木","金","土","日")),"")</f>
        <v/>
      </c>
      <c r="AA601" s="25" t="str">
        <f aca="false">IF(ISNUMBER(A601),IFERROR(INDEX(集計!$J$3:$J$33,MATCH(A601,集計!$B$3:$B$33,0)),0),"")</f>
        <v/>
      </c>
      <c r="AB601" s="25" t="str">
        <f aca="false">IF(ISNUMBER(A601),IFERROR(INDEX(設定!$F$4:$F$27,MATCH(K601,設定!$E$4:$E$27,0)),""),"")</f>
        <v/>
      </c>
    </row>
    <row r="602" customFormat="false" ht="15" hidden="false" customHeight="false" outlineLevel="0" collapsed="false">
      <c r="Z602" s="25" t="str">
        <f aca="false">IF(ISNUMBER(A602),IF(COUNTIF(祝日!$A:$A,A602)&gt;0,"祝",CHOOSE(WEEKDAY(A602,2),"月","火","水","木","金","土","日")),"")</f>
        <v/>
      </c>
      <c r="AA602" s="25" t="str">
        <f aca="false">IF(ISNUMBER(A602),IFERROR(INDEX(集計!$J$3:$J$33,MATCH(A602,集計!$B$3:$B$33,0)),0),"")</f>
        <v/>
      </c>
      <c r="AB602" s="25" t="str">
        <f aca="false">IF(ISNUMBER(A602),IFERROR(INDEX(設定!$F$4:$F$27,MATCH(K602,設定!$E$4:$E$27,0)),""),"")</f>
        <v/>
      </c>
    </row>
    <row r="603" customFormat="false" ht="15" hidden="false" customHeight="false" outlineLevel="0" collapsed="false">
      <c r="Z603" s="25" t="str">
        <f aca="false">IF(ISNUMBER(A603),IF(COUNTIF(祝日!$A:$A,A603)&gt;0,"祝",CHOOSE(WEEKDAY(A603,2),"月","火","水","木","金","土","日")),"")</f>
        <v/>
      </c>
      <c r="AA603" s="25" t="str">
        <f aca="false">IF(ISNUMBER(A603),IFERROR(INDEX(集計!$J$3:$J$33,MATCH(A603,集計!$B$3:$B$33,0)),0),"")</f>
        <v/>
      </c>
      <c r="AB603" s="25" t="str">
        <f aca="false">IF(ISNUMBER(A603),IFERROR(INDEX(設定!$F$4:$F$27,MATCH(K603,設定!$E$4:$E$27,0)),""),"")</f>
        <v/>
      </c>
    </row>
    <row r="604" customFormat="false" ht="15" hidden="false" customHeight="false" outlineLevel="0" collapsed="false">
      <c r="Z604" s="25" t="str">
        <f aca="false">IF(ISNUMBER(A604),IF(COUNTIF(祝日!$A:$A,A604)&gt;0,"祝",CHOOSE(WEEKDAY(A604,2),"月","火","水","木","金","土","日")),"")</f>
        <v/>
      </c>
      <c r="AA604" s="25" t="str">
        <f aca="false">IF(ISNUMBER(A604),IFERROR(INDEX(集計!$J$3:$J$33,MATCH(A604,集計!$B$3:$B$33,0)),0),"")</f>
        <v/>
      </c>
      <c r="AB604" s="25" t="str">
        <f aca="false">IF(ISNUMBER(A604),IFERROR(INDEX(設定!$F$4:$F$27,MATCH(K604,設定!$E$4:$E$27,0)),""),"")</f>
        <v/>
      </c>
    </row>
    <row r="605" customFormat="false" ht="15" hidden="false" customHeight="false" outlineLevel="0" collapsed="false">
      <c r="Z605" s="25" t="str">
        <f aca="false">IF(ISNUMBER(A605),IF(COUNTIF(祝日!$A:$A,A605)&gt;0,"祝",CHOOSE(WEEKDAY(A605,2),"月","火","水","木","金","土","日")),"")</f>
        <v/>
      </c>
      <c r="AA605" s="25" t="str">
        <f aca="false">IF(ISNUMBER(A605),IFERROR(INDEX(集計!$J$3:$J$33,MATCH(A605,集計!$B$3:$B$33,0)),0),"")</f>
        <v/>
      </c>
      <c r="AB605" s="25" t="str">
        <f aca="false">IF(ISNUMBER(A605),IFERROR(INDEX(設定!$F$4:$F$27,MATCH(K605,設定!$E$4:$E$27,0)),""),"")</f>
        <v/>
      </c>
    </row>
    <row r="606" customFormat="false" ht="15" hidden="false" customHeight="false" outlineLevel="0" collapsed="false">
      <c r="Z606" s="25" t="str">
        <f aca="false">IF(ISNUMBER(A606),IF(COUNTIF(祝日!$A:$A,A606)&gt;0,"祝",CHOOSE(WEEKDAY(A606,2),"月","火","水","木","金","土","日")),"")</f>
        <v/>
      </c>
      <c r="AA606" s="25" t="str">
        <f aca="false">IF(ISNUMBER(A606),IFERROR(INDEX(集計!$J$3:$J$33,MATCH(A606,集計!$B$3:$B$33,0)),0),"")</f>
        <v/>
      </c>
      <c r="AB606" s="25" t="str">
        <f aca="false">IF(ISNUMBER(A606),IFERROR(INDEX(設定!$F$4:$F$27,MATCH(K606,設定!$E$4:$E$27,0)),""),"")</f>
        <v/>
      </c>
    </row>
    <row r="607" customFormat="false" ht="15" hidden="false" customHeight="false" outlineLevel="0" collapsed="false">
      <c r="Z607" s="25" t="str">
        <f aca="false">IF(ISNUMBER(A607),IF(COUNTIF(祝日!$A:$A,A607)&gt;0,"祝",CHOOSE(WEEKDAY(A607,2),"月","火","水","木","金","土","日")),"")</f>
        <v/>
      </c>
      <c r="AA607" s="25" t="str">
        <f aca="false">IF(ISNUMBER(A607),IFERROR(INDEX(集計!$J$3:$J$33,MATCH(A607,集計!$B$3:$B$33,0)),0),"")</f>
        <v/>
      </c>
      <c r="AB607" s="25" t="str">
        <f aca="false">IF(ISNUMBER(A607),IFERROR(INDEX(設定!$F$4:$F$27,MATCH(K607,設定!$E$4:$E$27,0)),""),"")</f>
        <v/>
      </c>
    </row>
    <row r="608" customFormat="false" ht="15" hidden="false" customHeight="false" outlineLevel="0" collapsed="false">
      <c r="Z608" s="25" t="str">
        <f aca="false">IF(ISNUMBER(A608),IF(COUNTIF(祝日!$A:$A,A608)&gt;0,"祝",CHOOSE(WEEKDAY(A608,2),"月","火","水","木","金","土","日")),"")</f>
        <v/>
      </c>
      <c r="AA608" s="25" t="str">
        <f aca="false">IF(ISNUMBER(A608),IFERROR(INDEX(集計!$J$3:$J$33,MATCH(A608,集計!$B$3:$B$33,0)),0),"")</f>
        <v/>
      </c>
      <c r="AB608" s="25" t="str">
        <f aca="false">IF(ISNUMBER(A608),IFERROR(INDEX(設定!$F$4:$F$27,MATCH(K608,設定!$E$4:$E$27,0)),""),"")</f>
        <v/>
      </c>
    </row>
    <row r="609" customFormat="false" ht="15" hidden="false" customHeight="false" outlineLevel="0" collapsed="false">
      <c r="Z609" s="25" t="str">
        <f aca="false">IF(ISNUMBER(A609),IF(COUNTIF(祝日!$A:$A,A609)&gt;0,"祝",CHOOSE(WEEKDAY(A609,2),"月","火","水","木","金","土","日")),"")</f>
        <v/>
      </c>
      <c r="AA609" s="25" t="str">
        <f aca="false">IF(ISNUMBER(A609),IFERROR(INDEX(集計!$J$3:$J$33,MATCH(A609,集計!$B$3:$B$33,0)),0),"")</f>
        <v/>
      </c>
      <c r="AB609" s="25" t="str">
        <f aca="false">IF(ISNUMBER(A609),IFERROR(INDEX(設定!$F$4:$F$27,MATCH(K609,設定!$E$4:$E$27,0)),""),"")</f>
        <v/>
      </c>
    </row>
    <row r="610" customFormat="false" ht="15" hidden="false" customHeight="false" outlineLevel="0" collapsed="false">
      <c r="Z610" s="25" t="str">
        <f aca="false">IF(ISNUMBER(A610),IF(COUNTIF(祝日!$A:$A,A610)&gt;0,"祝",CHOOSE(WEEKDAY(A610,2),"月","火","水","木","金","土","日")),"")</f>
        <v/>
      </c>
      <c r="AA610" s="25" t="str">
        <f aca="false">IF(ISNUMBER(A610),IFERROR(INDEX(集計!$J$3:$J$33,MATCH(A610,集計!$B$3:$B$33,0)),0),"")</f>
        <v/>
      </c>
      <c r="AB610" s="25" t="str">
        <f aca="false">IF(ISNUMBER(A610),IFERROR(INDEX(設定!$F$4:$F$27,MATCH(K610,設定!$E$4:$E$27,0)),""),"")</f>
        <v/>
      </c>
    </row>
    <row r="611" customFormat="false" ht="15" hidden="false" customHeight="false" outlineLevel="0" collapsed="false">
      <c r="Z611" s="25" t="str">
        <f aca="false">IF(ISNUMBER(A611),IF(COUNTIF(祝日!$A:$A,A611)&gt;0,"祝",CHOOSE(WEEKDAY(A611,2),"月","火","水","木","金","土","日")),"")</f>
        <v/>
      </c>
      <c r="AA611" s="25" t="str">
        <f aca="false">IF(ISNUMBER(A611),IFERROR(INDEX(集計!$J$3:$J$33,MATCH(A611,集計!$B$3:$B$33,0)),0),"")</f>
        <v/>
      </c>
      <c r="AB611" s="25" t="str">
        <f aca="false">IF(ISNUMBER(A611),IFERROR(INDEX(設定!$F$4:$F$27,MATCH(K611,設定!$E$4:$E$27,0)),""),"")</f>
        <v/>
      </c>
    </row>
    <row r="612" customFormat="false" ht="15" hidden="false" customHeight="false" outlineLevel="0" collapsed="false">
      <c r="Z612" s="25" t="str">
        <f aca="false">IF(ISNUMBER(A612),IF(COUNTIF(祝日!$A:$A,A612)&gt;0,"祝",CHOOSE(WEEKDAY(A612,2),"月","火","水","木","金","土","日")),"")</f>
        <v/>
      </c>
      <c r="AA612" s="25" t="str">
        <f aca="false">IF(ISNUMBER(A612),IFERROR(INDEX(集計!$J$3:$J$33,MATCH(A612,集計!$B$3:$B$33,0)),0),"")</f>
        <v/>
      </c>
      <c r="AB612" s="25" t="str">
        <f aca="false">IF(ISNUMBER(A612),IFERROR(INDEX(設定!$F$4:$F$27,MATCH(K612,設定!$E$4:$E$27,0)),""),"")</f>
        <v/>
      </c>
    </row>
    <row r="613" customFormat="false" ht="15" hidden="false" customHeight="false" outlineLevel="0" collapsed="false">
      <c r="Z613" s="25" t="str">
        <f aca="false">IF(ISNUMBER(A613),IF(COUNTIF(祝日!$A:$A,A613)&gt;0,"祝",CHOOSE(WEEKDAY(A613,2),"月","火","水","木","金","土","日")),"")</f>
        <v/>
      </c>
      <c r="AA613" s="25" t="str">
        <f aca="false">IF(ISNUMBER(A613),IFERROR(INDEX(集計!$J$3:$J$33,MATCH(A613,集計!$B$3:$B$33,0)),0),"")</f>
        <v/>
      </c>
      <c r="AB613" s="25" t="str">
        <f aca="false">IF(ISNUMBER(A613),IFERROR(INDEX(設定!$F$4:$F$27,MATCH(K613,設定!$E$4:$E$27,0)),""),"")</f>
        <v/>
      </c>
    </row>
    <row r="614" customFormat="false" ht="15" hidden="false" customHeight="false" outlineLevel="0" collapsed="false">
      <c r="Z614" s="25" t="str">
        <f aca="false">IF(ISNUMBER(A614),IF(COUNTIF(祝日!$A:$A,A614)&gt;0,"祝",CHOOSE(WEEKDAY(A614,2),"月","火","水","木","金","土","日")),"")</f>
        <v/>
      </c>
      <c r="AA614" s="25" t="str">
        <f aca="false">IF(ISNUMBER(A614),IFERROR(INDEX(集計!$J$3:$J$33,MATCH(A614,集計!$B$3:$B$33,0)),0),"")</f>
        <v/>
      </c>
      <c r="AB614" s="25" t="str">
        <f aca="false">IF(ISNUMBER(A614),IFERROR(INDEX(設定!$F$4:$F$27,MATCH(K614,設定!$E$4:$E$27,0)),""),"")</f>
        <v/>
      </c>
    </row>
    <row r="615" customFormat="false" ht="15" hidden="false" customHeight="false" outlineLevel="0" collapsed="false">
      <c r="Z615" s="25" t="str">
        <f aca="false">IF(ISNUMBER(A615),IF(COUNTIF(祝日!$A:$A,A615)&gt;0,"祝",CHOOSE(WEEKDAY(A615,2),"月","火","水","木","金","土","日")),"")</f>
        <v/>
      </c>
      <c r="AA615" s="25" t="str">
        <f aca="false">IF(ISNUMBER(A615),IFERROR(INDEX(集計!$J$3:$J$33,MATCH(A615,集計!$B$3:$B$33,0)),0),"")</f>
        <v/>
      </c>
      <c r="AB615" s="25" t="str">
        <f aca="false">IF(ISNUMBER(A615),IFERROR(INDEX(設定!$F$4:$F$27,MATCH(K615,設定!$E$4:$E$27,0)),""),"")</f>
        <v/>
      </c>
    </row>
    <row r="616" customFormat="false" ht="15" hidden="false" customHeight="false" outlineLevel="0" collapsed="false">
      <c r="Z616" s="25" t="str">
        <f aca="false">IF(ISNUMBER(A616),IF(COUNTIF(祝日!$A:$A,A616)&gt;0,"祝",CHOOSE(WEEKDAY(A616,2),"月","火","水","木","金","土","日")),"")</f>
        <v/>
      </c>
      <c r="AA616" s="25" t="str">
        <f aca="false">IF(ISNUMBER(A616),IFERROR(INDEX(集計!$J$3:$J$33,MATCH(A616,集計!$B$3:$B$33,0)),0),"")</f>
        <v/>
      </c>
      <c r="AB616" s="25" t="str">
        <f aca="false">IF(ISNUMBER(A616),IFERROR(INDEX(設定!$F$4:$F$27,MATCH(K616,設定!$E$4:$E$27,0)),""),"")</f>
        <v/>
      </c>
    </row>
    <row r="617" customFormat="false" ht="15" hidden="false" customHeight="false" outlineLevel="0" collapsed="false">
      <c r="Z617" s="25" t="str">
        <f aca="false">IF(ISNUMBER(A617),IF(COUNTIF(祝日!$A:$A,A617)&gt;0,"祝",CHOOSE(WEEKDAY(A617,2),"月","火","水","木","金","土","日")),"")</f>
        <v/>
      </c>
      <c r="AA617" s="25" t="str">
        <f aca="false">IF(ISNUMBER(A617),IFERROR(INDEX(集計!$J$3:$J$33,MATCH(A617,集計!$B$3:$B$33,0)),0),"")</f>
        <v/>
      </c>
      <c r="AB617" s="25" t="str">
        <f aca="false">IF(ISNUMBER(A617),IFERROR(INDEX(設定!$F$4:$F$27,MATCH(K617,設定!$E$4:$E$27,0)),""),"")</f>
        <v/>
      </c>
    </row>
    <row r="618" customFormat="false" ht="15" hidden="false" customHeight="false" outlineLevel="0" collapsed="false">
      <c r="Z618" s="25" t="str">
        <f aca="false">IF(ISNUMBER(A618),IF(COUNTIF(祝日!$A:$A,A618)&gt;0,"祝",CHOOSE(WEEKDAY(A618,2),"月","火","水","木","金","土","日")),"")</f>
        <v/>
      </c>
      <c r="AA618" s="25" t="str">
        <f aca="false">IF(ISNUMBER(A618),IFERROR(INDEX(集計!$J$3:$J$33,MATCH(A618,集計!$B$3:$B$33,0)),0),"")</f>
        <v/>
      </c>
      <c r="AB618" s="25" t="str">
        <f aca="false">IF(ISNUMBER(A618),IFERROR(INDEX(設定!$F$4:$F$27,MATCH(K618,設定!$E$4:$E$27,0)),""),"")</f>
        <v/>
      </c>
    </row>
    <row r="619" customFormat="false" ht="15" hidden="false" customHeight="false" outlineLevel="0" collapsed="false">
      <c r="Z619" s="25" t="str">
        <f aca="false">IF(ISNUMBER(A619),IF(COUNTIF(祝日!$A:$A,A619)&gt;0,"祝",CHOOSE(WEEKDAY(A619,2),"月","火","水","木","金","土","日")),"")</f>
        <v/>
      </c>
      <c r="AA619" s="25" t="str">
        <f aca="false">IF(ISNUMBER(A619),IFERROR(INDEX(集計!$J$3:$J$33,MATCH(A619,集計!$B$3:$B$33,0)),0),"")</f>
        <v/>
      </c>
      <c r="AB619" s="25" t="str">
        <f aca="false">IF(ISNUMBER(A619),IFERROR(INDEX(設定!$F$4:$F$27,MATCH(K619,設定!$E$4:$E$27,0)),""),"")</f>
        <v/>
      </c>
    </row>
    <row r="620" customFormat="false" ht="15" hidden="false" customHeight="false" outlineLevel="0" collapsed="false">
      <c r="Z620" s="25" t="str">
        <f aca="false">IF(ISNUMBER(A620),IF(COUNTIF(祝日!$A:$A,A620)&gt;0,"祝",CHOOSE(WEEKDAY(A620,2),"月","火","水","木","金","土","日")),"")</f>
        <v/>
      </c>
      <c r="AA620" s="25" t="str">
        <f aca="false">IF(ISNUMBER(A620),IFERROR(INDEX(集計!$J$3:$J$33,MATCH(A620,集計!$B$3:$B$33,0)),0),"")</f>
        <v/>
      </c>
      <c r="AB620" s="25" t="str">
        <f aca="false">IF(ISNUMBER(A620),IFERROR(INDEX(設定!$F$4:$F$27,MATCH(K620,設定!$E$4:$E$27,0)),""),"")</f>
        <v/>
      </c>
    </row>
    <row r="621" customFormat="false" ht="15" hidden="false" customHeight="false" outlineLevel="0" collapsed="false">
      <c r="Z621" s="25" t="str">
        <f aca="false">IF(ISNUMBER(A621),IF(COUNTIF(祝日!$A:$A,A621)&gt;0,"祝",CHOOSE(WEEKDAY(A621,2),"月","火","水","木","金","土","日")),"")</f>
        <v/>
      </c>
      <c r="AA621" s="25" t="str">
        <f aca="false">IF(ISNUMBER(A621),IFERROR(INDEX(集計!$J$3:$J$33,MATCH(A621,集計!$B$3:$B$33,0)),0),"")</f>
        <v/>
      </c>
      <c r="AB621" s="25" t="str">
        <f aca="false">IF(ISNUMBER(A621),IFERROR(INDEX(設定!$F$4:$F$27,MATCH(K621,設定!$E$4:$E$27,0)),""),"")</f>
        <v/>
      </c>
    </row>
    <row r="622" customFormat="false" ht="15" hidden="false" customHeight="false" outlineLevel="0" collapsed="false">
      <c r="Z622" s="25" t="str">
        <f aca="false">IF(ISNUMBER(A622),IF(COUNTIF(祝日!$A:$A,A622)&gt;0,"祝",CHOOSE(WEEKDAY(A622,2),"月","火","水","木","金","土","日")),"")</f>
        <v/>
      </c>
      <c r="AA622" s="25" t="str">
        <f aca="false">IF(ISNUMBER(A622),IFERROR(INDEX(集計!$J$3:$J$33,MATCH(A622,集計!$B$3:$B$33,0)),0),"")</f>
        <v/>
      </c>
      <c r="AB622" s="25" t="str">
        <f aca="false">IF(ISNUMBER(A622),IFERROR(INDEX(設定!$F$4:$F$27,MATCH(K622,設定!$E$4:$E$27,0)),""),"")</f>
        <v/>
      </c>
    </row>
    <row r="623" customFormat="false" ht="15" hidden="false" customHeight="false" outlineLevel="0" collapsed="false">
      <c r="Z623" s="25" t="str">
        <f aca="false">IF(ISNUMBER(A623),IF(COUNTIF(祝日!$A:$A,A623)&gt;0,"祝",CHOOSE(WEEKDAY(A623,2),"月","火","水","木","金","土","日")),"")</f>
        <v/>
      </c>
      <c r="AA623" s="25" t="str">
        <f aca="false">IF(ISNUMBER(A623),IFERROR(INDEX(集計!$J$3:$J$33,MATCH(A623,集計!$B$3:$B$33,0)),0),"")</f>
        <v/>
      </c>
      <c r="AB623" s="25" t="str">
        <f aca="false">IF(ISNUMBER(A623),IFERROR(INDEX(設定!$F$4:$F$27,MATCH(K623,設定!$E$4:$E$27,0)),""),"")</f>
        <v/>
      </c>
    </row>
    <row r="624" customFormat="false" ht="15" hidden="false" customHeight="false" outlineLevel="0" collapsed="false">
      <c r="Z624" s="25" t="str">
        <f aca="false">IF(ISNUMBER(A624),IF(COUNTIF(祝日!$A:$A,A624)&gt;0,"祝",CHOOSE(WEEKDAY(A624,2),"月","火","水","木","金","土","日")),"")</f>
        <v/>
      </c>
      <c r="AA624" s="25" t="str">
        <f aca="false">IF(ISNUMBER(A624),IFERROR(INDEX(集計!$J$3:$J$33,MATCH(A624,集計!$B$3:$B$33,0)),0),"")</f>
        <v/>
      </c>
      <c r="AB624" s="25" t="str">
        <f aca="false">IF(ISNUMBER(A624),IFERROR(INDEX(設定!$F$4:$F$27,MATCH(K624,設定!$E$4:$E$27,0)),""),"")</f>
        <v/>
      </c>
    </row>
    <row r="625" customFormat="false" ht="15" hidden="false" customHeight="false" outlineLevel="0" collapsed="false">
      <c r="Z625" s="25" t="str">
        <f aca="false">IF(ISNUMBER(A625),IF(COUNTIF(祝日!$A:$A,A625)&gt;0,"祝",CHOOSE(WEEKDAY(A625,2),"月","火","水","木","金","土","日")),"")</f>
        <v/>
      </c>
      <c r="AA625" s="25" t="str">
        <f aca="false">IF(ISNUMBER(A625),IFERROR(INDEX(集計!$J$3:$J$33,MATCH(A625,集計!$B$3:$B$33,0)),0),"")</f>
        <v/>
      </c>
      <c r="AB625" s="25" t="str">
        <f aca="false">IF(ISNUMBER(A625),IFERROR(INDEX(設定!$F$4:$F$27,MATCH(K625,設定!$E$4:$E$27,0)),""),"")</f>
        <v/>
      </c>
    </row>
    <row r="626" customFormat="false" ht="15" hidden="false" customHeight="false" outlineLevel="0" collapsed="false">
      <c r="Z626" s="25" t="str">
        <f aca="false">IF(ISNUMBER(A626),IF(COUNTIF(祝日!$A:$A,A626)&gt;0,"祝",CHOOSE(WEEKDAY(A626,2),"月","火","水","木","金","土","日")),"")</f>
        <v/>
      </c>
      <c r="AA626" s="25" t="str">
        <f aca="false">IF(ISNUMBER(A626),IFERROR(INDEX(集計!$J$3:$J$33,MATCH(A626,集計!$B$3:$B$33,0)),0),"")</f>
        <v/>
      </c>
      <c r="AB626" s="25" t="str">
        <f aca="false">IF(ISNUMBER(A626),IFERROR(INDEX(設定!$F$4:$F$27,MATCH(K626,設定!$E$4:$E$27,0)),""),"")</f>
        <v/>
      </c>
    </row>
    <row r="627" customFormat="false" ht="15" hidden="false" customHeight="false" outlineLevel="0" collapsed="false">
      <c r="Z627" s="25" t="str">
        <f aca="false">IF(ISNUMBER(A627),IF(COUNTIF(祝日!$A:$A,A627)&gt;0,"祝",CHOOSE(WEEKDAY(A627,2),"月","火","水","木","金","土","日")),"")</f>
        <v/>
      </c>
      <c r="AA627" s="25" t="str">
        <f aca="false">IF(ISNUMBER(A627),IFERROR(INDEX(集計!$J$3:$J$33,MATCH(A627,集計!$B$3:$B$33,0)),0),"")</f>
        <v/>
      </c>
      <c r="AB627" s="25" t="str">
        <f aca="false">IF(ISNUMBER(A627),IFERROR(INDEX(設定!$F$4:$F$27,MATCH(K627,設定!$E$4:$E$27,0)),""),"")</f>
        <v/>
      </c>
    </row>
    <row r="628" customFormat="false" ht="15" hidden="false" customHeight="false" outlineLevel="0" collapsed="false">
      <c r="Z628" s="25" t="str">
        <f aca="false">IF(ISNUMBER(A628),IF(COUNTIF(祝日!$A:$A,A628)&gt;0,"祝",CHOOSE(WEEKDAY(A628,2),"月","火","水","木","金","土","日")),"")</f>
        <v/>
      </c>
      <c r="AA628" s="25" t="str">
        <f aca="false">IF(ISNUMBER(A628),IFERROR(INDEX(集計!$J$3:$J$33,MATCH(A628,集計!$B$3:$B$33,0)),0),"")</f>
        <v/>
      </c>
      <c r="AB628" s="25" t="str">
        <f aca="false">IF(ISNUMBER(A628),IFERROR(INDEX(設定!$F$4:$F$27,MATCH(K628,設定!$E$4:$E$27,0)),""),"")</f>
        <v/>
      </c>
    </row>
    <row r="629" customFormat="false" ht="15" hidden="false" customHeight="false" outlineLevel="0" collapsed="false">
      <c r="Z629" s="25" t="str">
        <f aca="false">IF(ISNUMBER(A629),IF(COUNTIF(祝日!$A:$A,A629)&gt;0,"祝",CHOOSE(WEEKDAY(A629,2),"月","火","水","木","金","土","日")),"")</f>
        <v/>
      </c>
      <c r="AA629" s="25" t="str">
        <f aca="false">IF(ISNUMBER(A629),IFERROR(INDEX(集計!$J$3:$J$33,MATCH(A629,集計!$B$3:$B$33,0)),0),"")</f>
        <v/>
      </c>
      <c r="AB629" s="25" t="str">
        <f aca="false">IF(ISNUMBER(A629),IFERROR(INDEX(設定!$F$4:$F$27,MATCH(K629,設定!$E$4:$E$27,0)),""),"")</f>
        <v/>
      </c>
    </row>
    <row r="630" customFormat="false" ht="15" hidden="false" customHeight="false" outlineLevel="0" collapsed="false">
      <c r="Z630" s="25" t="str">
        <f aca="false">IF(ISNUMBER(A630),IF(COUNTIF(祝日!$A:$A,A630)&gt;0,"祝",CHOOSE(WEEKDAY(A630,2),"月","火","水","木","金","土","日")),"")</f>
        <v/>
      </c>
      <c r="AA630" s="25" t="str">
        <f aca="false">IF(ISNUMBER(A630),IFERROR(INDEX(集計!$J$3:$J$33,MATCH(A630,集計!$B$3:$B$33,0)),0),"")</f>
        <v/>
      </c>
      <c r="AB630" s="25" t="str">
        <f aca="false">IF(ISNUMBER(A630),IFERROR(INDEX(設定!$F$4:$F$27,MATCH(K630,設定!$E$4:$E$27,0)),""),"")</f>
        <v/>
      </c>
    </row>
    <row r="631" customFormat="false" ht="15" hidden="false" customHeight="false" outlineLevel="0" collapsed="false">
      <c r="Z631" s="25" t="str">
        <f aca="false">IF(ISNUMBER(A631),IF(COUNTIF(祝日!$A:$A,A631)&gt;0,"祝",CHOOSE(WEEKDAY(A631,2),"月","火","水","木","金","土","日")),"")</f>
        <v/>
      </c>
      <c r="AA631" s="25" t="str">
        <f aca="false">IF(ISNUMBER(A631),IFERROR(INDEX(集計!$J$3:$J$33,MATCH(A631,集計!$B$3:$B$33,0)),0),"")</f>
        <v/>
      </c>
      <c r="AB631" s="25" t="str">
        <f aca="false">IF(ISNUMBER(A631),IFERROR(INDEX(設定!$F$4:$F$27,MATCH(K631,設定!$E$4:$E$27,0)),""),"")</f>
        <v/>
      </c>
    </row>
    <row r="632" customFormat="false" ht="15" hidden="false" customHeight="false" outlineLevel="0" collapsed="false">
      <c r="Z632" s="25" t="str">
        <f aca="false">IF(ISNUMBER(A632),IF(COUNTIF(祝日!$A:$A,A632)&gt;0,"祝",CHOOSE(WEEKDAY(A632,2),"月","火","水","木","金","土","日")),"")</f>
        <v/>
      </c>
      <c r="AA632" s="25" t="str">
        <f aca="false">IF(ISNUMBER(A632),IFERROR(INDEX(集計!$J$3:$J$33,MATCH(A632,集計!$B$3:$B$33,0)),0),"")</f>
        <v/>
      </c>
      <c r="AB632" s="25" t="str">
        <f aca="false">IF(ISNUMBER(A632),IFERROR(INDEX(設定!$F$4:$F$27,MATCH(K632,設定!$E$4:$E$27,0)),""),"")</f>
        <v/>
      </c>
    </row>
    <row r="633" customFormat="false" ht="15" hidden="false" customHeight="false" outlineLevel="0" collapsed="false">
      <c r="Z633" s="25" t="str">
        <f aca="false">IF(ISNUMBER(A633),IF(COUNTIF(祝日!$A:$A,A633)&gt;0,"祝",CHOOSE(WEEKDAY(A633,2),"月","火","水","木","金","土","日")),"")</f>
        <v/>
      </c>
      <c r="AA633" s="25" t="str">
        <f aca="false">IF(ISNUMBER(A633),IFERROR(INDEX(集計!$J$3:$J$33,MATCH(A633,集計!$B$3:$B$33,0)),0),"")</f>
        <v/>
      </c>
      <c r="AB633" s="25" t="str">
        <f aca="false">IF(ISNUMBER(A633),IFERROR(INDEX(設定!$F$4:$F$27,MATCH(K633,設定!$E$4:$E$27,0)),""),"")</f>
        <v/>
      </c>
    </row>
    <row r="634" customFormat="false" ht="15" hidden="false" customHeight="false" outlineLevel="0" collapsed="false">
      <c r="Z634" s="25" t="str">
        <f aca="false">IF(ISNUMBER(A634),IF(COUNTIF(祝日!$A:$A,A634)&gt;0,"祝",CHOOSE(WEEKDAY(A634,2),"月","火","水","木","金","土","日")),"")</f>
        <v/>
      </c>
      <c r="AA634" s="25" t="str">
        <f aca="false">IF(ISNUMBER(A634),IFERROR(INDEX(集計!$J$3:$J$33,MATCH(A634,集計!$B$3:$B$33,0)),0),"")</f>
        <v/>
      </c>
      <c r="AB634" s="25" t="str">
        <f aca="false">IF(ISNUMBER(A634),IFERROR(INDEX(設定!$F$4:$F$27,MATCH(K634,設定!$E$4:$E$27,0)),""),"")</f>
        <v/>
      </c>
    </row>
    <row r="635" customFormat="false" ht="15" hidden="false" customHeight="false" outlineLevel="0" collapsed="false">
      <c r="Z635" s="25" t="str">
        <f aca="false">IF(ISNUMBER(A635),IF(COUNTIF(祝日!$A:$A,A635)&gt;0,"祝",CHOOSE(WEEKDAY(A635,2),"月","火","水","木","金","土","日")),"")</f>
        <v/>
      </c>
      <c r="AA635" s="25" t="str">
        <f aca="false">IF(ISNUMBER(A635),IFERROR(INDEX(集計!$J$3:$J$33,MATCH(A635,集計!$B$3:$B$33,0)),0),"")</f>
        <v/>
      </c>
      <c r="AB635" s="25" t="str">
        <f aca="false">IF(ISNUMBER(A635),IFERROR(INDEX(設定!$F$4:$F$27,MATCH(K635,設定!$E$4:$E$27,0)),""),"")</f>
        <v/>
      </c>
    </row>
    <row r="636" customFormat="false" ht="15" hidden="false" customHeight="false" outlineLevel="0" collapsed="false">
      <c r="Z636" s="25" t="str">
        <f aca="false">IF(ISNUMBER(A636),IF(COUNTIF(祝日!$A:$A,A636)&gt;0,"祝",CHOOSE(WEEKDAY(A636,2),"月","火","水","木","金","土","日")),"")</f>
        <v/>
      </c>
      <c r="AA636" s="25" t="str">
        <f aca="false">IF(ISNUMBER(A636),IFERROR(INDEX(集計!$J$3:$J$33,MATCH(A636,集計!$B$3:$B$33,0)),0),"")</f>
        <v/>
      </c>
      <c r="AB636" s="25" t="str">
        <f aca="false">IF(ISNUMBER(A636),IFERROR(INDEX(設定!$F$4:$F$27,MATCH(K636,設定!$E$4:$E$27,0)),""),"")</f>
        <v/>
      </c>
    </row>
    <row r="637" customFormat="false" ht="15" hidden="false" customHeight="false" outlineLevel="0" collapsed="false">
      <c r="Z637" s="25" t="str">
        <f aca="false">IF(ISNUMBER(A637),IF(COUNTIF(祝日!$A:$A,A637)&gt;0,"祝",CHOOSE(WEEKDAY(A637,2),"月","火","水","木","金","土","日")),"")</f>
        <v/>
      </c>
      <c r="AA637" s="25" t="str">
        <f aca="false">IF(ISNUMBER(A637),IFERROR(INDEX(集計!$J$3:$J$33,MATCH(A637,集計!$B$3:$B$33,0)),0),"")</f>
        <v/>
      </c>
      <c r="AB637" s="25" t="str">
        <f aca="false">IF(ISNUMBER(A637),IFERROR(INDEX(設定!$F$4:$F$27,MATCH(K637,設定!$E$4:$E$27,0)),""),"")</f>
        <v/>
      </c>
    </row>
    <row r="638" customFormat="false" ht="15" hidden="false" customHeight="false" outlineLevel="0" collapsed="false">
      <c r="Z638" s="25" t="str">
        <f aca="false">IF(ISNUMBER(A638),IF(COUNTIF(祝日!$A:$A,A638)&gt;0,"祝",CHOOSE(WEEKDAY(A638,2),"月","火","水","木","金","土","日")),"")</f>
        <v/>
      </c>
      <c r="AA638" s="25" t="str">
        <f aca="false">IF(ISNUMBER(A638),IFERROR(INDEX(集計!$J$3:$J$33,MATCH(A638,集計!$B$3:$B$33,0)),0),"")</f>
        <v/>
      </c>
      <c r="AB638" s="25" t="str">
        <f aca="false">IF(ISNUMBER(A638),IFERROR(INDEX(設定!$F$4:$F$27,MATCH(K638,設定!$E$4:$E$27,0)),""),"")</f>
        <v/>
      </c>
    </row>
    <row r="639" customFormat="false" ht="15" hidden="false" customHeight="false" outlineLevel="0" collapsed="false">
      <c r="Z639" s="25" t="str">
        <f aca="false">IF(ISNUMBER(A639),IF(COUNTIF(祝日!$A:$A,A639)&gt;0,"祝",CHOOSE(WEEKDAY(A639,2),"月","火","水","木","金","土","日")),"")</f>
        <v/>
      </c>
      <c r="AA639" s="25" t="str">
        <f aca="false">IF(ISNUMBER(A639),IFERROR(INDEX(集計!$J$3:$J$33,MATCH(A639,集計!$B$3:$B$33,0)),0),"")</f>
        <v/>
      </c>
      <c r="AB639" s="25" t="str">
        <f aca="false">IF(ISNUMBER(A639),IFERROR(INDEX(設定!$F$4:$F$27,MATCH(K639,設定!$E$4:$E$27,0)),""),"")</f>
        <v/>
      </c>
    </row>
    <row r="640" customFormat="false" ht="15" hidden="false" customHeight="false" outlineLevel="0" collapsed="false">
      <c r="Z640" s="25" t="str">
        <f aca="false">IF(ISNUMBER(A640),IF(COUNTIF(祝日!$A:$A,A640)&gt;0,"祝",CHOOSE(WEEKDAY(A640,2),"月","火","水","木","金","土","日")),"")</f>
        <v/>
      </c>
      <c r="AA640" s="25" t="str">
        <f aca="false">IF(ISNUMBER(A640),IFERROR(INDEX(集計!$J$3:$J$33,MATCH(A640,集計!$B$3:$B$33,0)),0),"")</f>
        <v/>
      </c>
      <c r="AB640" s="25" t="str">
        <f aca="false">IF(ISNUMBER(A640),IFERROR(INDEX(設定!$F$4:$F$27,MATCH(K640,設定!$E$4:$E$27,0)),""),"")</f>
        <v/>
      </c>
    </row>
    <row r="641" customFormat="false" ht="15" hidden="false" customHeight="false" outlineLevel="0" collapsed="false">
      <c r="Z641" s="25" t="str">
        <f aca="false">IF(ISNUMBER(A641),IF(COUNTIF(祝日!$A:$A,A641)&gt;0,"祝",CHOOSE(WEEKDAY(A641,2),"月","火","水","木","金","土","日")),"")</f>
        <v/>
      </c>
      <c r="AA641" s="25" t="str">
        <f aca="false">IF(ISNUMBER(A641),IFERROR(INDEX(集計!$J$3:$J$33,MATCH(A641,集計!$B$3:$B$33,0)),0),"")</f>
        <v/>
      </c>
      <c r="AB641" s="25" t="str">
        <f aca="false">IF(ISNUMBER(A641),IFERROR(INDEX(設定!$F$4:$F$27,MATCH(K641,設定!$E$4:$E$27,0)),""),"")</f>
        <v/>
      </c>
    </row>
    <row r="642" customFormat="false" ht="15" hidden="false" customHeight="false" outlineLevel="0" collapsed="false">
      <c r="Z642" s="25" t="str">
        <f aca="false">IF(ISNUMBER(A642),IF(COUNTIF(祝日!$A:$A,A642)&gt;0,"祝",CHOOSE(WEEKDAY(A642,2),"月","火","水","木","金","土","日")),"")</f>
        <v/>
      </c>
      <c r="AA642" s="25" t="str">
        <f aca="false">IF(ISNUMBER(A642),IFERROR(INDEX(集計!$J$3:$J$33,MATCH(A642,集計!$B$3:$B$33,0)),0),"")</f>
        <v/>
      </c>
      <c r="AB642" s="25" t="str">
        <f aca="false">IF(ISNUMBER(A642),IFERROR(INDEX(設定!$F$4:$F$27,MATCH(K642,設定!$E$4:$E$27,0)),""),"")</f>
        <v/>
      </c>
    </row>
    <row r="643" customFormat="false" ht="15" hidden="false" customHeight="false" outlineLevel="0" collapsed="false">
      <c r="Z643" s="25" t="str">
        <f aca="false">IF(ISNUMBER(A643),IF(COUNTIF(祝日!$A:$A,A643)&gt;0,"祝",CHOOSE(WEEKDAY(A643,2),"月","火","水","木","金","土","日")),"")</f>
        <v/>
      </c>
      <c r="AA643" s="25" t="str">
        <f aca="false">IF(ISNUMBER(A643),IFERROR(INDEX(集計!$J$3:$J$33,MATCH(A643,集計!$B$3:$B$33,0)),0),"")</f>
        <v/>
      </c>
      <c r="AB643" s="25" t="str">
        <f aca="false">IF(ISNUMBER(A643),IFERROR(INDEX(設定!$F$4:$F$27,MATCH(K643,設定!$E$4:$E$27,0)),""),"")</f>
        <v/>
      </c>
    </row>
    <row r="644" customFormat="false" ht="15" hidden="false" customHeight="false" outlineLevel="0" collapsed="false">
      <c r="Z644" s="25" t="str">
        <f aca="false">IF(ISNUMBER(A644),IF(COUNTIF(祝日!$A:$A,A644)&gt;0,"祝",CHOOSE(WEEKDAY(A644,2),"月","火","水","木","金","土","日")),"")</f>
        <v/>
      </c>
      <c r="AA644" s="25" t="str">
        <f aca="false">IF(ISNUMBER(A644),IFERROR(INDEX(集計!$J$3:$J$33,MATCH(A644,集計!$B$3:$B$33,0)),0),"")</f>
        <v/>
      </c>
      <c r="AB644" s="25" t="str">
        <f aca="false">IF(ISNUMBER(A644),IFERROR(INDEX(設定!$F$4:$F$27,MATCH(K644,設定!$E$4:$E$27,0)),""),"")</f>
        <v/>
      </c>
    </row>
    <row r="645" customFormat="false" ht="15" hidden="false" customHeight="false" outlineLevel="0" collapsed="false">
      <c r="Z645" s="25" t="str">
        <f aca="false">IF(ISNUMBER(A645),IF(COUNTIF(祝日!$A:$A,A645)&gt;0,"祝",CHOOSE(WEEKDAY(A645,2),"月","火","水","木","金","土","日")),"")</f>
        <v/>
      </c>
      <c r="AA645" s="25" t="str">
        <f aca="false">IF(ISNUMBER(A645),IFERROR(INDEX(集計!$J$3:$J$33,MATCH(A645,集計!$B$3:$B$33,0)),0),"")</f>
        <v/>
      </c>
      <c r="AB645" s="25" t="str">
        <f aca="false">IF(ISNUMBER(A645),IFERROR(INDEX(設定!$F$4:$F$27,MATCH(K645,設定!$E$4:$E$27,0)),""),"")</f>
        <v/>
      </c>
    </row>
    <row r="646" customFormat="false" ht="15" hidden="false" customHeight="false" outlineLevel="0" collapsed="false">
      <c r="Z646" s="25" t="str">
        <f aca="false">IF(ISNUMBER(A646),IF(COUNTIF(祝日!$A:$A,A646)&gt;0,"祝",CHOOSE(WEEKDAY(A646,2),"月","火","水","木","金","土","日")),"")</f>
        <v/>
      </c>
      <c r="AA646" s="25" t="str">
        <f aca="false">IF(ISNUMBER(A646),IFERROR(INDEX(集計!$J$3:$J$33,MATCH(A646,集計!$B$3:$B$33,0)),0),"")</f>
        <v/>
      </c>
      <c r="AB646" s="25" t="str">
        <f aca="false">IF(ISNUMBER(A646),IFERROR(INDEX(設定!$F$4:$F$27,MATCH(K646,設定!$E$4:$E$27,0)),""),"")</f>
        <v/>
      </c>
    </row>
    <row r="647" customFormat="false" ht="15" hidden="false" customHeight="false" outlineLevel="0" collapsed="false">
      <c r="Z647" s="25" t="str">
        <f aca="false">IF(ISNUMBER(A647),IF(COUNTIF(祝日!$A:$A,A647)&gt;0,"祝",CHOOSE(WEEKDAY(A647,2),"月","火","水","木","金","土","日")),"")</f>
        <v/>
      </c>
      <c r="AA647" s="25" t="str">
        <f aca="false">IF(ISNUMBER(A647),IFERROR(INDEX(集計!$J$3:$J$33,MATCH(A647,集計!$B$3:$B$33,0)),0),"")</f>
        <v/>
      </c>
      <c r="AB647" s="25" t="str">
        <f aca="false">IF(ISNUMBER(A647),IFERROR(INDEX(設定!$F$4:$F$27,MATCH(K647,設定!$E$4:$E$27,0)),""),"")</f>
        <v/>
      </c>
    </row>
    <row r="648" customFormat="false" ht="15" hidden="false" customHeight="false" outlineLevel="0" collapsed="false">
      <c r="Z648" s="25" t="str">
        <f aca="false">IF(ISNUMBER(A648),IF(COUNTIF(祝日!$A:$A,A648)&gt;0,"祝",CHOOSE(WEEKDAY(A648,2),"月","火","水","木","金","土","日")),"")</f>
        <v/>
      </c>
      <c r="AA648" s="25" t="str">
        <f aca="false">IF(ISNUMBER(A648),IFERROR(INDEX(集計!$J$3:$J$33,MATCH(A648,集計!$B$3:$B$33,0)),0),"")</f>
        <v/>
      </c>
      <c r="AB648" s="25" t="str">
        <f aca="false">IF(ISNUMBER(A648),IFERROR(INDEX(設定!$F$4:$F$27,MATCH(K648,設定!$E$4:$E$27,0)),""),"")</f>
        <v/>
      </c>
    </row>
    <row r="649" customFormat="false" ht="15" hidden="false" customHeight="false" outlineLevel="0" collapsed="false">
      <c r="Z649" s="25" t="str">
        <f aca="false">IF(ISNUMBER(A649),IF(COUNTIF(祝日!$A:$A,A649)&gt;0,"祝",CHOOSE(WEEKDAY(A649,2),"月","火","水","木","金","土","日")),"")</f>
        <v/>
      </c>
      <c r="AA649" s="25" t="str">
        <f aca="false">IF(ISNUMBER(A649),IFERROR(INDEX(集計!$J$3:$J$33,MATCH(A649,集計!$B$3:$B$33,0)),0),"")</f>
        <v/>
      </c>
      <c r="AB649" s="25" t="str">
        <f aca="false">IF(ISNUMBER(A649),IFERROR(INDEX(設定!$F$4:$F$27,MATCH(K649,設定!$E$4:$E$27,0)),""),"")</f>
        <v/>
      </c>
    </row>
    <row r="650" customFormat="false" ht="15" hidden="false" customHeight="false" outlineLevel="0" collapsed="false">
      <c r="Z650" s="25" t="str">
        <f aca="false">IF(ISNUMBER(A650),IF(COUNTIF(祝日!$A:$A,A650)&gt;0,"祝",CHOOSE(WEEKDAY(A650,2),"月","火","水","木","金","土","日")),"")</f>
        <v/>
      </c>
      <c r="AA650" s="25" t="str">
        <f aca="false">IF(ISNUMBER(A650),IFERROR(INDEX(集計!$J$3:$J$33,MATCH(A650,集計!$B$3:$B$33,0)),0),"")</f>
        <v/>
      </c>
      <c r="AB650" s="25" t="str">
        <f aca="false">IF(ISNUMBER(A650),IFERROR(INDEX(設定!$F$4:$F$27,MATCH(K650,設定!$E$4:$E$27,0)),""),"")</f>
        <v/>
      </c>
    </row>
    <row r="651" customFormat="false" ht="15" hidden="false" customHeight="false" outlineLevel="0" collapsed="false">
      <c r="Z651" s="25" t="str">
        <f aca="false">IF(ISNUMBER(A651),IF(COUNTIF(祝日!$A:$A,A651)&gt;0,"祝",CHOOSE(WEEKDAY(A651,2),"月","火","水","木","金","土","日")),"")</f>
        <v/>
      </c>
      <c r="AA651" s="25" t="str">
        <f aca="false">IF(ISNUMBER(A651),IFERROR(INDEX(集計!$J$3:$J$33,MATCH(A651,集計!$B$3:$B$33,0)),0),"")</f>
        <v/>
      </c>
      <c r="AB651" s="25" t="str">
        <f aca="false">IF(ISNUMBER(A651),IFERROR(INDEX(設定!$F$4:$F$27,MATCH(K651,設定!$E$4:$E$27,0)),""),"")</f>
        <v/>
      </c>
    </row>
    <row r="652" customFormat="false" ht="15" hidden="false" customHeight="false" outlineLevel="0" collapsed="false">
      <c r="Z652" s="25" t="str">
        <f aca="false">IF(ISNUMBER(A652),IF(COUNTIF(祝日!$A:$A,A652)&gt;0,"祝",CHOOSE(WEEKDAY(A652,2),"月","火","水","木","金","土","日")),"")</f>
        <v/>
      </c>
      <c r="AA652" s="25" t="str">
        <f aca="false">IF(ISNUMBER(A652),IFERROR(INDEX(集計!$J$3:$J$33,MATCH(A652,集計!$B$3:$B$33,0)),0),"")</f>
        <v/>
      </c>
      <c r="AB652" s="25" t="str">
        <f aca="false">IF(ISNUMBER(A652),IFERROR(INDEX(設定!$F$4:$F$27,MATCH(K652,設定!$E$4:$E$27,0)),""),"")</f>
        <v/>
      </c>
    </row>
    <row r="653" customFormat="false" ht="15" hidden="false" customHeight="false" outlineLevel="0" collapsed="false">
      <c r="Z653" s="25" t="str">
        <f aca="false">IF(ISNUMBER(A653),IF(COUNTIF(祝日!$A:$A,A653)&gt;0,"祝",CHOOSE(WEEKDAY(A653,2),"月","火","水","木","金","土","日")),"")</f>
        <v/>
      </c>
      <c r="AA653" s="25" t="str">
        <f aca="false">IF(ISNUMBER(A653),IFERROR(INDEX(集計!$J$3:$J$33,MATCH(A653,集計!$B$3:$B$33,0)),0),"")</f>
        <v/>
      </c>
      <c r="AB653" s="25" t="str">
        <f aca="false">IF(ISNUMBER(A653),IFERROR(INDEX(設定!$F$4:$F$27,MATCH(K653,設定!$E$4:$E$27,0)),""),"")</f>
        <v/>
      </c>
    </row>
    <row r="654" customFormat="false" ht="15" hidden="false" customHeight="false" outlineLevel="0" collapsed="false">
      <c r="Z654" s="25" t="str">
        <f aca="false">IF(ISNUMBER(A654),IF(COUNTIF(祝日!$A:$A,A654)&gt;0,"祝",CHOOSE(WEEKDAY(A654,2),"月","火","水","木","金","土","日")),"")</f>
        <v/>
      </c>
      <c r="AA654" s="25" t="str">
        <f aca="false">IF(ISNUMBER(A654),IFERROR(INDEX(集計!$J$3:$J$33,MATCH(A654,集計!$B$3:$B$33,0)),0),"")</f>
        <v/>
      </c>
      <c r="AB654" s="25" t="str">
        <f aca="false">IF(ISNUMBER(A654),IFERROR(INDEX(設定!$F$4:$F$27,MATCH(K654,設定!$E$4:$E$27,0)),""),"")</f>
        <v/>
      </c>
    </row>
    <row r="655" customFormat="false" ht="15" hidden="false" customHeight="false" outlineLevel="0" collapsed="false">
      <c r="Z655" s="25" t="str">
        <f aca="false">IF(ISNUMBER(A655),IF(COUNTIF(祝日!$A:$A,A655)&gt;0,"祝",CHOOSE(WEEKDAY(A655,2),"月","火","水","木","金","土","日")),"")</f>
        <v/>
      </c>
      <c r="AA655" s="25" t="str">
        <f aca="false">IF(ISNUMBER(A655),IFERROR(INDEX(集計!$J$3:$J$33,MATCH(A655,集計!$B$3:$B$33,0)),0),"")</f>
        <v/>
      </c>
      <c r="AB655" s="25" t="str">
        <f aca="false">IF(ISNUMBER(A655),IFERROR(INDEX(設定!$F$4:$F$27,MATCH(K655,設定!$E$4:$E$27,0)),""),"")</f>
        <v/>
      </c>
    </row>
    <row r="656" customFormat="false" ht="15" hidden="false" customHeight="false" outlineLevel="0" collapsed="false">
      <c r="Z656" s="25" t="str">
        <f aca="false">IF(ISNUMBER(A656),IF(COUNTIF(祝日!$A:$A,A656)&gt;0,"祝",CHOOSE(WEEKDAY(A656,2),"月","火","水","木","金","土","日")),"")</f>
        <v/>
      </c>
      <c r="AA656" s="25" t="str">
        <f aca="false">IF(ISNUMBER(A656),IFERROR(INDEX(集計!$J$3:$J$33,MATCH(A656,集計!$B$3:$B$33,0)),0),"")</f>
        <v/>
      </c>
      <c r="AB656" s="25" t="str">
        <f aca="false">IF(ISNUMBER(A656),IFERROR(INDEX(設定!$F$4:$F$27,MATCH(K656,設定!$E$4:$E$27,0)),""),"")</f>
        <v/>
      </c>
    </row>
    <row r="657" customFormat="false" ht="15" hidden="false" customHeight="false" outlineLevel="0" collapsed="false">
      <c r="Z657" s="25" t="str">
        <f aca="false">IF(ISNUMBER(A657),IF(COUNTIF(祝日!$A:$A,A657)&gt;0,"祝",CHOOSE(WEEKDAY(A657,2),"月","火","水","木","金","土","日")),"")</f>
        <v/>
      </c>
      <c r="AA657" s="25" t="str">
        <f aca="false">IF(ISNUMBER(A657),IFERROR(INDEX(集計!$J$3:$J$33,MATCH(A657,集計!$B$3:$B$33,0)),0),"")</f>
        <v/>
      </c>
      <c r="AB657" s="25" t="str">
        <f aca="false">IF(ISNUMBER(A657),IFERROR(INDEX(設定!$F$4:$F$27,MATCH(K657,設定!$E$4:$E$27,0)),""),"")</f>
        <v/>
      </c>
    </row>
    <row r="658" customFormat="false" ht="15" hidden="false" customHeight="false" outlineLevel="0" collapsed="false">
      <c r="Z658" s="25" t="str">
        <f aca="false">IF(ISNUMBER(A658),IF(COUNTIF(祝日!$A:$A,A658)&gt;0,"祝",CHOOSE(WEEKDAY(A658,2),"月","火","水","木","金","土","日")),"")</f>
        <v/>
      </c>
      <c r="AA658" s="25" t="str">
        <f aca="false">IF(ISNUMBER(A658),IFERROR(INDEX(集計!$J$3:$J$33,MATCH(A658,集計!$B$3:$B$33,0)),0),"")</f>
        <v/>
      </c>
      <c r="AB658" s="25" t="str">
        <f aca="false">IF(ISNUMBER(A658),IFERROR(INDEX(設定!$F$4:$F$27,MATCH(K658,設定!$E$4:$E$27,0)),""),"")</f>
        <v/>
      </c>
    </row>
    <row r="659" customFormat="false" ht="15" hidden="false" customHeight="false" outlineLevel="0" collapsed="false">
      <c r="Z659" s="25" t="str">
        <f aca="false">IF(ISNUMBER(A659),IF(COUNTIF(祝日!$A:$A,A659)&gt;0,"祝",CHOOSE(WEEKDAY(A659,2),"月","火","水","木","金","土","日")),"")</f>
        <v/>
      </c>
      <c r="AA659" s="25" t="str">
        <f aca="false">IF(ISNUMBER(A659),IFERROR(INDEX(集計!$J$3:$J$33,MATCH(A659,集計!$B$3:$B$33,0)),0),"")</f>
        <v/>
      </c>
      <c r="AB659" s="25" t="str">
        <f aca="false">IF(ISNUMBER(A659),IFERROR(INDEX(設定!$F$4:$F$27,MATCH(K659,設定!$E$4:$E$27,0)),""),"")</f>
        <v/>
      </c>
    </row>
    <row r="660" customFormat="false" ht="15" hidden="false" customHeight="false" outlineLevel="0" collapsed="false">
      <c r="Z660" s="25" t="str">
        <f aca="false">IF(ISNUMBER(A660),IF(COUNTIF(祝日!$A:$A,A660)&gt;0,"祝",CHOOSE(WEEKDAY(A660,2),"月","火","水","木","金","土","日")),"")</f>
        <v/>
      </c>
      <c r="AA660" s="25" t="str">
        <f aca="false">IF(ISNUMBER(A660),IFERROR(INDEX(集計!$J$3:$J$33,MATCH(A660,集計!$B$3:$B$33,0)),0),"")</f>
        <v/>
      </c>
      <c r="AB660" s="25" t="str">
        <f aca="false">IF(ISNUMBER(A660),IFERROR(INDEX(設定!$F$4:$F$27,MATCH(K660,設定!$E$4:$E$27,0)),""),"")</f>
        <v/>
      </c>
    </row>
    <row r="661" customFormat="false" ht="15" hidden="false" customHeight="false" outlineLevel="0" collapsed="false">
      <c r="Z661" s="25" t="str">
        <f aca="false">IF(ISNUMBER(A661),IF(COUNTIF(祝日!$A:$A,A661)&gt;0,"祝",CHOOSE(WEEKDAY(A661,2),"月","火","水","木","金","土","日")),"")</f>
        <v/>
      </c>
      <c r="AA661" s="25" t="str">
        <f aca="false">IF(ISNUMBER(A661),IFERROR(INDEX(集計!$J$3:$J$33,MATCH(A661,集計!$B$3:$B$33,0)),0),"")</f>
        <v/>
      </c>
      <c r="AB661" s="25" t="str">
        <f aca="false">IF(ISNUMBER(A661),IFERROR(INDEX(設定!$F$4:$F$27,MATCH(K661,設定!$E$4:$E$27,0)),""),"")</f>
        <v/>
      </c>
    </row>
    <row r="662" customFormat="false" ht="15" hidden="false" customHeight="false" outlineLevel="0" collapsed="false">
      <c r="Z662" s="25" t="str">
        <f aca="false">IF(ISNUMBER(A662),IF(COUNTIF(祝日!$A:$A,A662)&gt;0,"祝",CHOOSE(WEEKDAY(A662,2),"月","火","水","木","金","土","日")),"")</f>
        <v/>
      </c>
      <c r="AA662" s="25" t="str">
        <f aca="false">IF(ISNUMBER(A662),IFERROR(INDEX(集計!$J$3:$J$33,MATCH(A662,集計!$B$3:$B$33,0)),0),"")</f>
        <v/>
      </c>
      <c r="AB662" s="25" t="str">
        <f aca="false">IF(ISNUMBER(A662),IFERROR(INDEX(設定!$F$4:$F$27,MATCH(K662,設定!$E$4:$E$27,0)),""),"")</f>
        <v/>
      </c>
    </row>
    <row r="663" customFormat="false" ht="15" hidden="false" customHeight="false" outlineLevel="0" collapsed="false">
      <c r="Z663" s="25" t="str">
        <f aca="false">IF(ISNUMBER(A663),IF(COUNTIF(祝日!$A:$A,A663)&gt;0,"祝",CHOOSE(WEEKDAY(A663,2),"月","火","水","木","金","土","日")),"")</f>
        <v/>
      </c>
      <c r="AA663" s="25" t="str">
        <f aca="false">IF(ISNUMBER(A663),IFERROR(INDEX(集計!$J$3:$J$33,MATCH(A663,集計!$B$3:$B$33,0)),0),"")</f>
        <v/>
      </c>
      <c r="AB663" s="25" t="str">
        <f aca="false">IF(ISNUMBER(A663),IFERROR(INDEX(設定!$F$4:$F$27,MATCH(K663,設定!$E$4:$E$27,0)),""),"")</f>
        <v/>
      </c>
    </row>
    <row r="664" customFormat="false" ht="15" hidden="false" customHeight="false" outlineLevel="0" collapsed="false">
      <c r="Z664" s="25" t="str">
        <f aca="false">IF(ISNUMBER(A664),IF(COUNTIF(祝日!$A:$A,A664)&gt;0,"祝",CHOOSE(WEEKDAY(A664,2),"月","火","水","木","金","土","日")),"")</f>
        <v/>
      </c>
      <c r="AA664" s="25" t="str">
        <f aca="false">IF(ISNUMBER(A664),IFERROR(INDEX(集計!$J$3:$J$33,MATCH(A664,集計!$B$3:$B$33,0)),0),"")</f>
        <v/>
      </c>
      <c r="AB664" s="25" t="str">
        <f aca="false">IF(ISNUMBER(A664),IFERROR(INDEX(設定!$F$4:$F$27,MATCH(K664,設定!$E$4:$E$27,0)),""),"")</f>
        <v/>
      </c>
    </row>
    <row r="665" customFormat="false" ht="15" hidden="false" customHeight="false" outlineLevel="0" collapsed="false">
      <c r="Z665" s="25" t="str">
        <f aca="false">IF(ISNUMBER(A665),IF(COUNTIF(祝日!$A:$A,A665)&gt;0,"祝",CHOOSE(WEEKDAY(A665,2),"月","火","水","木","金","土","日")),"")</f>
        <v/>
      </c>
      <c r="AA665" s="25" t="str">
        <f aca="false">IF(ISNUMBER(A665),IFERROR(INDEX(集計!$J$3:$J$33,MATCH(A665,集計!$B$3:$B$33,0)),0),"")</f>
        <v/>
      </c>
      <c r="AB665" s="25" t="str">
        <f aca="false">IF(ISNUMBER(A665),IFERROR(INDEX(設定!$F$4:$F$27,MATCH(K665,設定!$E$4:$E$27,0)),""),"")</f>
        <v/>
      </c>
    </row>
    <row r="666" customFormat="false" ht="15" hidden="false" customHeight="false" outlineLevel="0" collapsed="false">
      <c r="Z666" s="25" t="str">
        <f aca="false">IF(ISNUMBER(A666),IF(COUNTIF(祝日!$A:$A,A666)&gt;0,"祝",CHOOSE(WEEKDAY(A666,2),"月","火","水","木","金","土","日")),"")</f>
        <v/>
      </c>
      <c r="AA666" s="25" t="str">
        <f aca="false">IF(ISNUMBER(A666),IFERROR(INDEX(集計!$J$3:$J$33,MATCH(A666,集計!$B$3:$B$33,0)),0),"")</f>
        <v/>
      </c>
      <c r="AB666" s="25" t="str">
        <f aca="false">IF(ISNUMBER(A666),IFERROR(INDEX(設定!$F$4:$F$27,MATCH(K666,設定!$E$4:$E$27,0)),""),"")</f>
        <v/>
      </c>
    </row>
    <row r="667" customFormat="false" ht="15" hidden="false" customHeight="false" outlineLevel="0" collapsed="false">
      <c r="Z667" s="25" t="str">
        <f aca="false">IF(ISNUMBER(A667),IF(COUNTIF(祝日!$A:$A,A667)&gt;0,"祝",CHOOSE(WEEKDAY(A667,2),"月","火","水","木","金","土","日")),"")</f>
        <v/>
      </c>
      <c r="AA667" s="25" t="str">
        <f aca="false">IF(ISNUMBER(A667),IFERROR(INDEX(集計!$J$3:$J$33,MATCH(A667,集計!$B$3:$B$33,0)),0),"")</f>
        <v/>
      </c>
      <c r="AB667" s="25" t="str">
        <f aca="false">IF(ISNUMBER(A667),IFERROR(INDEX(設定!$F$4:$F$27,MATCH(K667,設定!$E$4:$E$27,0)),""),"")</f>
        <v/>
      </c>
    </row>
    <row r="668" customFormat="false" ht="15" hidden="false" customHeight="false" outlineLevel="0" collapsed="false">
      <c r="Z668" s="25" t="str">
        <f aca="false">IF(ISNUMBER(A668),IF(COUNTIF(祝日!$A:$A,A668)&gt;0,"祝",CHOOSE(WEEKDAY(A668,2),"月","火","水","木","金","土","日")),"")</f>
        <v/>
      </c>
      <c r="AA668" s="25" t="str">
        <f aca="false">IF(ISNUMBER(A668),IFERROR(INDEX(集計!$J$3:$J$33,MATCH(A668,集計!$B$3:$B$33,0)),0),"")</f>
        <v/>
      </c>
      <c r="AB668" s="25" t="str">
        <f aca="false">IF(ISNUMBER(A668),IFERROR(INDEX(設定!$F$4:$F$27,MATCH(K668,設定!$E$4:$E$27,0)),""),"")</f>
        <v/>
      </c>
    </row>
    <row r="669" customFormat="false" ht="15" hidden="false" customHeight="false" outlineLevel="0" collapsed="false">
      <c r="Z669" s="25" t="str">
        <f aca="false">IF(ISNUMBER(A669),IF(COUNTIF(祝日!$A:$A,A669)&gt;0,"祝",CHOOSE(WEEKDAY(A669,2),"月","火","水","木","金","土","日")),"")</f>
        <v/>
      </c>
      <c r="AA669" s="25" t="str">
        <f aca="false">IF(ISNUMBER(A669),IFERROR(INDEX(集計!$J$3:$J$33,MATCH(A669,集計!$B$3:$B$33,0)),0),"")</f>
        <v/>
      </c>
      <c r="AB669" s="25" t="str">
        <f aca="false">IF(ISNUMBER(A669),IFERROR(INDEX(設定!$F$4:$F$27,MATCH(K669,設定!$E$4:$E$27,0)),""),"")</f>
        <v/>
      </c>
    </row>
    <row r="670" customFormat="false" ht="15" hidden="false" customHeight="false" outlineLevel="0" collapsed="false">
      <c r="Z670" s="25" t="str">
        <f aca="false">IF(ISNUMBER(A670),IF(COUNTIF(祝日!$A:$A,A670)&gt;0,"祝",CHOOSE(WEEKDAY(A670,2),"月","火","水","木","金","土","日")),"")</f>
        <v/>
      </c>
      <c r="AA670" s="25" t="str">
        <f aca="false">IF(ISNUMBER(A670),IFERROR(INDEX(集計!$J$3:$J$33,MATCH(A670,集計!$B$3:$B$33,0)),0),"")</f>
        <v/>
      </c>
      <c r="AB670" s="25" t="str">
        <f aca="false">IF(ISNUMBER(A670),IFERROR(INDEX(設定!$F$4:$F$27,MATCH(K670,設定!$E$4:$E$27,0)),""),"")</f>
        <v/>
      </c>
    </row>
    <row r="671" customFormat="false" ht="15" hidden="false" customHeight="false" outlineLevel="0" collapsed="false">
      <c r="Z671" s="25" t="str">
        <f aca="false">IF(ISNUMBER(A671),IF(COUNTIF(祝日!$A:$A,A671)&gt;0,"祝",CHOOSE(WEEKDAY(A671,2),"月","火","水","木","金","土","日")),"")</f>
        <v/>
      </c>
      <c r="AA671" s="25" t="str">
        <f aca="false">IF(ISNUMBER(A671),IFERROR(INDEX(集計!$J$3:$J$33,MATCH(A671,集計!$B$3:$B$33,0)),0),"")</f>
        <v/>
      </c>
      <c r="AB671" s="25" t="str">
        <f aca="false">IF(ISNUMBER(A671),IFERROR(INDEX(設定!$F$4:$F$27,MATCH(K671,設定!$E$4:$E$27,0)),""),"")</f>
        <v/>
      </c>
    </row>
    <row r="672" customFormat="false" ht="15" hidden="false" customHeight="false" outlineLevel="0" collapsed="false">
      <c r="Z672" s="25" t="str">
        <f aca="false">IF(ISNUMBER(A672),IF(COUNTIF(祝日!$A:$A,A672)&gt;0,"祝",CHOOSE(WEEKDAY(A672,2),"月","火","水","木","金","土","日")),"")</f>
        <v/>
      </c>
      <c r="AA672" s="25" t="str">
        <f aca="false">IF(ISNUMBER(A672),IFERROR(INDEX(集計!$J$3:$J$33,MATCH(A672,集計!$B$3:$B$33,0)),0),"")</f>
        <v/>
      </c>
      <c r="AB672" s="25" t="str">
        <f aca="false">IF(ISNUMBER(A672),IFERROR(INDEX(設定!$F$4:$F$27,MATCH(K672,設定!$E$4:$E$27,0)),""),"")</f>
        <v/>
      </c>
    </row>
    <row r="673" customFormat="false" ht="15" hidden="false" customHeight="false" outlineLevel="0" collapsed="false">
      <c r="Z673" s="25" t="str">
        <f aca="false">IF(ISNUMBER(A673),IF(COUNTIF(祝日!$A:$A,A673)&gt;0,"祝",CHOOSE(WEEKDAY(A673,2),"月","火","水","木","金","土","日")),"")</f>
        <v/>
      </c>
      <c r="AA673" s="25" t="str">
        <f aca="false">IF(ISNUMBER(A673),IFERROR(INDEX(集計!$J$3:$J$33,MATCH(A673,集計!$B$3:$B$33,0)),0),"")</f>
        <v/>
      </c>
      <c r="AB673" s="25" t="str">
        <f aca="false">IF(ISNUMBER(A673),IFERROR(INDEX(設定!$F$4:$F$27,MATCH(K673,設定!$E$4:$E$27,0)),""),"")</f>
        <v/>
      </c>
    </row>
    <row r="674" customFormat="false" ht="15" hidden="false" customHeight="false" outlineLevel="0" collapsed="false">
      <c r="Z674" s="25" t="str">
        <f aca="false">IF(ISNUMBER(A674),IF(COUNTIF(祝日!$A:$A,A674)&gt;0,"祝",CHOOSE(WEEKDAY(A674,2),"月","火","水","木","金","土","日")),"")</f>
        <v/>
      </c>
      <c r="AA674" s="25" t="str">
        <f aca="false">IF(ISNUMBER(A674),IFERROR(INDEX(集計!$J$3:$J$33,MATCH(A674,集計!$B$3:$B$33,0)),0),"")</f>
        <v/>
      </c>
      <c r="AB674" s="25" t="str">
        <f aca="false">IF(ISNUMBER(A674),IFERROR(INDEX(設定!$F$4:$F$27,MATCH(K674,設定!$E$4:$E$27,0)),""),"")</f>
        <v/>
      </c>
    </row>
    <row r="675" customFormat="false" ht="15" hidden="false" customHeight="false" outlineLevel="0" collapsed="false">
      <c r="Z675" s="25" t="str">
        <f aca="false">IF(ISNUMBER(A675),IF(COUNTIF(祝日!$A:$A,A675)&gt;0,"祝",CHOOSE(WEEKDAY(A675,2),"月","火","水","木","金","土","日")),"")</f>
        <v/>
      </c>
      <c r="AA675" s="25" t="str">
        <f aca="false">IF(ISNUMBER(A675),IFERROR(INDEX(集計!$J$3:$J$33,MATCH(A675,集計!$B$3:$B$33,0)),0),"")</f>
        <v/>
      </c>
      <c r="AB675" s="25" t="str">
        <f aca="false">IF(ISNUMBER(A675),IFERROR(INDEX(設定!$F$4:$F$27,MATCH(K675,設定!$E$4:$E$27,0)),""),"")</f>
        <v/>
      </c>
    </row>
    <row r="676" customFormat="false" ht="15" hidden="false" customHeight="false" outlineLevel="0" collapsed="false">
      <c r="Z676" s="25" t="str">
        <f aca="false">IF(ISNUMBER(A676),IF(COUNTIF(祝日!$A:$A,A676)&gt;0,"祝",CHOOSE(WEEKDAY(A676,2),"月","火","水","木","金","土","日")),"")</f>
        <v/>
      </c>
      <c r="AA676" s="25" t="str">
        <f aca="false">IF(ISNUMBER(A676),IFERROR(INDEX(集計!$J$3:$J$33,MATCH(A676,集計!$B$3:$B$33,0)),0),"")</f>
        <v/>
      </c>
      <c r="AB676" s="25" t="str">
        <f aca="false">IF(ISNUMBER(A676),IFERROR(INDEX(設定!$F$4:$F$27,MATCH(K676,設定!$E$4:$E$27,0)),""),"")</f>
        <v/>
      </c>
    </row>
    <row r="677" customFormat="false" ht="15" hidden="false" customHeight="false" outlineLevel="0" collapsed="false">
      <c r="Z677" s="25" t="str">
        <f aca="false">IF(ISNUMBER(A677),IF(COUNTIF(祝日!$A:$A,A677)&gt;0,"祝",CHOOSE(WEEKDAY(A677,2),"月","火","水","木","金","土","日")),"")</f>
        <v/>
      </c>
      <c r="AA677" s="25" t="str">
        <f aca="false">IF(ISNUMBER(A677),IFERROR(INDEX(集計!$J$3:$J$33,MATCH(A677,集計!$B$3:$B$33,0)),0),"")</f>
        <v/>
      </c>
      <c r="AB677" s="25" t="str">
        <f aca="false">IF(ISNUMBER(A677),IFERROR(INDEX(設定!$F$4:$F$27,MATCH(K677,設定!$E$4:$E$27,0)),""),"")</f>
        <v/>
      </c>
    </row>
    <row r="678" customFormat="false" ht="15" hidden="false" customHeight="false" outlineLevel="0" collapsed="false">
      <c r="Z678" s="25" t="str">
        <f aca="false">IF(ISNUMBER(A678),IF(COUNTIF(祝日!$A:$A,A678)&gt;0,"祝",CHOOSE(WEEKDAY(A678,2),"月","火","水","木","金","土","日")),"")</f>
        <v/>
      </c>
      <c r="AA678" s="25" t="str">
        <f aca="false">IF(ISNUMBER(A678),IFERROR(INDEX(集計!$J$3:$J$33,MATCH(A678,集計!$B$3:$B$33,0)),0),"")</f>
        <v/>
      </c>
      <c r="AB678" s="25" t="str">
        <f aca="false">IF(ISNUMBER(A678),IFERROR(INDEX(設定!$F$4:$F$27,MATCH(K678,設定!$E$4:$E$27,0)),""),"")</f>
        <v/>
      </c>
    </row>
    <row r="679" customFormat="false" ht="15" hidden="false" customHeight="false" outlineLevel="0" collapsed="false">
      <c r="Z679" s="25" t="str">
        <f aca="false">IF(ISNUMBER(A679),IF(COUNTIF(祝日!$A:$A,A679)&gt;0,"祝",CHOOSE(WEEKDAY(A679,2),"月","火","水","木","金","土","日")),"")</f>
        <v/>
      </c>
      <c r="AA679" s="25" t="str">
        <f aca="false">IF(ISNUMBER(A679),IFERROR(INDEX(集計!$J$3:$J$33,MATCH(A679,集計!$B$3:$B$33,0)),0),"")</f>
        <v/>
      </c>
      <c r="AB679" s="25" t="str">
        <f aca="false">IF(ISNUMBER(A679),IFERROR(INDEX(設定!$F$4:$F$27,MATCH(K679,設定!$E$4:$E$27,0)),""),"")</f>
        <v/>
      </c>
    </row>
    <row r="680" customFormat="false" ht="15" hidden="false" customHeight="false" outlineLevel="0" collapsed="false">
      <c r="Z680" s="25" t="str">
        <f aca="false">IF(ISNUMBER(A680),IF(COUNTIF(祝日!$A:$A,A680)&gt;0,"祝",CHOOSE(WEEKDAY(A680,2),"月","火","水","木","金","土","日")),"")</f>
        <v/>
      </c>
      <c r="AA680" s="25" t="str">
        <f aca="false">IF(ISNUMBER(A680),IFERROR(INDEX(集計!$J$3:$J$33,MATCH(A680,集計!$B$3:$B$33,0)),0),"")</f>
        <v/>
      </c>
      <c r="AB680" s="25" t="str">
        <f aca="false">IF(ISNUMBER(A680),IFERROR(INDEX(設定!$F$4:$F$27,MATCH(K680,設定!$E$4:$E$27,0)),""),"")</f>
        <v/>
      </c>
    </row>
    <row r="681" customFormat="false" ht="15" hidden="false" customHeight="false" outlineLevel="0" collapsed="false">
      <c r="Z681" s="25" t="str">
        <f aca="false">IF(ISNUMBER(A681),IF(COUNTIF(祝日!$A:$A,A681)&gt;0,"祝",CHOOSE(WEEKDAY(A681,2),"月","火","水","木","金","土","日")),"")</f>
        <v/>
      </c>
      <c r="AA681" s="25" t="str">
        <f aca="false">IF(ISNUMBER(A681),IFERROR(INDEX(集計!$J$3:$J$33,MATCH(A681,集計!$B$3:$B$33,0)),0),"")</f>
        <v/>
      </c>
      <c r="AB681" s="25" t="str">
        <f aca="false">IF(ISNUMBER(A681),IFERROR(INDEX(設定!$F$4:$F$27,MATCH(K681,設定!$E$4:$E$27,0)),""),"")</f>
        <v/>
      </c>
    </row>
    <row r="682" customFormat="false" ht="15" hidden="false" customHeight="false" outlineLevel="0" collapsed="false">
      <c r="Z682" s="25" t="str">
        <f aca="false">IF(ISNUMBER(A682),IF(COUNTIF(祝日!$A:$A,A682)&gt;0,"祝",CHOOSE(WEEKDAY(A682,2),"月","火","水","木","金","土","日")),"")</f>
        <v/>
      </c>
      <c r="AA682" s="25" t="str">
        <f aca="false">IF(ISNUMBER(A682),IFERROR(INDEX(集計!$J$3:$J$33,MATCH(A682,集計!$B$3:$B$33,0)),0),"")</f>
        <v/>
      </c>
      <c r="AB682" s="25" t="str">
        <f aca="false">IF(ISNUMBER(A682),IFERROR(INDEX(設定!$F$4:$F$27,MATCH(K682,設定!$E$4:$E$27,0)),""),"")</f>
        <v/>
      </c>
    </row>
    <row r="683" customFormat="false" ht="15" hidden="false" customHeight="false" outlineLevel="0" collapsed="false">
      <c r="Z683" s="25" t="str">
        <f aca="false">IF(ISNUMBER(A683),IF(COUNTIF(祝日!$A:$A,A683)&gt;0,"祝",CHOOSE(WEEKDAY(A683,2),"月","火","水","木","金","土","日")),"")</f>
        <v/>
      </c>
      <c r="AA683" s="25" t="str">
        <f aca="false">IF(ISNUMBER(A683),IFERROR(INDEX(集計!$J$3:$J$33,MATCH(A683,集計!$B$3:$B$33,0)),0),"")</f>
        <v/>
      </c>
      <c r="AB683" s="25" t="str">
        <f aca="false">IF(ISNUMBER(A683),IFERROR(INDEX(設定!$F$4:$F$27,MATCH(K683,設定!$E$4:$E$27,0)),""),"")</f>
        <v/>
      </c>
    </row>
    <row r="684" customFormat="false" ht="15" hidden="false" customHeight="false" outlineLevel="0" collapsed="false">
      <c r="Z684" s="25" t="str">
        <f aca="false">IF(ISNUMBER(A684),IF(COUNTIF(祝日!$A:$A,A684)&gt;0,"祝",CHOOSE(WEEKDAY(A684,2),"月","火","水","木","金","土","日")),"")</f>
        <v/>
      </c>
      <c r="AA684" s="25" t="str">
        <f aca="false">IF(ISNUMBER(A684),IFERROR(INDEX(集計!$J$3:$J$33,MATCH(A684,集計!$B$3:$B$33,0)),0),"")</f>
        <v/>
      </c>
      <c r="AB684" s="25" t="str">
        <f aca="false">IF(ISNUMBER(A684),IFERROR(INDEX(設定!$F$4:$F$27,MATCH(K684,設定!$E$4:$E$27,0)),""),"")</f>
        <v/>
      </c>
    </row>
    <row r="685" customFormat="false" ht="15" hidden="false" customHeight="false" outlineLevel="0" collapsed="false">
      <c r="Z685" s="25" t="str">
        <f aca="false">IF(ISNUMBER(A685),IF(COUNTIF(祝日!$A:$A,A685)&gt;0,"祝",CHOOSE(WEEKDAY(A685,2),"月","火","水","木","金","土","日")),"")</f>
        <v/>
      </c>
      <c r="AA685" s="25" t="str">
        <f aca="false">IF(ISNUMBER(A685),IFERROR(INDEX(集計!$J$3:$J$33,MATCH(A685,集計!$B$3:$B$33,0)),0),"")</f>
        <v/>
      </c>
      <c r="AB685" s="25" t="str">
        <f aca="false">IF(ISNUMBER(A685),IFERROR(INDEX(設定!$F$4:$F$27,MATCH(K685,設定!$E$4:$E$27,0)),""),"")</f>
        <v/>
      </c>
    </row>
    <row r="686" customFormat="false" ht="15" hidden="false" customHeight="false" outlineLevel="0" collapsed="false">
      <c r="Z686" s="25" t="str">
        <f aca="false">IF(ISNUMBER(A686),IF(COUNTIF(祝日!$A:$A,A686)&gt;0,"祝",CHOOSE(WEEKDAY(A686,2),"月","火","水","木","金","土","日")),"")</f>
        <v/>
      </c>
      <c r="AA686" s="25" t="str">
        <f aca="false">IF(ISNUMBER(A686),IFERROR(INDEX(集計!$J$3:$J$33,MATCH(A686,集計!$B$3:$B$33,0)),0),"")</f>
        <v/>
      </c>
      <c r="AB686" s="25" t="str">
        <f aca="false">IF(ISNUMBER(A686),IFERROR(INDEX(設定!$F$4:$F$27,MATCH(K686,設定!$E$4:$E$27,0)),""),"")</f>
        <v/>
      </c>
    </row>
    <row r="687" customFormat="false" ht="15" hidden="false" customHeight="false" outlineLevel="0" collapsed="false">
      <c r="Z687" s="25" t="str">
        <f aca="false">IF(ISNUMBER(A687),IF(COUNTIF(祝日!$A:$A,A687)&gt;0,"祝",CHOOSE(WEEKDAY(A687,2),"月","火","水","木","金","土","日")),"")</f>
        <v/>
      </c>
      <c r="AA687" s="25" t="str">
        <f aca="false">IF(ISNUMBER(A687),IFERROR(INDEX(集計!$J$3:$J$33,MATCH(A687,集計!$B$3:$B$33,0)),0),"")</f>
        <v/>
      </c>
      <c r="AB687" s="25" t="str">
        <f aca="false">IF(ISNUMBER(A687),IFERROR(INDEX(設定!$F$4:$F$27,MATCH(K687,設定!$E$4:$E$27,0)),""),"")</f>
        <v/>
      </c>
    </row>
    <row r="688" customFormat="false" ht="15" hidden="false" customHeight="false" outlineLevel="0" collapsed="false">
      <c r="Z688" s="25" t="str">
        <f aca="false">IF(ISNUMBER(A688),IF(COUNTIF(祝日!$A:$A,A688)&gt;0,"祝",CHOOSE(WEEKDAY(A688,2),"月","火","水","木","金","土","日")),"")</f>
        <v/>
      </c>
      <c r="AA688" s="25" t="str">
        <f aca="false">IF(ISNUMBER(A688),IFERROR(INDEX(集計!$J$3:$J$33,MATCH(A688,集計!$B$3:$B$33,0)),0),"")</f>
        <v/>
      </c>
      <c r="AB688" s="25" t="str">
        <f aca="false">IF(ISNUMBER(A688),IFERROR(INDEX(設定!$F$4:$F$27,MATCH(K688,設定!$E$4:$E$27,0)),""),"")</f>
        <v/>
      </c>
    </row>
    <row r="689" customFormat="false" ht="15" hidden="false" customHeight="false" outlineLevel="0" collapsed="false">
      <c r="Z689" s="25" t="str">
        <f aca="false">IF(ISNUMBER(A689),IF(COUNTIF(祝日!$A:$A,A689)&gt;0,"祝",CHOOSE(WEEKDAY(A689,2),"月","火","水","木","金","土","日")),"")</f>
        <v/>
      </c>
      <c r="AA689" s="25" t="str">
        <f aca="false">IF(ISNUMBER(A689),IFERROR(INDEX(集計!$J$3:$J$33,MATCH(A689,集計!$B$3:$B$33,0)),0),"")</f>
        <v/>
      </c>
      <c r="AB689" s="25" t="str">
        <f aca="false">IF(ISNUMBER(A689),IFERROR(INDEX(設定!$F$4:$F$27,MATCH(K689,設定!$E$4:$E$27,0)),""),"")</f>
        <v/>
      </c>
    </row>
    <row r="690" customFormat="false" ht="15" hidden="false" customHeight="false" outlineLevel="0" collapsed="false">
      <c r="Z690" s="25" t="str">
        <f aca="false">IF(ISNUMBER(A690),IF(COUNTIF(祝日!$A:$A,A690)&gt;0,"祝",CHOOSE(WEEKDAY(A690,2),"月","火","水","木","金","土","日")),"")</f>
        <v/>
      </c>
      <c r="AA690" s="25" t="str">
        <f aca="false">IF(ISNUMBER(A690),IFERROR(INDEX(集計!$J$3:$J$33,MATCH(A690,集計!$B$3:$B$33,0)),0),"")</f>
        <v/>
      </c>
      <c r="AB690" s="25" t="str">
        <f aca="false">IF(ISNUMBER(A690),IFERROR(INDEX(設定!$F$4:$F$27,MATCH(K690,設定!$E$4:$E$27,0)),""),"")</f>
        <v/>
      </c>
    </row>
    <row r="691" customFormat="false" ht="15" hidden="false" customHeight="false" outlineLevel="0" collapsed="false">
      <c r="Z691" s="25" t="str">
        <f aca="false">IF(ISNUMBER(A691),IF(COUNTIF(祝日!$A:$A,A691)&gt;0,"祝",CHOOSE(WEEKDAY(A691,2),"月","火","水","木","金","土","日")),"")</f>
        <v/>
      </c>
      <c r="AA691" s="25" t="str">
        <f aca="false">IF(ISNUMBER(A691),IFERROR(INDEX(集計!$J$3:$J$33,MATCH(A691,集計!$B$3:$B$33,0)),0),"")</f>
        <v/>
      </c>
      <c r="AB691" s="25" t="str">
        <f aca="false">IF(ISNUMBER(A691),IFERROR(INDEX(設定!$F$4:$F$27,MATCH(K691,設定!$E$4:$E$27,0)),""),"")</f>
        <v/>
      </c>
    </row>
    <row r="692" customFormat="false" ht="15" hidden="false" customHeight="false" outlineLevel="0" collapsed="false">
      <c r="Z692" s="25" t="str">
        <f aca="false">IF(ISNUMBER(A692),IF(COUNTIF(祝日!$A:$A,A692)&gt;0,"祝",CHOOSE(WEEKDAY(A692,2),"月","火","水","木","金","土","日")),"")</f>
        <v/>
      </c>
      <c r="AA692" s="25" t="str">
        <f aca="false">IF(ISNUMBER(A692),IFERROR(INDEX(集計!$J$3:$J$33,MATCH(A692,集計!$B$3:$B$33,0)),0),"")</f>
        <v/>
      </c>
      <c r="AB692" s="25" t="str">
        <f aca="false">IF(ISNUMBER(A692),IFERROR(INDEX(設定!$F$4:$F$27,MATCH(K692,設定!$E$4:$E$27,0)),""),"")</f>
        <v/>
      </c>
    </row>
    <row r="693" customFormat="false" ht="15" hidden="false" customHeight="false" outlineLevel="0" collapsed="false">
      <c r="Z693" s="25" t="str">
        <f aca="false">IF(ISNUMBER(A693),IF(COUNTIF(祝日!$A:$A,A693)&gt;0,"祝",CHOOSE(WEEKDAY(A693,2),"月","火","水","木","金","土","日")),"")</f>
        <v/>
      </c>
      <c r="AA693" s="25" t="str">
        <f aca="false">IF(ISNUMBER(A693),IFERROR(INDEX(集計!$J$3:$J$33,MATCH(A693,集計!$B$3:$B$33,0)),0),"")</f>
        <v/>
      </c>
      <c r="AB693" s="25" t="str">
        <f aca="false">IF(ISNUMBER(A693),IFERROR(INDEX(設定!$F$4:$F$27,MATCH(K693,設定!$E$4:$E$27,0)),""),"")</f>
        <v/>
      </c>
    </row>
    <row r="694" customFormat="false" ht="15" hidden="false" customHeight="false" outlineLevel="0" collapsed="false">
      <c r="Z694" s="25" t="str">
        <f aca="false">IF(ISNUMBER(A694),IF(COUNTIF(祝日!$A:$A,A694)&gt;0,"祝",CHOOSE(WEEKDAY(A694,2),"月","火","水","木","金","土","日")),"")</f>
        <v/>
      </c>
      <c r="AA694" s="25" t="str">
        <f aca="false">IF(ISNUMBER(A694),IFERROR(INDEX(集計!$J$3:$J$33,MATCH(A694,集計!$B$3:$B$33,0)),0),"")</f>
        <v/>
      </c>
      <c r="AB694" s="25" t="str">
        <f aca="false">IF(ISNUMBER(A694),IFERROR(INDEX(設定!$F$4:$F$27,MATCH(K694,設定!$E$4:$E$27,0)),""),"")</f>
        <v/>
      </c>
    </row>
    <row r="695" customFormat="false" ht="15" hidden="false" customHeight="false" outlineLevel="0" collapsed="false">
      <c r="Z695" s="25" t="str">
        <f aca="false">IF(ISNUMBER(A695),IF(COUNTIF(祝日!$A:$A,A695)&gt;0,"祝",CHOOSE(WEEKDAY(A695,2),"月","火","水","木","金","土","日")),"")</f>
        <v/>
      </c>
      <c r="AA695" s="25" t="str">
        <f aca="false">IF(ISNUMBER(A695),IFERROR(INDEX(集計!$J$3:$J$33,MATCH(A695,集計!$B$3:$B$33,0)),0),"")</f>
        <v/>
      </c>
      <c r="AB695" s="25" t="str">
        <f aca="false">IF(ISNUMBER(A695),IFERROR(INDEX(設定!$F$4:$F$27,MATCH(K695,設定!$E$4:$E$27,0)),""),"")</f>
        <v/>
      </c>
    </row>
    <row r="696" customFormat="false" ht="15" hidden="false" customHeight="false" outlineLevel="0" collapsed="false">
      <c r="Z696" s="25" t="str">
        <f aca="false">IF(ISNUMBER(A696),IF(COUNTIF(祝日!$A:$A,A696)&gt;0,"祝",CHOOSE(WEEKDAY(A696,2),"月","火","水","木","金","土","日")),"")</f>
        <v/>
      </c>
      <c r="AA696" s="25" t="str">
        <f aca="false">IF(ISNUMBER(A696),IFERROR(INDEX(集計!$J$3:$J$33,MATCH(A696,集計!$B$3:$B$33,0)),0),"")</f>
        <v/>
      </c>
      <c r="AB696" s="25" t="str">
        <f aca="false">IF(ISNUMBER(A696),IFERROR(INDEX(設定!$F$4:$F$27,MATCH(K696,設定!$E$4:$E$27,0)),""),"")</f>
        <v/>
      </c>
    </row>
    <row r="697" customFormat="false" ht="15" hidden="false" customHeight="false" outlineLevel="0" collapsed="false">
      <c r="Z697" s="25" t="str">
        <f aca="false">IF(ISNUMBER(A697),IF(COUNTIF(祝日!$A:$A,A697)&gt;0,"祝",CHOOSE(WEEKDAY(A697,2),"月","火","水","木","金","土","日")),"")</f>
        <v/>
      </c>
      <c r="AA697" s="25" t="str">
        <f aca="false">IF(ISNUMBER(A697),IFERROR(INDEX(集計!$J$3:$J$33,MATCH(A697,集計!$B$3:$B$33,0)),0),"")</f>
        <v/>
      </c>
      <c r="AB697" s="25" t="str">
        <f aca="false">IF(ISNUMBER(A697),IFERROR(INDEX(設定!$F$4:$F$27,MATCH(K697,設定!$E$4:$E$27,0)),""),"")</f>
        <v/>
      </c>
    </row>
    <row r="698" customFormat="false" ht="15" hidden="false" customHeight="false" outlineLevel="0" collapsed="false">
      <c r="Z698" s="25" t="str">
        <f aca="false">IF(ISNUMBER(A698),IF(COUNTIF(祝日!$A:$A,A698)&gt;0,"祝",CHOOSE(WEEKDAY(A698,2),"月","火","水","木","金","土","日")),"")</f>
        <v/>
      </c>
      <c r="AA698" s="25" t="str">
        <f aca="false">IF(ISNUMBER(A698),IFERROR(INDEX(集計!$J$3:$J$33,MATCH(A698,集計!$B$3:$B$33,0)),0),"")</f>
        <v/>
      </c>
      <c r="AB698" s="25" t="str">
        <f aca="false">IF(ISNUMBER(A698),IFERROR(INDEX(設定!$F$4:$F$27,MATCH(K698,設定!$E$4:$E$27,0)),""),"")</f>
        <v/>
      </c>
    </row>
    <row r="699" customFormat="false" ht="15" hidden="false" customHeight="false" outlineLevel="0" collapsed="false">
      <c r="Z699" s="25" t="str">
        <f aca="false">IF(ISNUMBER(A699),IF(COUNTIF(祝日!$A:$A,A699)&gt;0,"祝",CHOOSE(WEEKDAY(A699,2),"月","火","水","木","金","土","日")),"")</f>
        <v/>
      </c>
      <c r="AA699" s="25" t="str">
        <f aca="false">IF(ISNUMBER(A699),IFERROR(INDEX(集計!$J$3:$J$33,MATCH(A699,集計!$B$3:$B$33,0)),0),"")</f>
        <v/>
      </c>
      <c r="AB699" s="25" t="str">
        <f aca="false">IF(ISNUMBER(A699),IFERROR(INDEX(設定!$F$4:$F$27,MATCH(K699,設定!$E$4:$E$27,0)),""),"")</f>
        <v/>
      </c>
    </row>
    <row r="700" customFormat="false" ht="15" hidden="false" customHeight="false" outlineLevel="0" collapsed="false">
      <c r="Z700" s="25" t="str">
        <f aca="false">IF(ISNUMBER(A700),IF(COUNTIF(祝日!$A:$A,A700)&gt;0,"祝",CHOOSE(WEEKDAY(A700,2),"月","火","水","木","金","土","日")),"")</f>
        <v/>
      </c>
      <c r="AA700" s="25" t="str">
        <f aca="false">IF(ISNUMBER(A700),IFERROR(INDEX(集計!$J$3:$J$33,MATCH(A700,集計!$B$3:$B$33,0)),0),"")</f>
        <v/>
      </c>
      <c r="AB700" s="25" t="str">
        <f aca="false">IF(ISNUMBER(A700),IFERROR(INDEX(設定!$F$4:$F$27,MATCH(K700,設定!$E$4:$E$27,0)),""),"")</f>
        <v/>
      </c>
    </row>
    <row r="701" customFormat="false" ht="15" hidden="false" customHeight="false" outlineLevel="0" collapsed="false">
      <c r="Z701" s="25" t="str">
        <f aca="false">IF(ISNUMBER(A701),IF(COUNTIF(祝日!$A:$A,A701)&gt;0,"祝",CHOOSE(WEEKDAY(A701,2),"月","火","水","木","金","土","日")),"")</f>
        <v/>
      </c>
      <c r="AA701" s="25" t="str">
        <f aca="false">IF(ISNUMBER(A701),IFERROR(INDEX(集計!$J$3:$J$33,MATCH(A701,集計!$B$3:$B$33,0)),0),"")</f>
        <v/>
      </c>
      <c r="AB701" s="25" t="str">
        <f aca="false">IF(ISNUMBER(A701),IFERROR(INDEX(設定!$F$4:$F$27,MATCH(K701,設定!$E$4:$E$27,0)),""),"")</f>
        <v/>
      </c>
    </row>
    <row r="702" customFormat="false" ht="15" hidden="false" customHeight="false" outlineLevel="0" collapsed="false">
      <c r="Z702" s="25" t="str">
        <f aca="false">IF(ISNUMBER(A702),IF(COUNTIF(祝日!$A:$A,A702)&gt;0,"祝",CHOOSE(WEEKDAY(A702,2),"月","火","水","木","金","土","日")),"")</f>
        <v/>
      </c>
      <c r="AA702" s="25" t="str">
        <f aca="false">IF(ISNUMBER(A702),IFERROR(INDEX(集計!$J$3:$J$33,MATCH(A702,集計!$B$3:$B$33,0)),0),"")</f>
        <v/>
      </c>
      <c r="AB702" s="25" t="str">
        <f aca="false">IF(ISNUMBER(A702),IFERROR(INDEX(設定!$F$4:$F$27,MATCH(K702,設定!$E$4:$E$27,0)),""),"")</f>
        <v/>
      </c>
    </row>
    <row r="703" customFormat="false" ht="15" hidden="false" customHeight="false" outlineLevel="0" collapsed="false">
      <c r="Z703" s="25" t="str">
        <f aca="false">IF(ISNUMBER(A703),IF(COUNTIF(祝日!$A:$A,A703)&gt;0,"祝",CHOOSE(WEEKDAY(A703,2),"月","火","水","木","金","土","日")),"")</f>
        <v/>
      </c>
      <c r="AA703" s="25" t="str">
        <f aca="false">IF(ISNUMBER(A703),IFERROR(INDEX(集計!$J$3:$J$33,MATCH(A703,集計!$B$3:$B$33,0)),0),"")</f>
        <v/>
      </c>
      <c r="AB703" s="25" t="str">
        <f aca="false">IF(ISNUMBER(A703),IFERROR(INDEX(設定!$F$4:$F$27,MATCH(K703,設定!$E$4:$E$27,0)),""),"")</f>
        <v/>
      </c>
    </row>
    <row r="704" customFormat="false" ht="15" hidden="false" customHeight="false" outlineLevel="0" collapsed="false">
      <c r="Z704" s="25" t="str">
        <f aca="false">IF(ISNUMBER(A704),IF(COUNTIF(祝日!$A:$A,A704)&gt;0,"祝",CHOOSE(WEEKDAY(A704,2),"月","火","水","木","金","土","日")),"")</f>
        <v/>
      </c>
      <c r="AA704" s="25" t="str">
        <f aca="false">IF(ISNUMBER(A704),IFERROR(INDEX(集計!$J$3:$J$33,MATCH(A704,集計!$B$3:$B$33,0)),0),"")</f>
        <v/>
      </c>
      <c r="AB704" s="25" t="str">
        <f aca="false">IF(ISNUMBER(A704),IFERROR(INDEX(設定!$F$4:$F$27,MATCH(K704,設定!$E$4:$E$27,0)),""),"")</f>
        <v/>
      </c>
    </row>
    <row r="705" customFormat="false" ht="15" hidden="false" customHeight="false" outlineLevel="0" collapsed="false">
      <c r="Z705" s="25" t="str">
        <f aca="false">IF(ISNUMBER(A705),IF(COUNTIF(祝日!$A:$A,A705)&gt;0,"祝",CHOOSE(WEEKDAY(A705,2),"月","火","水","木","金","土","日")),"")</f>
        <v/>
      </c>
      <c r="AA705" s="25" t="str">
        <f aca="false">IF(ISNUMBER(A705),IFERROR(INDEX(集計!$J$3:$J$33,MATCH(A705,集計!$B$3:$B$33,0)),0),"")</f>
        <v/>
      </c>
      <c r="AB705" s="25" t="str">
        <f aca="false">IF(ISNUMBER(A705),IFERROR(INDEX(設定!$F$4:$F$27,MATCH(K705,設定!$E$4:$E$27,0)),""),"")</f>
        <v/>
      </c>
    </row>
    <row r="706" customFormat="false" ht="15" hidden="false" customHeight="false" outlineLevel="0" collapsed="false">
      <c r="Z706" s="25" t="str">
        <f aca="false">IF(ISNUMBER(A706),IF(COUNTIF(祝日!$A:$A,A706)&gt;0,"祝",CHOOSE(WEEKDAY(A706,2),"月","火","水","木","金","土","日")),"")</f>
        <v/>
      </c>
      <c r="AA706" s="25" t="str">
        <f aca="false">IF(ISNUMBER(A706),IFERROR(INDEX(集計!$J$3:$J$33,MATCH(A706,集計!$B$3:$B$33,0)),0),"")</f>
        <v/>
      </c>
      <c r="AB706" s="25" t="str">
        <f aca="false">IF(ISNUMBER(A706),IFERROR(INDEX(設定!$F$4:$F$27,MATCH(K706,設定!$E$4:$E$27,0)),""),"")</f>
        <v/>
      </c>
    </row>
    <row r="707" customFormat="false" ht="15" hidden="false" customHeight="false" outlineLevel="0" collapsed="false">
      <c r="Z707" s="25" t="str">
        <f aca="false">IF(ISNUMBER(A707),IF(COUNTIF(祝日!$A:$A,A707)&gt;0,"祝",CHOOSE(WEEKDAY(A707,2),"月","火","水","木","金","土","日")),"")</f>
        <v/>
      </c>
      <c r="AA707" s="25" t="str">
        <f aca="false">IF(ISNUMBER(A707),IFERROR(INDEX(集計!$J$3:$J$33,MATCH(A707,集計!$B$3:$B$33,0)),0),"")</f>
        <v/>
      </c>
      <c r="AB707" s="25" t="str">
        <f aca="false">IF(ISNUMBER(A707),IFERROR(INDEX(設定!$F$4:$F$27,MATCH(K707,設定!$E$4:$E$27,0)),""),"")</f>
        <v/>
      </c>
    </row>
    <row r="708" customFormat="false" ht="15" hidden="false" customHeight="false" outlineLevel="0" collapsed="false">
      <c r="Z708" s="25" t="str">
        <f aca="false">IF(ISNUMBER(A708),IF(COUNTIF(祝日!$A:$A,A708)&gt;0,"祝",CHOOSE(WEEKDAY(A708,2),"月","火","水","木","金","土","日")),"")</f>
        <v/>
      </c>
      <c r="AA708" s="25" t="str">
        <f aca="false">IF(ISNUMBER(A708),IFERROR(INDEX(集計!$J$3:$J$33,MATCH(A708,集計!$B$3:$B$33,0)),0),"")</f>
        <v/>
      </c>
      <c r="AB708" s="25" t="str">
        <f aca="false">IF(ISNUMBER(A708),IFERROR(INDEX(設定!$F$4:$F$27,MATCH(K708,設定!$E$4:$E$27,0)),""),"")</f>
        <v/>
      </c>
    </row>
    <row r="709" customFormat="false" ht="15" hidden="false" customHeight="false" outlineLevel="0" collapsed="false">
      <c r="Z709" s="25" t="str">
        <f aca="false">IF(ISNUMBER(A709),IF(COUNTIF(祝日!$A:$A,A709)&gt;0,"祝",CHOOSE(WEEKDAY(A709,2),"月","火","水","木","金","土","日")),"")</f>
        <v/>
      </c>
      <c r="AA709" s="25" t="str">
        <f aca="false">IF(ISNUMBER(A709),IFERROR(INDEX(集計!$J$3:$J$33,MATCH(A709,集計!$B$3:$B$33,0)),0),"")</f>
        <v/>
      </c>
      <c r="AB709" s="25" t="str">
        <f aca="false">IF(ISNUMBER(A709),IFERROR(INDEX(設定!$F$4:$F$27,MATCH(K709,設定!$E$4:$E$27,0)),""),"")</f>
        <v/>
      </c>
    </row>
    <row r="710" customFormat="false" ht="15" hidden="false" customHeight="false" outlineLevel="0" collapsed="false">
      <c r="Z710" s="25" t="str">
        <f aca="false">IF(ISNUMBER(A710),IF(COUNTIF(祝日!$A:$A,A710)&gt;0,"祝",CHOOSE(WEEKDAY(A710,2),"月","火","水","木","金","土","日")),"")</f>
        <v/>
      </c>
      <c r="AA710" s="25" t="str">
        <f aca="false">IF(ISNUMBER(A710),IFERROR(INDEX(集計!$J$3:$J$33,MATCH(A710,集計!$B$3:$B$33,0)),0),"")</f>
        <v/>
      </c>
      <c r="AB710" s="25" t="str">
        <f aca="false">IF(ISNUMBER(A710),IFERROR(INDEX(設定!$F$4:$F$27,MATCH(K710,設定!$E$4:$E$27,0)),""),"")</f>
        <v/>
      </c>
    </row>
    <row r="711" customFormat="false" ht="15" hidden="false" customHeight="false" outlineLevel="0" collapsed="false">
      <c r="Z711" s="25" t="str">
        <f aca="false">IF(ISNUMBER(A711),IF(COUNTIF(祝日!$A:$A,A711)&gt;0,"祝",CHOOSE(WEEKDAY(A711,2),"月","火","水","木","金","土","日")),"")</f>
        <v/>
      </c>
      <c r="AA711" s="25" t="str">
        <f aca="false">IF(ISNUMBER(A711),IFERROR(INDEX(集計!$J$3:$J$33,MATCH(A711,集計!$B$3:$B$33,0)),0),"")</f>
        <v/>
      </c>
      <c r="AB711" s="25" t="str">
        <f aca="false">IF(ISNUMBER(A711),IFERROR(INDEX(設定!$F$4:$F$27,MATCH(K711,設定!$E$4:$E$27,0)),""),"")</f>
        <v/>
      </c>
    </row>
    <row r="712" customFormat="false" ht="15" hidden="false" customHeight="false" outlineLevel="0" collapsed="false">
      <c r="Z712" s="25" t="str">
        <f aca="false">IF(ISNUMBER(A712),IF(COUNTIF(祝日!$A:$A,A712)&gt;0,"祝",CHOOSE(WEEKDAY(A712,2),"月","火","水","木","金","土","日")),"")</f>
        <v/>
      </c>
      <c r="AA712" s="25" t="str">
        <f aca="false">IF(ISNUMBER(A712),IFERROR(INDEX(集計!$J$3:$J$33,MATCH(A712,集計!$B$3:$B$33,0)),0),"")</f>
        <v/>
      </c>
      <c r="AB712" s="25" t="str">
        <f aca="false">IF(ISNUMBER(A712),IFERROR(INDEX(設定!$F$4:$F$27,MATCH(K712,設定!$E$4:$E$27,0)),""),"")</f>
        <v/>
      </c>
    </row>
    <row r="713" customFormat="false" ht="15" hidden="false" customHeight="false" outlineLevel="0" collapsed="false">
      <c r="Z713" s="25" t="str">
        <f aca="false">IF(ISNUMBER(A713),IF(COUNTIF(祝日!$A:$A,A713)&gt;0,"祝",CHOOSE(WEEKDAY(A713,2),"月","火","水","木","金","土","日")),"")</f>
        <v/>
      </c>
      <c r="AA713" s="25" t="str">
        <f aca="false">IF(ISNUMBER(A713),IFERROR(INDEX(集計!$J$3:$J$33,MATCH(A713,集計!$B$3:$B$33,0)),0),"")</f>
        <v/>
      </c>
      <c r="AB713" s="25" t="str">
        <f aca="false">IF(ISNUMBER(A713),IFERROR(INDEX(設定!$F$4:$F$27,MATCH(K713,設定!$E$4:$E$27,0)),""),"")</f>
        <v/>
      </c>
    </row>
    <row r="714" customFormat="false" ht="15" hidden="false" customHeight="false" outlineLevel="0" collapsed="false">
      <c r="Z714" s="25" t="str">
        <f aca="false">IF(ISNUMBER(A714),IF(COUNTIF(祝日!$A:$A,A714)&gt;0,"祝",CHOOSE(WEEKDAY(A714,2),"月","火","水","木","金","土","日")),"")</f>
        <v/>
      </c>
      <c r="AA714" s="25" t="str">
        <f aca="false">IF(ISNUMBER(A714),IFERROR(INDEX(集計!$J$3:$J$33,MATCH(A714,集計!$B$3:$B$33,0)),0),"")</f>
        <v/>
      </c>
      <c r="AB714" s="25" t="str">
        <f aca="false">IF(ISNUMBER(A714),IFERROR(INDEX(設定!$F$4:$F$27,MATCH(K714,設定!$E$4:$E$27,0)),""),"")</f>
        <v/>
      </c>
    </row>
    <row r="715" customFormat="false" ht="15" hidden="false" customHeight="false" outlineLevel="0" collapsed="false">
      <c r="Z715" s="25" t="str">
        <f aca="false">IF(ISNUMBER(A715),IF(COUNTIF(祝日!$A:$A,A715)&gt;0,"祝",CHOOSE(WEEKDAY(A715,2),"月","火","水","木","金","土","日")),"")</f>
        <v/>
      </c>
      <c r="AA715" s="25" t="str">
        <f aca="false">IF(ISNUMBER(A715),IFERROR(INDEX(集計!$J$3:$J$33,MATCH(A715,集計!$B$3:$B$33,0)),0),"")</f>
        <v/>
      </c>
      <c r="AB715" s="25" t="str">
        <f aca="false">IF(ISNUMBER(A715),IFERROR(INDEX(設定!$F$4:$F$27,MATCH(K715,設定!$E$4:$E$27,0)),""),"")</f>
        <v/>
      </c>
    </row>
    <row r="716" customFormat="false" ht="15" hidden="false" customHeight="false" outlineLevel="0" collapsed="false">
      <c r="Z716" s="25" t="str">
        <f aca="false">IF(ISNUMBER(A716),IF(COUNTIF(祝日!$A:$A,A716)&gt;0,"祝",CHOOSE(WEEKDAY(A716,2),"月","火","水","木","金","土","日")),"")</f>
        <v/>
      </c>
      <c r="AA716" s="25" t="str">
        <f aca="false">IF(ISNUMBER(A716),IFERROR(INDEX(集計!$J$3:$J$33,MATCH(A716,集計!$B$3:$B$33,0)),0),"")</f>
        <v/>
      </c>
      <c r="AB716" s="25" t="str">
        <f aca="false">IF(ISNUMBER(A716),IFERROR(INDEX(設定!$F$4:$F$27,MATCH(K716,設定!$E$4:$E$27,0)),""),"")</f>
        <v/>
      </c>
    </row>
    <row r="717" customFormat="false" ht="15" hidden="false" customHeight="false" outlineLevel="0" collapsed="false">
      <c r="Z717" s="25" t="str">
        <f aca="false">IF(ISNUMBER(A717),IF(COUNTIF(祝日!$A:$A,A717)&gt;0,"祝",CHOOSE(WEEKDAY(A717,2),"月","火","水","木","金","土","日")),"")</f>
        <v/>
      </c>
      <c r="AA717" s="25" t="str">
        <f aca="false">IF(ISNUMBER(A717),IFERROR(INDEX(集計!$J$3:$J$33,MATCH(A717,集計!$B$3:$B$33,0)),0),"")</f>
        <v/>
      </c>
      <c r="AB717" s="25" t="str">
        <f aca="false">IF(ISNUMBER(A717),IFERROR(INDEX(設定!$F$4:$F$27,MATCH(K717,設定!$E$4:$E$27,0)),""),"")</f>
        <v/>
      </c>
    </row>
    <row r="718" customFormat="false" ht="15" hidden="false" customHeight="false" outlineLevel="0" collapsed="false">
      <c r="Z718" s="25" t="str">
        <f aca="false">IF(ISNUMBER(A718),IF(COUNTIF(祝日!$A:$A,A718)&gt;0,"祝",CHOOSE(WEEKDAY(A718,2),"月","火","水","木","金","土","日")),"")</f>
        <v/>
      </c>
      <c r="AA718" s="25" t="str">
        <f aca="false">IF(ISNUMBER(A718),IFERROR(INDEX(集計!$J$3:$J$33,MATCH(A718,集計!$B$3:$B$33,0)),0),"")</f>
        <v/>
      </c>
      <c r="AB718" s="25" t="str">
        <f aca="false">IF(ISNUMBER(A718),IFERROR(INDEX(設定!$F$4:$F$27,MATCH(K718,設定!$E$4:$E$27,0)),""),"")</f>
        <v/>
      </c>
    </row>
    <row r="719" customFormat="false" ht="15" hidden="false" customHeight="false" outlineLevel="0" collapsed="false">
      <c r="Z719" s="25" t="str">
        <f aca="false">IF(ISNUMBER(A719),IF(COUNTIF(祝日!$A:$A,A719)&gt;0,"祝",CHOOSE(WEEKDAY(A719,2),"月","火","水","木","金","土","日")),"")</f>
        <v/>
      </c>
      <c r="AA719" s="25" t="str">
        <f aca="false">IF(ISNUMBER(A719),IFERROR(INDEX(集計!$J$3:$J$33,MATCH(A719,集計!$B$3:$B$33,0)),0),"")</f>
        <v/>
      </c>
      <c r="AB719" s="25" t="str">
        <f aca="false">IF(ISNUMBER(A719),IFERROR(INDEX(設定!$F$4:$F$27,MATCH(K719,設定!$E$4:$E$27,0)),""),"")</f>
        <v/>
      </c>
    </row>
    <row r="720" customFormat="false" ht="15" hidden="false" customHeight="false" outlineLevel="0" collapsed="false">
      <c r="Z720" s="25" t="str">
        <f aca="false">IF(ISNUMBER(A720),IF(COUNTIF(祝日!$A:$A,A720)&gt;0,"祝",CHOOSE(WEEKDAY(A720,2),"月","火","水","木","金","土","日")),"")</f>
        <v/>
      </c>
      <c r="AA720" s="25" t="str">
        <f aca="false">IF(ISNUMBER(A720),IFERROR(INDEX(集計!$J$3:$J$33,MATCH(A720,集計!$B$3:$B$33,0)),0),"")</f>
        <v/>
      </c>
      <c r="AB720" s="25" t="str">
        <f aca="false">IF(ISNUMBER(A720),IFERROR(INDEX(設定!$F$4:$F$27,MATCH(K720,設定!$E$4:$E$27,0)),""),"")</f>
        <v/>
      </c>
    </row>
    <row r="721" customFormat="false" ht="15" hidden="false" customHeight="false" outlineLevel="0" collapsed="false">
      <c r="Z721" s="25" t="str">
        <f aca="false">IF(ISNUMBER(A721),IF(COUNTIF(祝日!$A:$A,A721)&gt;0,"祝",CHOOSE(WEEKDAY(A721,2),"月","火","水","木","金","土","日")),"")</f>
        <v/>
      </c>
      <c r="AA721" s="25" t="str">
        <f aca="false">IF(ISNUMBER(A721),IFERROR(INDEX(集計!$J$3:$J$33,MATCH(A721,集計!$B$3:$B$33,0)),0),"")</f>
        <v/>
      </c>
      <c r="AB721" s="25" t="str">
        <f aca="false">IF(ISNUMBER(A721),IFERROR(INDEX(設定!$F$4:$F$27,MATCH(K721,設定!$E$4:$E$27,0)),""),"")</f>
        <v/>
      </c>
    </row>
    <row r="722" customFormat="false" ht="15" hidden="false" customHeight="false" outlineLevel="0" collapsed="false">
      <c r="Z722" s="25" t="str">
        <f aca="false">IF(ISNUMBER(A722),IF(COUNTIF(祝日!$A:$A,A722)&gt;0,"祝",CHOOSE(WEEKDAY(A722,2),"月","火","水","木","金","土","日")),"")</f>
        <v/>
      </c>
      <c r="AA722" s="25" t="str">
        <f aca="false">IF(ISNUMBER(A722),IFERROR(INDEX(集計!$J$3:$J$33,MATCH(A722,集計!$B$3:$B$33,0)),0),"")</f>
        <v/>
      </c>
      <c r="AB722" s="25" t="str">
        <f aca="false">IF(ISNUMBER(A722),IFERROR(INDEX(設定!$F$4:$F$27,MATCH(K722,設定!$E$4:$E$27,0)),""),"")</f>
        <v/>
      </c>
    </row>
    <row r="723" customFormat="false" ht="15" hidden="false" customHeight="false" outlineLevel="0" collapsed="false">
      <c r="Z723" s="25" t="str">
        <f aca="false">IF(ISNUMBER(A723),IF(COUNTIF(祝日!$A:$A,A723)&gt;0,"祝",CHOOSE(WEEKDAY(A723,2),"月","火","水","木","金","土","日")),"")</f>
        <v/>
      </c>
      <c r="AA723" s="25" t="str">
        <f aca="false">IF(ISNUMBER(A723),IFERROR(INDEX(集計!$J$3:$J$33,MATCH(A723,集計!$B$3:$B$33,0)),0),"")</f>
        <v/>
      </c>
      <c r="AB723" s="25" t="str">
        <f aca="false">IF(ISNUMBER(A723),IFERROR(INDEX(設定!$F$4:$F$27,MATCH(K723,設定!$E$4:$E$27,0)),""),"")</f>
        <v/>
      </c>
    </row>
    <row r="724" customFormat="false" ht="15" hidden="false" customHeight="false" outlineLevel="0" collapsed="false">
      <c r="Z724" s="25" t="str">
        <f aca="false">IF(ISNUMBER(A724),IF(COUNTIF(祝日!$A:$A,A724)&gt;0,"祝",CHOOSE(WEEKDAY(A724,2),"月","火","水","木","金","土","日")),"")</f>
        <v/>
      </c>
      <c r="AA724" s="25" t="str">
        <f aca="false">IF(ISNUMBER(A724),IFERROR(INDEX(集計!$J$3:$J$33,MATCH(A724,集計!$B$3:$B$33,0)),0),"")</f>
        <v/>
      </c>
      <c r="AB724" s="25" t="str">
        <f aca="false">IF(ISNUMBER(A724),IFERROR(INDEX(設定!$F$4:$F$27,MATCH(K724,設定!$E$4:$E$27,0)),""),"")</f>
        <v/>
      </c>
    </row>
    <row r="725" customFormat="false" ht="15" hidden="false" customHeight="false" outlineLevel="0" collapsed="false">
      <c r="Z725" s="25" t="str">
        <f aca="false">IF(ISNUMBER(A725),IF(COUNTIF(祝日!$A:$A,A725)&gt;0,"祝",CHOOSE(WEEKDAY(A725,2),"月","火","水","木","金","土","日")),"")</f>
        <v/>
      </c>
      <c r="AA725" s="25" t="str">
        <f aca="false">IF(ISNUMBER(A725),IFERROR(INDEX(集計!$J$3:$J$33,MATCH(A725,集計!$B$3:$B$33,0)),0),"")</f>
        <v/>
      </c>
      <c r="AB725" s="25" t="str">
        <f aca="false">IF(ISNUMBER(A725),IFERROR(INDEX(設定!$F$4:$F$27,MATCH(K725,設定!$E$4:$E$27,0)),""),"")</f>
        <v/>
      </c>
    </row>
    <row r="726" customFormat="false" ht="15" hidden="false" customHeight="false" outlineLevel="0" collapsed="false">
      <c r="Z726" s="25" t="str">
        <f aca="false">IF(ISNUMBER(A726),IF(COUNTIF(祝日!$A:$A,A726)&gt;0,"祝",CHOOSE(WEEKDAY(A726,2),"月","火","水","木","金","土","日")),"")</f>
        <v/>
      </c>
      <c r="AA726" s="25" t="str">
        <f aca="false">IF(ISNUMBER(A726),IFERROR(INDEX(集計!$J$3:$J$33,MATCH(A726,集計!$B$3:$B$33,0)),0),"")</f>
        <v/>
      </c>
      <c r="AB726" s="25" t="str">
        <f aca="false">IF(ISNUMBER(A726),IFERROR(INDEX(設定!$F$4:$F$27,MATCH(K726,設定!$E$4:$E$27,0)),""),"")</f>
        <v/>
      </c>
    </row>
    <row r="727" customFormat="false" ht="15" hidden="false" customHeight="false" outlineLevel="0" collapsed="false">
      <c r="Z727" s="25" t="str">
        <f aca="false">IF(ISNUMBER(A727),IF(COUNTIF(祝日!$A:$A,A727)&gt;0,"祝",CHOOSE(WEEKDAY(A727,2),"月","火","水","木","金","土","日")),"")</f>
        <v/>
      </c>
      <c r="AA727" s="25" t="str">
        <f aca="false">IF(ISNUMBER(A727),IFERROR(INDEX(集計!$J$3:$J$33,MATCH(A727,集計!$B$3:$B$33,0)),0),"")</f>
        <v/>
      </c>
      <c r="AB727" s="25" t="str">
        <f aca="false">IF(ISNUMBER(A727),IFERROR(INDEX(設定!$F$4:$F$27,MATCH(K727,設定!$E$4:$E$27,0)),""),"")</f>
        <v/>
      </c>
    </row>
    <row r="728" customFormat="false" ht="15" hidden="false" customHeight="false" outlineLevel="0" collapsed="false">
      <c r="Z728" s="25" t="str">
        <f aca="false">IF(ISNUMBER(A728),IF(COUNTIF(祝日!$A:$A,A728)&gt;0,"祝",CHOOSE(WEEKDAY(A728,2),"月","火","水","木","金","土","日")),"")</f>
        <v/>
      </c>
      <c r="AA728" s="25" t="str">
        <f aca="false">IF(ISNUMBER(A728),IFERROR(INDEX(集計!$J$3:$J$33,MATCH(A728,集計!$B$3:$B$33,0)),0),"")</f>
        <v/>
      </c>
      <c r="AB728" s="25" t="str">
        <f aca="false">IF(ISNUMBER(A728),IFERROR(INDEX(設定!$F$4:$F$27,MATCH(K728,設定!$E$4:$E$27,0)),""),"")</f>
        <v/>
      </c>
    </row>
    <row r="729" customFormat="false" ht="15" hidden="false" customHeight="false" outlineLevel="0" collapsed="false">
      <c r="Z729" s="25" t="str">
        <f aca="false">IF(ISNUMBER(A729),IF(COUNTIF(祝日!$A:$A,A729)&gt;0,"祝",CHOOSE(WEEKDAY(A729,2),"月","火","水","木","金","土","日")),"")</f>
        <v/>
      </c>
      <c r="AA729" s="25" t="str">
        <f aca="false">IF(ISNUMBER(A729),IFERROR(INDEX(集計!$J$3:$J$33,MATCH(A729,集計!$B$3:$B$33,0)),0),"")</f>
        <v/>
      </c>
      <c r="AB729" s="25" t="str">
        <f aca="false">IF(ISNUMBER(A729),IFERROR(INDEX(設定!$F$4:$F$27,MATCH(K729,設定!$E$4:$E$27,0)),""),"")</f>
        <v/>
      </c>
    </row>
    <row r="730" customFormat="false" ht="15" hidden="false" customHeight="false" outlineLevel="0" collapsed="false">
      <c r="Z730" s="25" t="str">
        <f aca="false">IF(ISNUMBER(A730),IF(COUNTIF(祝日!$A:$A,A730)&gt;0,"祝",CHOOSE(WEEKDAY(A730,2),"月","火","水","木","金","土","日")),"")</f>
        <v/>
      </c>
      <c r="AA730" s="25" t="str">
        <f aca="false">IF(ISNUMBER(A730),IFERROR(INDEX(集計!$J$3:$J$33,MATCH(A730,集計!$B$3:$B$33,0)),0),"")</f>
        <v/>
      </c>
      <c r="AB730" s="25" t="str">
        <f aca="false">IF(ISNUMBER(A730),IFERROR(INDEX(設定!$F$4:$F$27,MATCH(K730,設定!$E$4:$E$27,0)),""),"")</f>
        <v/>
      </c>
    </row>
    <row r="731" customFormat="false" ht="15" hidden="false" customHeight="false" outlineLevel="0" collapsed="false">
      <c r="Z731" s="25" t="str">
        <f aca="false">IF(ISNUMBER(A731),IF(COUNTIF(祝日!$A:$A,A731)&gt;0,"祝",CHOOSE(WEEKDAY(A731,2),"月","火","水","木","金","土","日")),"")</f>
        <v/>
      </c>
      <c r="AA731" s="25" t="str">
        <f aca="false">IF(ISNUMBER(A731),IFERROR(INDEX(集計!$J$3:$J$33,MATCH(A731,集計!$B$3:$B$33,0)),0),"")</f>
        <v/>
      </c>
      <c r="AB731" s="25" t="str">
        <f aca="false">IF(ISNUMBER(A731),IFERROR(INDEX(設定!$F$4:$F$27,MATCH(K731,設定!$E$4:$E$27,0)),""),"")</f>
        <v/>
      </c>
    </row>
    <row r="732" customFormat="false" ht="15" hidden="false" customHeight="false" outlineLevel="0" collapsed="false">
      <c r="Z732" s="25" t="str">
        <f aca="false">IF(ISNUMBER(A732),IF(COUNTIF(祝日!$A:$A,A732)&gt;0,"祝",CHOOSE(WEEKDAY(A732,2),"月","火","水","木","金","土","日")),"")</f>
        <v/>
      </c>
      <c r="AA732" s="25" t="str">
        <f aca="false">IF(ISNUMBER(A732),IFERROR(INDEX(集計!$J$3:$J$33,MATCH(A732,集計!$B$3:$B$33,0)),0),"")</f>
        <v/>
      </c>
      <c r="AB732" s="25" t="str">
        <f aca="false">IF(ISNUMBER(A732),IFERROR(INDEX(設定!$F$4:$F$27,MATCH(K732,設定!$E$4:$E$27,0)),""),"")</f>
        <v/>
      </c>
    </row>
    <row r="733" customFormat="false" ht="15" hidden="false" customHeight="false" outlineLevel="0" collapsed="false">
      <c r="Z733" s="25" t="str">
        <f aca="false">IF(ISNUMBER(A733),IF(COUNTIF(祝日!$A:$A,A733)&gt;0,"祝",CHOOSE(WEEKDAY(A733,2),"月","火","水","木","金","土","日")),"")</f>
        <v/>
      </c>
      <c r="AA733" s="25" t="str">
        <f aca="false">IF(ISNUMBER(A733),IFERROR(INDEX(集計!$J$3:$J$33,MATCH(A733,集計!$B$3:$B$33,0)),0),"")</f>
        <v/>
      </c>
      <c r="AB733" s="25" t="str">
        <f aca="false">IF(ISNUMBER(A733),IFERROR(INDEX(設定!$F$4:$F$27,MATCH(K733,設定!$E$4:$E$27,0)),""),"")</f>
        <v/>
      </c>
    </row>
    <row r="734" customFormat="false" ht="15" hidden="false" customHeight="false" outlineLevel="0" collapsed="false">
      <c r="Z734" s="25" t="str">
        <f aca="false">IF(ISNUMBER(A734),IF(COUNTIF(祝日!$A:$A,A734)&gt;0,"祝",CHOOSE(WEEKDAY(A734,2),"月","火","水","木","金","土","日")),"")</f>
        <v/>
      </c>
      <c r="AA734" s="25" t="str">
        <f aca="false">IF(ISNUMBER(A734),IFERROR(INDEX(集計!$J$3:$J$33,MATCH(A734,集計!$B$3:$B$33,0)),0),"")</f>
        <v/>
      </c>
      <c r="AB734" s="25" t="str">
        <f aca="false">IF(ISNUMBER(A734),IFERROR(INDEX(設定!$F$4:$F$27,MATCH(K734,設定!$E$4:$E$27,0)),""),"")</f>
        <v/>
      </c>
    </row>
    <row r="735" customFormat="false" ht="15" hidden="false" customHeight="false" outlineLevel="0" collapsed="false">
      <c r="Z735" s="25" t="str">
        <f aca="false">IF(ISNUMBER(A735),IF(COUNTIF(祝日!$A:$A,A735)&gt;0,"祝",CHOOSE(WEEKDAY(A735,2),"月","火","水","木","金","土","日")),"")</f>
        <v/>
      </c>
      <c r="AA735" s="25" t="str">
        <f aca="false">IF(ISNUMBER(A735),IFERROR(INDEX(集計!$J$3:$J$33,MATCH(A735,集計!$B$3:$B$33,0)),0),"")</f>
        <v/>
      </c>
      <c r="AB735" s="25" t="str">
        <f aca="false">IF(ISNUMBER(A735),IFERROR(INDEX(設定!$F$4:$F$27,MATCH(K735,設定!$E$4:$E$27,0)),""),"")</f>
        <v/>
      </c>
    </row>
    <row r="736" customFormat="false" ht="15" hidden="false" customHeight="false" outlineLevel="0" collapsed="false">
      <c r="Z736" s="25" t="str">
        <f aca="false">IF(ISNUMBER(A736),IF(COUNTIF(祝日!$A:$A,A736)&gt;0,"祝",CHOOSE(WEEKDAY(A736,2),"月","火","水","木","金","土","日")),"")</f>
        <v/>
      </c>
      <c r="AA736" s="25" t="str">
        <f aca="false">IF(ISNUMBER(A736),IFERROR(INDEX(集計!$J$3:$J$33,MATCH(A736,集計!$B$3:$B$33,0)),0),"")</f>
        <v/>
      </c>
      <c r="AB736" s="25" t="str">
        <f aca="false">IF(ISNUMBER(A736),IFERROR(INDEX(設定!$F$4:$F$27,MATCH(K736,設定!$E$4:$E$27,0)),""),"")</f>
        <v/>
      </c>
    </row>
    <row r="737" customFormat="false" ht="15" hidden="false" customHeight="false" outlineLevel="0" collapsed="false">
      <c r="Z737" s="25" t="str">
        <f aca="false">IF(ISNUMBER(A737),IF(COUNTIF(祝日!$A:$A,A737)&gt;0,"祝",CHOOSE(WEEKDAY(A737,2),"月","火","水","木","金","土","日")),"")</f>
        <v/>
      </c>
      <c r="AA737" s="25" t="str">
        <f aca="false">IF(ISNUMBER(A737),IFERROR(INDEX(集計!$J$3:$J$33,MATCH(A737,集計!$B$3:$B$33,0)),0),"")</f>
        <v/>
      </c>
      <c r="AB737" s="25" t="str">
        <f aca="false">IF(ISNUMBER(A737),IFERROR(INDEX(設定!$F$4:$F$27,MATCH(K737,設定!$E$4:$E$27,0)),""),"")</f>
        <v/>
      </c>
    </row>
    <row r="738" customFormat="false" ht="15" hidden="false" customHeight="false" outlineLevel="0" collapsed="false">
      <c r="Z738" s="25" t="str">
        <f aca="false">IF(ISNUMBER(A738),IF(COUNTIF(祝日!$A:$A,A738)&gt;0,"祝",CHOOSE(WEEKDAY(A738,2),"月","火","水","木","金","土","日")),"")</f>
        <v/>
      </c>
      <c r="AA738" s="25" t="str">
        <f aca="false">IF(ISNUMBER(A738),IFERROR(INDEX(集計!$J$3:$J$33,MATCH(A738,集計!$B$3:$B$33,0)),0),"")</f>
        <v/>
      </c>
      <c r="AB738" s="25" t="str">
        <f aca="false">IF(ISNUMBER(A738),IFERROR(INDEX(設定!$F$4:$F$27,MATCH(K738,設定!$E$4:$E$27,0)),""),"")</f>
        <v/>
      </c>
    </row>
    <row r="739" customFormat="false" ht="15" hidden="false" customHeight="false" outlineLevel="0" collapsed="false">
      <c r="Z739" s="25" t="str">
        <f aca="false">IF(ISNUMBER(A739),IF(COUNTIF(祝日!$A:$A,A739)&gt;0,"祝",CHOOSE(WEEKDAY(A739,2),"月","火","水","木","金","土","日")),"")</f>
        <v/>
      </c>
      <c r="AA739" s="25" t="str">
        <f aca="false">IF(ISNUMBER(A739),IFERROR(INDEX(集計!$J$3:$J$33,MATCH(A739,集計!$B$3:$B$33,0)),0),"")</f>
        <v/>
      </c>
      <c r="AB739" s="25" t="str">
        <f aca="false">IF(ISNUMBER(A739),IFERROR(INDEX(設定!$F$4:$F$27,MATCH(K739,設定!$E$4:$E$27,0)),""),"")</f>
        <v/>
      </c>
    </row>
    <row r="740" customFormat="false" ht="15" hidden="false" customHeight="false" outlineLevel="0" collapsed="false">
      <c r="Z740" s="25" t="str">
        <f aca="false">IF(ISNUMBER(A740),IF(COUNTIF(祝日!$A:$A,A740)&gt;0,"祝",CHOOSE(WEEKDAY(A740,2),"月","火","水","木","金","土","日")),"")</f>
        <v/>
      </c>
      <c r="AA740" s="25" t="str">
        <f aca="false">IF(ISNUMBER(A740),IFERROR(INDEX(集計!$J$3:$J$33,MATCH(A740,集計!$B$3:$B$33,0)),0),"")</f>
        <v/>
      </c>
      <c r="AB740" s="25" t="str">
        <f aca="false">IF(ISNUMBER(A740),IFERROR(INDEX(設定!$F$4:$F$27,MATCH(K740,設定!$E$4:$E$27,0)),""),"")</f>
        <v/>
      </c>
    </row>
    <row r="741" customFormat="false" ht="15" hidden="false" customHeight="false" outlineLevel="0" collapsed="false">
      <c r="Z741" s="25" t="str">
        <f aca="false">IF(ISNUMBER(A741),IF(COUNTIF(祝日!$A:$A,A741)&gt;0,"祝",CHOOSE(WEEKDAY(A741,2),"月","火","水","木","金","土","日")),"")</f>
        <v/>
      </c>
      <c r="AA741" s="25" t="str">
        <f aca="false">IF(ISNUMBER(A741),IFERROR(INDEX(集計!$J$3:$J$33,MATCH(A741,集計!$B$3:$B$33,0)),0),"")</f>
        <v/>
      </c>
      <c r="AB741" s="25" t="str">
        <f aca="false">IF(ISNUMBER(A741),IFERROR(INDEX(設定!$F$4:$F$27,MATCH(K741,設定!$E$4:$E$27,0)),""),"")</f>
        <v/>
      </c>
    </row>
    <row r="742" customFormat="false" ht="15" hidden="false" customHeight="false" outlineLevel="0" collapsed="false">
      <c r="Z742" s="25" t="str">
        <f aca="false">IF(ISNUMBER(A742),IF(COUNTIF(祝日!$A:$A,A742)&gt;0,"祝",CHOOSE(WEEKDAY(A742,2),"月","火","水","木","金","土","日")),"")</f>
        <v/>
      </c>
      <c r="AA742" s="25" t="str">
        <f aca="false">IF(ISNUMBER(A742),IFERROR(INDEX(集計!$J$3:$J$33,MATCH(A742,集計!$B$3:$B$33,0)),0),"")</f>
        <v/>
      </c>
      <c r="AB742" s="25" t="str">
        <f aca="false">IF(ISNUMBER(A742),IFERROR(INDEX(設定!$F$4:$F$27,MATCH(K742,設定!$E$4:$E$27,0)),""),"")</f>
        <v/>
      </c>
    </row>
    <row r="743" customFormat="false" ht="15" hidden="false" customHeight="false" outlineLevel="0" collapsed="false">
      <c r="Z743" s="25" t="str">
        <f aca="false">IF(ISNUMBER(A743),IF(COUNTIF(祝日!$A:$A,A743)&gt;0,"祝",CHOOSE(WEEKDAY(A743,2),"月","火","水","木","金","土","日")),"")</f>
        <v/>
      </c>
      <c r="AA743" s="25" t="str">
        <f aca="false">IF(ISNUMBER(A743),IFERROR(INDEX(集計!$J$3:$J$33,MATCH(A743,集計!$B$3:$B$33,0)),0),"")</f>
        <v/>
      </c>
      <c r="AB743" s="25" t="str">
        <f aca="false">IF(ISNUMBER(A743),IFERROR(INDEX(設定!$F$4:$F$27,MATCH(K743,設定!$E$4:$E$27,0)),""),"")</f>
        <v/>
      </c>
    </row>
    <row r="744" customFormat="false" ht="15" hidden="false" customHeight="false" outlineLevel="0" collapsed="false">
      <c r="Z744" s="25" t="str">
        <f aca="false">IF(ISNUMBER(A744),IF(COUNTIF(祝日!$A:$A,A744)&gt;0,"祝",CHOOSE(WEEKDAY(A744,2),"月","火","水","木","金","土","日")),"")</f>
        <v/>
      </c>
      <c r="AA744" s="25" t="str">
        <f aca="false">IF(ISNUMBER(A744),IFERROR(INDEX(集計!$J$3:$J$33,MATCH(A744,集計!$B$3:$B$33,0)),0),"")</f>
        <v/>
      </c>
      <c r="AB744" s="25" t="str">
        <f aca="false">IF(ISNUMBER(A744),IFERROR(INDEX(設定!$F$4:$F$27,MATCH(K744,設定!$E$4:$E$27,0)),""),"")</f>
        <v/>
      </c>
    </row>
    <row r="745" customFormat="false" ht="15" hidden="false" customHeight="false" outlineLevel="0" collapsed="false">
      <c r="Z745" s="25" t="str">
        <f aca="false">IF(ISNUMBER(A745),IF(COUNTIF(祝日!$A:$A,A745)&gt;0,"祝",CHOOSE(WEEKDAY(A745,2),"月","火","水","木","金","土","日")),"")</f>
        <v/>
      </c>
      <c r="AA745" s="25" t="str">
        <f aca="false">IF(ISNUMBER(A745),IFERROR(INDEX(集計!$J$3:$J$33,MATCH(A745,集計!$B$3:$B$33,0)),0),"")</f>
        <v/>
      </c>
      <c r="AB745" s="25" t="str">
        <f aca="false">IF(ISNUMBER(A745),IFERROR(INDEX(設定!$F$4:$F$27,MATCH(K745,設定!$E$4:$E$27,0)),""),"")</f>
        <v/>
      </c>
    </row>
    <row r="746" customFormat="false" ht="15" hidden="false" customHeight="false" outlineLevel="0" collapsed="false">
      <c r="Z746" s="25" t="str">
        <f aca="false">IF(ISNUMBER(A746),IF(COUNTIF(祝日!$A:$A,A746)&gt;0,"祝",CHOOSE(WEEKDAY(A746,2),"月","火","水","木","金","土","日")),"")</f>
        <v/>
      </c>
      <c r="AA746" s="25" t="str">
        <f aca="false">IF(ISNUMBER(A746),IFERROR(INDEX(集計!$J$3:$J$33,MATCH(A746,集計!$B$3:$B$33,0)),0),"")</f>
        <v/>
      </c>
      <c r="AB746" s="25" t="str">
        <f aca="false">IF(ISNUMBER(A746),IFERROR(INDEX(設定!$F$4:$F$27,MATCH(K746,設定!$E$4:$E$27,0)),""),"")</f>
        <v/>
      </c>
    </row>
    <row r="747" customFormat="false" ht="15" hidden="false" customHeight="false" outlineLevel="0" collapsed="false">
      <c r="Z747" s="25" t="str">
        <f aca="false">IF(ISNUMBER(A747),IF(COUNTIF(祝日!$A:$A,A747)&gt;0,"祝",CHOOSE(WEEKDAY(A747,2),"月","火","水","木","金","土","日")),"")</f>
        <v/>
      </c>
      <c r="AA747" s="25" t="str">
        <f aca="false">IF(ISNUMBER(A747),IFERROR(INDEX(集計!$J$3:$J$33,MATCH(A747,集計!$B$3:$B$33,0)),0),"")</f>
        <v/>
      </c>
      <c r="AB747" s="25" t="str">
        <f aca="false">IF(ISNUMBER(A747),IFERROR(INDEX(設定!$F$4:$F$27,MATCH(K747,設定!$E$4:$E$27,0)),""),"")</f>
        <v/>
      </c>
    </row>
    <row r="748" customFormat="false" ht="15" hidden="false" customHeight="false" outlineLevel="0" collapsed="false">
      <c r="Z748" s="25" t="str">
        <f aca="false">IF(ISNUMBER(A748),IF(COUNTIF(祝日!$A:$A,A748)&gt;0,"祝",CHOOSE(WEEKDAY(A748,2),"月","火","水","木","金","土","日")),"")</f>
        <v/>
      </c>
      <c r="AA748" s="25" t="str">
        <f aca="false">IF(ISNUMBER(A748),IFERROR(INDEX(集計!$J$3:$J$33,MATCH(A748,集計!$B$3:$B$33,0)),0),"")</f>
        <v/>
      </c>
      <c r="AB748" s="25" t="str">
        <f aca="false">IF(ISNUMBER(A748),IFERROR(INDEX(設定!$F$4:$F$27,MATCH(K748,設定!$E$4:$E$27,0)),""),"")</f>
        <v/>
      </c>
    </row>
    <row r="749" customFormat="false" ht="15" hidden="false" customHeight="false" outlineLevel="0" collapsed="false">
      <c r="Z749" s="25" t="str">
        <f aca="false">IF(ISNUMBER(A749),IF(COUNTIF(祝日!$A:$A,A749)&gt;0,"祝",CHOOSE(WEEKDAY(A749,2),"月","火","水","木","金","土","日")),"")</f>
        <v/>
      </c>
      <c r="AA749" s="25" t="str">
        <f aca="false">IF(ISNUMBER(A749),IFERROR(INDEX(集計!$J$3:$J$33,MATCH(A749,集計!$B$3:$B$33,0)),0),"")</f>
        <v/>
      </c>
      <c r="AB749" s="25" t="str">
        <f aca="false">IF(ISNUMBER(A749),IFERROR(INDEX(設定!$F$4:$F$27,MATCH(K749,設定!$E$4:$E$27,0)),""),"")</f>
        <v/>
      </c>
    </row>
    <row r="750" customFormat="false" ht="15" hidden="false" customHeight="false" outlineLevel="0" collapsed="false">
      <c r="Z750" s="25" t="str">
        <f aca="false">IF(ISNUMBER(A750),IF(COUNTIF(祝日!$A:$A,A750)&gt;0,"祝",CHOOSE(WEEKDAY(A750,2),"月","火","水","木","金","土","日")),"")</f>
        <v/>
      </c>
      <c r="AA750" s="25" t="str">
        <f aca="false">IF(ISNUMBER(A750),IFERROR(INDEX(集計!$J$3:$J$33,MATCH(A750,集計!$B$3:$B$33,0)),0),"")</f>
        <v/>
      </c>
      <c r="AB750" s="25" t="str">
        <f aca="false">IF(ISNUMBER(A750),IFERROR(INDEX(設定!$F$4:$F$27,MATCH(K750,設定!$E$4:$E$27,0)),""),"")</f>
        <v/>
      </c>
    </row>
    <row r="751" customFormat="false" ht="15" hidden="false" customHeight="false" outlineLevel="0" collapsed="false">
      <c r="Z751" s="25" t="str">
        <f aca="false">IF(ISNUMBER(A751),IF(COUNTIF(祝日!$A:$A,A751)&gt;0,"祝",CHOOSE(WEEKDAY(A751,2),"月","火","水","木","金","土","日")),"")</f>
        <v/>
      </c>
      <c r="AA751" s="25" t="str">
        <f aca="false">IF(ISNUMBER(A751),IFERROR(INDEX(集計!$J$3:$J$33,MATCH(A751,集計!$B$3:$B$33,0)),0),"")</f>
        <v/>
      </c>
      <c r="AB751" s="25" t="str">
        <f aca="false">IF(ISNUMBER(A751),IFERROR(INDEX(設定!$F$4:$F$27,MATCH(K751,設定!$E$4:$E$27,0)),""),"")</f>
        <v/>
      </c>
    </row>
    <row r="752" customFormat="false" ht="15" hidden="false" customHeight="false" outlineLevel="0" collapsed="false">
      <c r="Z752" s="25" t="str">
        <f aca="false">IF(ISNUMBER(A752),IF(COUNTIF(祝日!$A:$A,A752)&gt;0,"祝",CHOOSE(WEEKDAY(A752,2),"月","火","水","木","金","土","日")),"")</f>
        <v/>
      </c>
      <c r="AA752" s="25" t="str">
        <f aca="false">IF(ISNUMBER(A752),IFERROR(INDEX(集計!$J$3:$J$33,MATCH(A752,集計!$B$3:$B$33,0)),0),"")</f>
        <v/>
      </c>
      <c r="AB752" s="25" t="str">
        <f aca="false">IF(ISNUMBER(A752),IFERROR(INDEX(設定!$F$4:$F$27,MATCH(K752,設定!$E$4:$E$27,0)),""),"")</f>
        <v/>
      </c>
    </row>
    <row r="753" customFormat="false" ht="15" hidden="false" customHeight="false" outlineLevel="0" collapsed="false">
      <c r="Z753" s="25" t="str">
        <f aca="false">IF(ISNUMBER(A753),IF(COUNTIF(祝日!$A:$A,A753)&gt;0,"祝",CHOOSE(WEEKDAY(A753,2),"月","火","水","木","金","土","日")),"")</f>
        <v/>
      </c>
      <c r="AA753" s="25" t="str">
        <f aca="false">IF(ISNUMBER(A753),IFERROR(INDEX(集計!$J$3:$J$33,MATCH(A753,集計!$B$3:$B$33,0)),0),"")</f>
        <v/>
      </c>
      <c r="AB753" s="25" t="str">
        <f aca="false">IF(ISNUMBER(A753),IFERROR(INDEX(設定!$F$4:$F$27,MATCH(K753,設定!$E$4:$E$27,0)),""),"")</f>
        <v/>
      </c>
    </row>
    <row r="754" customFormat="false" ht="15" hidden="false" customHeight="false" outlineLevel="0" collapsed="false">
      <c r="Z754" s="25" t="str">
        <f aca="false">IF(ISNUMBER(A754),IF(COUNTIF(祝日!$A:$A,A754)&gt;0,"祝",CHOOSE(WEEKDAY(A754,2),"月","火","水","木","金","土","日")),"")</f>
        <v/>
      </c>
      <c r="AA754" s="25" t="str">
        <f aca="false">IF(ISNUMBER(A754),IFERROR(INDEX(集計!$J$3:$J$33,MATCH(A754,集計!$B$3:$B$33,0)),0),"")</f>
        <v/>
      </c>
      <c r="AB754" s="25" t="str">
        <f aca="false">IF(ISNUMBER(A754),IFERROR(INDEX(設定!$F$4:$F$27,MATCH(K754,設定!$E$4:$E$27,0)),""),"")</f>
        <v/>
      </c>
    </row>
    <row r="755" customFormat="false" ht="15" hidden="false" customHeight="false" outlineLevel="0" collapsed="false">
      <c r="Z755" s="25" t="str">
        <f aca="false">IF(ISNUMBER(A755),IF(COUNTIF(祝日!$A:$A,A755)&gt;0,"祝",CHOOSE(WEEKDAY(A755,2),"月","火","水","木","金","土","日")),"")</f>
        <v/>
      </c>
      <c r="AA755" s="25" t="str">
        <f aca="false">IF(ISNUMBER(A755),IFERROR(INDEX(集計!$J$3:$J$33,MATCH(A755,集計!$B$3:$B$33,0)),0),"")</f>
        <v/>
      </c>
      <c r="AB755" s="25" t="str">
        <f aca="false">IF(ISNUMBER(A755),IFERROR(INDEX(設定!$F$4:$F$27,MATCH(K755,設定!$E$4:$E$27,0)),""),"")</f>
        <v/>
      </c>
    </row>
    <row r="756" customFormat="false" ht="15" hidden="false" customHeight="false" outlineLevel="0" collapsed="false">
      <c r="Z756" s="25" t="str">
        <f aca="false">IF(ISNUMBER(A756),IF(COUNTIF(祝日!$A:$A,A756)&gt;0,"祝",CHOOSE(WEEKDAY(A756,2),"月","火","水","木","金","土","日")),"")</f>
        <v/>
      </c>
      <c r="AA756" s="25" t="str">
        <f aca="false">IF(ISNUMBER(A756),IFERROR(INDEX(集計!$J$3:$J$33,MATCH(A756,集計!$B$3:$B$33,0)),0),"")</f>
        <v/>
      </c>
      <c r="AB756" s="25" t="str">
        <f aca="false">IF(ISNUMBER(A756),IFERROR(INDEX(設定!$F$4:$F$27,MATCH(K756,設定!$E$4:$E$27,0)),""),"")</f>
        <v/>
      </c>
    </row>
    <row r="757" customFormat="false" ht="15" hidden="false" customHeight="false" outlineLevel="0" collapsed="false">
      <c r="Z757" s="25" t="str">
        <f aca="false">IF(ISNUMBER(A757),IF(COUNTIF(祝日!$A:$A,A757)&gt;0,"祝",CHOOSE(WEEKDAY(A757,2),"月","火","水","木","金","土","日")),"")</f>
        <v/>
      </c>
      <c r="AA757" s="25" t="str">
        <f aca="false">IF(ISNUMBER(A757),IFERROR(INDEX(集計!$J$3:$J$33,MATCH(A757,集計!$B$3:$B$33,0)),0),"")</f>
        <v/>
      </c>
      <c r="AB757" s="25" t="str">
        <f aca="false">IF(ISNUMBER(A757),IFERROR(INDEX(設定!$F$4:$F$27,MATCH(K757,設定!$E$4:$E$27,0)),""),"")</f>
        <v/>
      </c>
    </row>
    <row r="758" customFormat="false" ht="15" hidden="false" customHeight="false" outlineLevel="0" collapsed="false">
      <c r="Z758" s="25" t="str">
        <f aca="false">IF(ISNUMBER(A758),IF(COUNTIF(祝日!$A:$A,A758)&gt;0,"祝",CHOOSE(WEEKDAY(A758,2),"月","火","水","木","金","土","日")),"")</f>
        <v/>
      </c>
      <c r="AA758" s="25" t="str">
        <f aca="false">IF(ISNUMBER(A758),IFERROR(INDEX(集計!$J$3:$J$33,MATCH(A758,集計!$B$3:$B$33,0)),0),"")</f>
        <v/>
      </c>
      <c r="AB758" s="25" t="str">
        <f aca="false">IF(ISNUMBER(A758),IFERROR(INDEX(設定!$F$4:$F$27,MATCH(K758,設定!$E$4:$E$27,0)),""),"")</f>
        <v/>
      </c>
    </row>
    <row r="759" customFormat="false" ht="15" hidden="false" customHeight="false" outlineLevel="0" collapsed="false">
      <c r="Z759" s="25" t="str">
        <f aca="false">IF(ISNUMBER(A759),IF(COUNTIF(祝日!$A:$A,A759)&gt;0,"祝",CHOOSE(WEEKDAY(A759,2),"月","火","水","木","金","土","日")),"")</f>
        <v/>
      </c>
      <c r="AA759" s="25" t="str">
        <f aca="false">IF(ISNUMBER(A759),IFERROR(INDEX(集計!$J$3:$J$33,MATCH(A759,集計!$B$3:$B$33,0)),0),"")</f>
        <v/>
      </c>
      <c r="AB759" s="25" t="str">
        <f aca="false">IF(ISNUMBER(A759),IFERROR(INDEX(設定!$F$4:$F$27,MATCH(K759,設定!$E$4:$E$27,0)),""),"")</f>
        <v/>
      </c>
    </row>
    <row r="760" customFormat="false" ht="15" hidden="false" customHeight="false" outlineLevel="0" collapsed="false">
      <c r="Z760" s="25" t="str">
        <f aca="false">IF(ISNUMBER(A760),IF(COUNTIF(祝日!$A:$A,A760)&gt;0,"祝",CHOOSE(WEEKDAY(A760,2),"月","火","水","木","金","土","日")),"")</f>
        <v/>
      </c>
      <c r="AA760" s="25" t="str">
        <f aca="false">IF(ISNUMBER(A760),IFERROR(INDEX(集計!$J$3:$J$33,MATCH(A760,集計!$B$3:$B$33,0)),0),"")</f>
        <v/>
      </c>
      <c r="AB760" s="25" t="str">
        <f aca="false">IF(ISNUMBER(A760),IFERROR(INDEX(設定!$F$4:$F$27,MATCH(K760,設定!$E$4:$E$27,0)),""),"")</f>
        <v/>
      </c>
    </row>
    <row r="761" customFormat="false" ht="15" hidden="false" customHeight="false" outlineLevel="0" collapsed="false">
      <c r="Z761" s="25" t="str">
        <f aca="false">IF(ISNUMBER(A761),IF(COUNTIF(祝日!$A:$A,A761)&gt;0,"祝",CHOOSE(WEEKDAY(A761,2),"月","火","水","木","金","土","日")),"")</f>
        <v/>
      </c>
      <c r="AA761" s="25" t="str">
        <f aca="false">IF(ISNUMBER(A761),IFERROR(INDEX(集計!$J$3:$J$33,MATCH(A761,集計!$B$3:$B$33,0)),0),"")</f>
        <v/>
      </c>
      <c r="AB761" s="25" t="str">
        <f aca="false">IF(ISNUMBER(A761),IFERROR(INDEX(設定!$F$4:$F$27,MATCH(K761,設定!$E$4:$E$27,0)),""),"")</f>
        <v/>
      </c>
    </row>
    <row r="762" customFormat="false" ht="15" hidden="false" customHeight="false" outlineLevel="0" collapsed="false">
      <c r="Z762" s="25" t="str">
        <f aca="false">IF(ISNUMBER(A762),IF(COUNTIF(祝日!$A:$A,A762)&gt;0,"祝",CHOOSE(WEEKDAY(A762,2),"月","火","水","木","金","土","日")),"")</f>
        <v/>
      </c>
      <c r="AA762" s="25" t="str">
        <f aca="false">IF(ISNUMBER(A762),IFERROR(INDEX(集計!$J$3:$J$33,MATCH(A762,集計!$B$3:$B$33,0)),0),"")</f>
        <v/>
      </c>
      <c r="AB762" s="25" t="str">
        <f aca="false">IF(ISNUMBER(A762),IFERROR(INDEX(設定!$F$4:$F$27,MATCH(K762,設定!$E$4:$E$27,0)),""),"")</f>
        <v/>
      </c>
    </row>
    <row r="763" customFormat="false" ht="15" hidden="false" customHeight="false" outlineLevel="0" collapsed="false">
      <c r="Z763" s="25" t="str">
        <f aca="false">IF(ISNUMBER(A763),IF(COUNTIF(祝日!$A:$A,A763)&gt;0,"祝",CHOOSE(WEEKDAY(A763,2),"月","火","水","木","金","土","日")),"")</f>
        <v/>
      </c>
      <c r="AA763" s="25" t="str">
        <f aca="false">IF(ISNUMBER(A763),IFERROR(INDEX(集計!$J$3:$J$33,MATCH(A763,集計!$B$3:$B$33,0)),0),"")</f>
        <v/>
      </c>
      <c r="AB763" s="25" t="str">
        <f aca="false">IF(ISNUMBER(A763),IFERROR(INDEX(設定!$F$4:$F$27,MATCH(K763,設定!$E$4:$E$27,0)),""),"")</f>
        <v/>
      </c>
    </row>
    <row r="764" customFormat="false" ht="15" hidden="false" customHeight="false" outlineLevel="0" collapsed="false">
      <c r="Z764" s="25" t="str">
        <f aca="false">IF(ISNUMBER(A764),IF(COUNTIF(祝日!$A:$A,A764)&gt;0,"祝",CHOOSE(WEEKDAY(A764,2),"月","火","水","木","金","土","日")),"")</f>
        <v/>
      </c>
      <c r="AA764" s="25" t="str">
        <f aca="false">IF(ISNUMBER(A764),IFERROR(INDEX(集計!$J$3:$J$33,MATCH(A764,集計!$B$3:$B$33,0)),0),"")</f>
        <v/>
      </c>
      <c r="AB764" s="25" t="str">
        <f aca="false">IF(ISNUMBER(A764),IFERROR(INDEX(設定!$F$4:$F$27,MATCH(K764,設定!$E$4:$E$27,0)),""),"")</f>
        <v/>
      </c>
    </row>
    <row r="765" customFormat="false" ht="15" hidden="false" customHeight="false" outlineLevel="0" collapsed="false">
      <c r="Z765" s="25" t="str">
        <f aca="false">IF(ISNUMBER(A765),IF(COUNTIF(祝日!$A:$A,A765)&gt;0,"祝",CHOOSE(WEEKDAY(A765,2),"月","火","水","木","金","土","日")),"")</f>
        <v/>
      </c>
      <c r="AA765" s="25" t="str">
        <f aca="false">IF(ISNUMBER(A765),IFERROR(INDEX(集計!$J$3:$J$33,MATCH(A765,集計!$B$3:$B$33,0)),0),"")</f>
        <v/>
      </c>
      <c r="AB765" s="25" t="str">
        <f aca="false">IF(ISNUMBER(A765),IFERROR(INDEX(設定!$F$4:$F$27,MATCH(K765,設定!$E$4:$E$27,0)),""),"")</f>
        <v/>
      </c>
    </row>
    <row r="766" customFormat="false" ht="15" hidden="false" customHeight="false" outlineLevel="0" collapsed="false">
      <c r="Z766" s="25" t="str">
        <f aca="false">IF(ISNUMBER(A766),IF(COUNTIF(祝日!$A:$A,A766)&gt;0,"祝",CHOOSE(WEEKDAY(A766,2),"月","火","水","木","金","土","日")),"")</f>
        <v/>
      </c>
      <c r="AA766" s="25" t="str">
        <f aca="false">IF(ISNUMBER(A766),IFERROR(INDEX(集計!$J$3:$J$33,MATCH(A766,集計!$B$3:$B$33,0)),0),"")</f>
        <v/>
      </c>
      <c r="AB766" s="25" t="str">
        <f aca="false">IF(ISNUMBER(A766),IFERROR(INDEX(設定!$F$4:$F$27,MATCH(K766,設定!$E$4:$E$27,0)),""),"")</f>
        <v/>
      </c>
    </row>
    <row r="767" customFormat="false" ht="15" hidden="false" customHeight="false" outlineLevel="0" collapsed="false">
      <c r="Z767" s="25" t="str">
        <f aca="false">IF(ISNUMBER(A767),IF(COUNTIF(祝日!$A:$A,A767)&gt;0,"祝",CHOOSE(WEEKDAY(A767,2),"月","火","水","木","金","土","日")),"")</f>
        <v/>
      </c>
      <c r="AA767" s="25" t="str">
        <f aca="false">IF(ISNUMBER(A767),IFERROR(INDEX(集計!$J$3:$J$33,MATCH(A767,集計!$B$3:$B$33,0)),0),"")</f>
        <v/>
      </c>
      <c r="AB767" s="25" t="str">
        <f aca="false">IF(ISNUMBER(A767),IFERROR(INDEX(設定!$F$4:$F$27,MATCH(K767,設定!$E$4:$E$27,0)),""),"")</f>
        <v/>
      </c>
    </row>
    <row r="768" customFormat="false" ht="15" hidden="false" customHeight="false" outlineLevel="0" collapsed="false">
      <c r="Z768" s="25" t="str">
        <f aca="false">IF(ISNUMBER(A768),IF(COUNTIF(祝日!$A:$A,A768)&gt;0,"祝",CHOOSE(WEEKDAY(A768,2),"月","火","水","木","金","土","日")),"")</f>
        <v/>
      </c>
      <c r="AA768" s="25" t="str">
        <f aca="false">IF(ISNUMBER(A768),IFERROR(INDEX(集計!$J$3:$J$33,MATCH(A768,集計!$B$3:$B$33,0)),0),"")</f>
        <v/>
      </c>
      <c r="AB768" s="25" t="str">
        <f aca="false">IF(ISNUMBER(A768),IFERROR(INDEX(設定!$F$4:$F$27,MATCH(K768,設定!$E$4:$E$27,0)),""),"")</f>
        <v/>
      </c>
    </row>
    <row r="769" customFormat="false" ht="15" hidden="false" customHeight="false" outlineLevel="0" collapsed="false">
      <c r="Z769" s="25" t="str">
        <f aca="false">IF(ISNUMBER(A769),IF(COUNTIF(祝日!$A:$A,A769)&gt;0,"祝",CHOOSE(WEEKDAY(A769,2),"月","火","水","木","金","土","日")),"")</f>
        <v/>
      </c>
      <c r="AA769" s="25" t="str">
        <f aca="false">IF(ISNUMBER(A769),IFERROR(INDEX(集計!$J$3:$J$33,MATCH(A769,集計!$B$3:$B$33,0)),0),"")</f>
        <v/>
      </c>
      <c r="AB769" s="25" t="str">
        <f aca="false">IF(ISNUMBER(A769),IFERROR(INDEX(設定!$F$4:$F$27,MATCH(K769,設定!$E$4:$E$27,0)),""),"")</f>
        <v/>
      </c>
    </row>
    <row r="770" customFormat="false" ht="15" hidden="false" customHeight="false" outlineLevel="0" collapsed="false">
      <c r="Z770" s="25" t="str">
        <f aca="false">IF(ISNUMBER(A770),IF(COUNTIF(祝日!$A:$A,A770)&gt;0,"祝",CHOOSE(WEEKDAY(A770,2),"月","火","水","木","金","土","日")),"")</f>
        <v/>
      </c>
      <c r="AA770" s="25" t="str">
        <f aca="false">IF(ISNUMBER(A770),IFERROR(INDEX(集計!$J$3:$J$33,MATCH(A770,集計!$B$3:$B$33,0)),0),"")</f>
        <v/>
      </c>
      <c r="AB770" s="25" t="str">
        <f aca="false">IF(ISNUMBER(A770),IFERROR(INDEX(設定!$F$4:$F$27,MATCH(K770,設定!$E$4:$E$27,0)),""),"")</f>
        <v/>
      </c>
    </row>
    <row r="771" customFormat="false" ht="15" hidden="false" customHeight="false" outlineLevel="0" collapsed="false">
      <c r="Z771" s="25" t="str">
        <f aca="false">IF(ISNUMBER(A771),IF(COUNTIF(祝日!$A:$A,A771)&gt;0,"祝",CHOOSE(WEEKDAY(A771,2),"月","火","水","木","金","土","日")),"")</f>
        <v/>
      </c>
      <c r="AA771" s="25" t="str">
        <f aca="false">IF(ISNUMBER(A771),IFERROR(INDEX(集計!$J$3:$J$33,MATCH(A771,集計!$B$3:$B$33,0)),0),"")</f>
        <v/>
      </c>
      <c r="AB771" s="25" t="str">
        <f aca="false">IF(ISNUMBER(A771),IFERROR(INDEX(設定!$F$4:$F$27,MATCH(K771,設定!$E$4:$E$27,0)),""),"")</f>
        <v/>
      </c>
    </row>
    <row r="772" customFormat="false" ht="15" hidden="false" customHeight="false" outlineLevel="0" collapsed="false">
      <c r="Z772" s="25" t="str">
        <f aca="false">IF(ISNUMBER(A772),IF(COUNTIF(祝日!$A:$A,A772)&gt;0,"祝",CHOOSE(WEEKDAY(A772,2),"月","火","水","木","金","土","日")),"")</f>
        <v/>
      </c>
      <c r="AA772" s="25" t="str">
        <f aca="false">IF(ISNUMBER(A772),IFERROR(INDEX(集計!$J$3:$J$33,MATCH(A772,集計!$B$3:$B$33,0)),0),"")</f>
        <v/>
      </c>
      <c r="AB772" s="25" t="str">
        <f aca="false">IF(ISNUMBER(A772),IFERROR(INDEX(設定!$F$4:$F$27,MATCH(K772,設定!$E$4:$E$27,0)),""),"")</f>
        <v/>
      </c>
    </row>
    <row r="773" customFormat="false" ht="15" hidden="false" customHeight="false" outlineLevel="0" collapsed="false">
      <c r="Z773" s="25" t="str">
        <f aca="false">IF(ISNUMBER(A773),IF(COUNTIF(祝日!$A:$A,A773)&gt;0,"祝",CHOOSE(WEEKDAY(A773,2),"月","火","水","木","金","土","日")),"")</f>
        <v/>
      </c>
      <c r="AA773" s="25" t="str">
        <f aca="false">IF(ISNUMBER(A773),IFERROR(INDEX(集計!$J$3:$J$33,MATCH(A773,集計!$B$3:$B$33,0)),0),"")</f>
        <v/>
      </c>
      <c r="AB773" s="25" t="str">
        <f aca="false">IF(ISNUMBER(A773),IFERROR(INDEX(設定!$F$4:$F$27,MATCH(K773,設定!$E$4:$E$27,0)),""),"")</f>
        <v/>
      </c>
    </row>
    <row r="774" customFormat="false" ht="15" hidden="false" customHeight="false" outlineLevel="0" collapsed="false">
      <c r="Z774" s="25" t="str">
        <f aca="false">IF(ISNUMBER(A774),IF(COUNTIF(祝日!$A:$A,A774)&gt;0,"祝",CHOOSE(WEEKDAY(A774,2),"月","火","水","木","金","土","日")),"")</f>
        <v/>
      </c>
      <c r="AA774" s="25" t="str">
        <f aca="false">IF(ISNUMBER(A774),IFERROR(INDEX(集計!$J$3:$J$33,MATCH(A774,集計!$B$3:$B$33,0)),0),"")</f>
        <v/>
      </c>
      <c r="AB774" s="25" t="str">
        <f aca="false">IF(ISNUMBER(A774),IFERROR(INDEX(設定!$F$4:$F$27,MATCH(K774,設定!$E$4:$E$27,0)),""),"")</f>
        <v/>
      </c>
    </row>
    <row r="775" customFormat="false" ht="15" hidden="false" customHeight="false" outlineLevel="0" collapsed="false">
      <c r="Z775" s="25" t="str">
        <f aca="false">IF(ISNUMBER(A775),IF(COUNTIF(祝日!$A:$A,A775)&gt;0,"祝",CHOOSE(WEEKDAY(A775,2),"月","火","水","木","金","土","日")),"")</f>
        <v/>
      </c>
      <c r="AA775" s="25" t="str">
        <f aca="false">IF(ISNUMBER(A775),IFERROR(INDEX(集計!$J$3:$J$33,MATCH(A775,集計!$B$3:$B$33,0)),0),"")</f>
        <v/>
      </c>
      <c r="AB775" s="25" t="str">
        <f aca="false">IF(ISNUMBER(A775),IFERROR(INDEX(設定!$F$4:$F$27,MATCH(K775,設定!$E$4:$E$27,0)),""),"")</f>
        <v/>
      </c>
    </row>
    <row r="776" customFormat="false" ht="15" hidden="false" customHeight="false" outlineLevel="0" collapsed="false">
      <c r="Z776" s="25" t="str">
        <f aca="false">IF(ISNUMBER(A776),IF(COUNTIF(祝日!$A:$A,A776)&gt;0,"祝",CHOOSE(WEEKDAY(A776,2),"月","火","水","木","金","土","日")),"")</f>
        <v/>
      </c>
      <c r="AA776" s="25" t="str">
        <f aca="false">IF(ISNUMBER(A776),IFERROR(INDEX(集計!$J$3:$J$33,MATCH(A776,集計!$B$3:$B$33,0)),0),"")</f>
        <v/>
      </c>
      <c r="AB776" s="25" t="str">
        <f aca="false">IF(ISNUMBER(A776),IFERROR(INDEX(設定!$F$4:$F$27,MATCH(K776,設定!$E$4:$E$27,0)),""),"")</f>
        <v/>
      </c>
    </row>
    <row r="777" customFormat="false" ht="15" hidden="false" customHeight="false" outlineLevel="0" collapsed="false">
      <c r="Z777" s="25" t="str">
        <f aca="false">IF(ISNUMBER(A777),IF(COUNTIF(祝日!$A:$A,A777)&gt;0,"祝",CHOOSE(WEEKDAY(A777,2),"月","火","水","木","金","土","日")),"")</f>
        <v/>
      </c>
      <c r="AA777" s="25" t="str">
        <f aca="false">IF(ISNUMBER(A777),IFERROR(INDEX(集計!$J$3:$J$33,MATCH(A777,集計!$B$3:$B$33,0)),0),"")</f>
        <v/>
      </c>
      <c r="AB777" s="25" t="str">
        <f aca="false">IF(ISNUMBER(A777),IFERROR(INDEX(設定!$F$4:$F$27,MATCH(K777,設定!$E$4:$E$27,0)),""),"")</f>
        <v/>
      </c>
    </row>
    <row r="778" customFormat="false" ht="15" hidden="false" customHeight="false" outlineLevel="0" collapsed="false">
      <c r="Z778" s="25" t="str">
        <f aca="false">IF(ISNUMBER(A778),IF(COUNTIF(祝日!$A:$A,A778)&gt;0,"祝",CHOOSE(WEEKDAY(A778,2),"月","火","水","木","金","土","日")),"")</f>
        <v/>
      </c>
      <c r="AA778" s="25" t="str">
        <f aca="false">IF(ISNUMBER(A778),IFERROR(INDEX(集計!$J$3:$J$33,MATCH(A778,集計!$B$3:$B$33,0)),0),"")</f>
        <v/>
      </c>
      <c r="AB778" s="25" t="str">
        <f aca="false">IF(ISNUMBER(A778),IFERROR(INDEX(設定!$F$4:$F$27,MATCH(K778,設定!$E$4:$E$27,0)),""),"")</f>
        <v/>
      </c>
    </row>
    <row r="779" customFormat="false" ht="15" hidden="false" customHeight="false" outlineLevel="0" collapsed="false">
      <c r="Z779" s="25" t="str">
        <f aca="false">IF(ISNUMBER(A779),IF(COUNTIF(祝日!$A:$A,A779)&gt;0,"祝",CHOOSE(WEEKDAY(A779,2),"月","火","水","木","金","土","日")),"")</f>
        <v/>
      </c>
      <c r="AA779" s="25" t="str">
        <f aca="false">IF(ISNUMBER(A779),IFERROR(INDEX(集計!$J$3:$J$33,MATCH(A779,集計!$B$3:$B$33,0)),0),"")</f>
        <v/>
      </c>
      <c r="AB779" s="25" t="str">
        <f aca="false">IF(ISNUMBER(A779),IFERROR(INDEX(設定!$F$4:$F$27,MATCH(K779,設定!$E$4:$E$27,0)),""),"")</f>
        <v/>
      </c>
    </row>
    <row r="780" customFormat="false" ht="15" hidden="false" customHeight="false" outlineLevel="0" collapsed="false">
      <c r="Z780" s="25" t="str">
        <f aca="false">IF(ISNUMBER(A780),IF(COUNTIF(祝日!$A:$A,A780)&gt;0,"祝",CHOOSE(WEEKDAY(A780,2),"月","火","水","木","金","土","日")),"")</f>
        <v/>
      </c>
      <c r="AA780" s="25" t="str">
        <f aca="false">IF(ISNUMBER(A780),IFERROR(INDEX(集計!$J$3:$J$33,MATCH(A780,集計!$B$3:$B$33,0)),0),"")</f>
        <v/>
      </c>
      <c r="AB780" s="25" t="str">
        <f aca="false">IF(ISNUMBER(A780),IFERROR(INDEX(設定!$F$4:$F$27,MATCH(K780,設定!$E$4:$E$27,0)),""),"")</f>
        <v/>
      </c>
    </row>
    <row r="781" customFormat="false" ht="15" hidden="false" customHeight="false" outlineLevel="0" collapsed="false">
      <c r="Z781" s="25" t="str">
        <f aca="false">IF(ISNUMBER(A781),IF(COUNTIF(祝日!$A:$A,A781)&gt;0,"祝",CHOOSE(WEEKDAY(A781,2),"月","火","水","木","金","土","日")),"")</f>
        <v/>
      </c>
      <c r="AA781" s="25" t="str">
        <f aca="false">IF(ISNUMBER(A781),IFERROR(INDEX(集計!$J$3:$J$33,MATCH(A781,集計!$B$3:$B$33,0)),0),"")</f>
        <v/>
      </c>
      <c r="AB781" s="25" t="str">
        <f aca="false">IF(ISNUMBER(A781),IFERROR(INDEX(設定!$F$4:$F$27,MATCH(K781,設定!$E$4:$E$27,0)),""),"")</f>
        <v/>
      </c>
    </row>
    <row r="782" customFormat="false" ht="15" hidden="false" customHeight="false" outlineLevel="0" collapsed="false">
      <c r="Z782" s="25" t="str">
        <f aca="false">IF(ISNUMBER(A782),IF(COUNTIF(祝日!$A:$A,A782)&gt;0,"祝",CHOOSE(WEEKDAY(A782,2),"月","火","水","木","金","土","日")),"")</f>
        <v/>
      </c>
      <c r="AA782" s="25" t="str">
        <f aca="false">IF(ISNUMBER(A782),IFERROR(INDEX(集計!$J$3:$J$33,MATCH(A782,集計!$B$3:$B$33,0)),0),"")</f>
        <v/>
      </c>
      <c r="AB782" s="25" t="str">
        <f aca="false">IF(ISNUMBER(A782),IFERROR(INDEX(設定!$F$4:$F$27,MATCH(K782,設定!$E$4:$E$27,0)),""),"")</f>
        <v/>
      </c>
    </row>
    <row r="783" customFormat="false" ht="15" hidden="false" customHeight="false" outlineLevel="0" collapsed="false">
      <c r="Z783" s="25" t="str">
        <f aca="false">IF(ISNUMBER(A783),IF(COUNTIF(祝日!$A:$A,A783)&gt;0,"祝",CHOOSE(WEEKDAY(A783,2),"月","火","水","木","金","土","日")),"")</f>
        <v/>
      </c>
      <c r="AA783" s="25" t="str">
        <f aca="false">IF(ISNUMBER(A783),IFERROR(INDEX(集計!$J$3:$J$33,MATCH(A783,集計!$B$3:$B$33,0)),0),"")</f>
        <v/>
      </c>
      <c r="AB783" s="25" t="str">
        <f aca="false">IF(ISNUMBER(A783),IFERROR(INDEX(設定!$F$4:$F$27,MATCH(K783,設定!$E$4:$E$27,0)),""),"")</f>
        <v/>
      </c>
    </row>
    <row r="784" customFormat="false" ht="15" hidden="false" customHeight="false" outlineLevel="0" collapsed="false">
      <c r="Z784" s="25" t="str">
        <f aca="false">IF(ISNUMBER(A784),IF(COUNTIF(祝日!$A:$A,A784)&gt;0,"祝",CHOOSE(WEEKDAY(A784,2),"月","火","水","木","金","土","日")),"")</f>
        <v/>
      </c>
      <c r="AA784" s="25" t="str">
        <f aca="false">IF(ISNUMBER(A784),IFERROR(INDEX(集計!$J$3:$J$33,MATCH(A784,集計!$B$3:$B$33,0)),0),"")</f>
        <v/>
      </c>
      <c r="AB784" s="25" t="str">
        <f aca="false">IF(ISNUMBER(A784),IFERROR(INDEX(設定!$F$4:$F$27,MATCH(K784,設定!$E$4:$E$27,0)),""),"")</f>
        <v/>
      </c>
    </row>
    <row r="785" customFormat="false" ht="15" hidden="false" customHeight="false" outlineLevel="0" collapsed="false">
      <c r="Z785" s="25" t="str">
        <f aca="false">IF(ISNUMBER(A785),IF(COUNTIF(祝日!$A:$A,A785)&gt;0,"祝",CHOOSE(WEEKDAY(A785,2),"月","火","水","木","金","土","日")),"")</f>
        <v/>
      </c>
      <c r="AA785" s="25" t="str">
        <f aca="false">IF(ISNUMBER(A785),IFERROR(INDEX(集計!$J$3:$J$33,MATCH(A785,集計!$B$3:$B$33,0)),0),"")</f>
        <v/>
      </c>
      <c r="AB785" s="25" t="str">
        <f aca="false">IF(ISNUMBER(A785),IFERROR(INDEX(設定!$F$4:$F$27,MATCH(K785,設定!$E$4:$E$27,0)),""),"")</f>
        <v/>
      </c>
    </row>
    <row r="786" customFormat="false" ht="15" hidden="false" customHeight="false" outlineLevel="0" collapsed="false">
      <c r="Z786" s="25" t="str">
        <f aca="false">IF(ISNUMBER(A786),IF(COUNTIF(祝日!$A:$A,A786)&gt;0,"祝",CHOOSE(WEEKDAY(A786,2),"月","火","水","木","金","土","日")),"")</f>
        <v/>
      </c>
      <c r="AA786" s="25" t="str">
        <f aca="false">IF(ISNUMBER(A786),IFERROR(INDEX(集計!$J$3:$J$33,MATCH(A786,集計!$B$3:$B$33,0)),0),"")</f>
        <v/>
      </c>
      <c r="AB786" s="25" t="str">
        <f aca="false">IF(ISNUMBER(A786),IFERROR(INDEX(設定!$F$4:$F$27,MATCH(K786,設定!$E$4:$E$27,0)),""),"")</f>
        <v/>
      </c>
    </row>
    <row r="787" customFormat="false" ht="15" hidden="false" customHeight="false" outlineLevel="0" collapsed="false">
      <c r="Z787" s="25" t="str">
        <f aca="false">IF(ISNUMBER(A787),IF(COUNTIF(祝日!$A:$A,A787)&gt;0,"祝",CHOOSE(WEEKDAY(A787,2),"月","火","水","木","金","土","日")),"")</f>
        <v/>
      </c>
      <c r="AA787" s="25" t="str">
        <f aca="false">IF(ISNUMBER(A787),IFERROR(INDEX(集計!$J$3:$J$33,MATCH(A787,集計!$B$3:$B$33,0)),0),"")</f>
        <v/>
      </c>
      <c r="AB787" s="25" t="str">
        <f aca="false">IF(ISNUMBER(A787),IFERROR(INDEX(設定!$F$4:$F$27,MATCH(K787,設定!$E$4:$E$27,0)),""),"")</f>
        <v/>
      </c>
    </row>
    <row r="788" customFormat="false" ht="15" hidden="false" customHeight="false" outlineLevel="0" collapsed="false">
      <c r="Z788" s="25" t="str">
        <f aca="false">IF(ISNUMBER(A788),IF(COUNTIF(祝日!$A:$A,A788)&gt;0,"祝",CHOOSE(WEEKDAY(A788,2),"月","火","水","木","金","土","日")),"")</f>
        <v/>
      </c>
      <c r="AA788" s="25" t="str">
        <f aca="false">IF(ISNUMBER(A788),IFERROR(INDEX(集計!$J$3:$J$33,MATCH(A788,集計!$B$3:$B$33,0)),0),"")</f>
        <v/>
      </c>
      <c r="AB788" s="25" t="str">
        <f aca="false">IF(ISNUMBER(A788),IFERROR(INDEX(設定!$F$4:$F$27,MATCH(K788,設定!$E$4:$E$27,0)),""),"")</f>
        <v/>
      </c>
    </row>
    <row r="789" customFormat="false" ht="15" hidden="false" customHeight="false" outlineLevel="0" collapsed="false">
      <c r="Z789" s="25" t="str">
        <f aca="false">IF(ISNUMBER(A789),IF(COUNTIF(祝日!$A:$A,A789)&gt;0,"祝",CHOOSE(WEEKDAY(A789,2),"月","火","水","木","金","土","日")),"")</f>
        <v/>
      </c>
      <c r="AA789" s="25" t="str">
        <f aca="false">IF(ISNUMBER(A789),IFERROR(INDEX(集計!$J$3:$J$33,MATCH(A789,集計!$B$3:$B$33,0)),0),"")</f>
        <v/>
      </c>
      <c r="AB789" s="25" t="str">
        <f aca="false">IF(ISNUMBER(A789),IFERROR(INDEX(設定!$F$4:$F$27,MATCH(K789,設定!$E$4:$E$27,0)),""),"")</f>
        <v/>
      </c>
    </row>
    <row r="790" customFormat="false" ht="15" hidden="false" customHeight="false" outlineLevel="0" collapsed="false">
      <c r="Z790" s="25" t="str">
        <f aca="false">IF(ISNUMBER(A790),IF(COUNTIF(祝日!$A:$A,A790)&gt;0,"祝",CHOOSE(WEEKDAY(A790,2),"月","火","水","木","金","土","日")),"")</f>
        <v/>
      </c>
      <c r="AA790" s="25" t="str">
        <f aca="false">IF(ISNUMBER(A790),IFERROR(INDEX(集計!$J$3:$J$33,MATCH(A790,集計!$B$3:$B$33,0)),0),"")</f>
        <v/>
      </c>
      <c r="AB790" s="25" t="str">
        <f aca="false">IF(ISNUMBER(A790),IFERROR(INDEX(設定!$F$4:$F$27,MATCH(K790,設定!$E$4:$E$27,0)),""),"")</f>
        <v/>
      </c>
    </row>
    <row r="791" customFormat="false" ht="15" hidden="false" customHeight="false" outlineLevel="0" collapsed="false">
      <c r="Z791" s="25" t="str">
        <f aca="false">IF(ISNUMBER(A791),IF(COUNTIF(祝日!$A:$A,A791)&gt;0,"祝",CHOOSE(WEEKDAY(A791,2),"月","火","水","木","金","土","日")),"")</f>
        <v/>
      </c>
      <c r="AA791" s="25" t="str">
        <f aca="false">IF(ISNUMBER(A791),IFERROR(INDEX(集計!$J$3:$J$33,MATCH(A791,集計!$B$3:$B$33,0)),0),"")</f>
        <v/>
      </c>
      <c r="AB791" s="25" t="str">
        <f aca="false">IF(ISNUMBER(A791),IFERROR(INDEX(設定!$F$4:$F$27,MATCH(K791,設定!$E$4:$E$27,0)),""),"")</f>
        <v/>
      </c>
    </row>
    <row r="792" customFormat="false" ht="15" hidden="false" customHeight="false" outlineLevel="0" collapsed="false">
      <c r="Z792" s="25" t="str">
        <f aca="false">IF(ISNUMBER(A792),IF(COUNTIF(祝日!$A:$A,A792)&gt;0,"祝",CHOOSE(WEEKDAY(A792,2),"月","火","水","木","金","土","日")),"")</f>
        <v/>
      </c>
      <c r="AA792" s="25" t="str">
        <f aca="false">IF(ISNUMBER(A792),IFERROR(INDEX(集計!$J$3:$J$33,MATCH(A792,集計!$B$3:$B$33,0)),0),"")</f>
        <v/>
      </c>
      <c r="AB792" s="25" t="str">
        <f aca="false">IF(ISNUMBER(A792),IFERROR(INDEX(設定!$F$4:$F$27,MATCH(K792,設定!$E$4:$E$27,0)),""),"")</f>
        <v/>
      </c>
    </row>
    <row r="793" customFormat="false" ht="15" hidden="false" customHeight="false" outlineLevel="0" collapsed="false">
      <c r="Z793" s="25" t="str">
        <f aca="false">IF(ISNUMBER(A793),IF(COUNTIF(祝日!$A:$A,A793)&gt;0,"祝",CHOOSE(WEEKDAY(A793,2),"月","火","水","木","金","土","日")),"")</f>
        <v/>
      </c>
      <c r="AA793" s="25" t="str">
        <f aca="false">IF(ISNUMBER(A793),IFERROR(INDEX(集計!$J$3:$J$33,MATCH(A793,集計!$B$3:$B$33,0)),0),"")</f>
        <v/>
      </c>
      <c r="AB793" s="25" t="str">
        <f aca="false">IF(ISNUMBER(A793),IFERROR(INDEX(設定!$F$4:$F$27,MATCH(K793,設定!$E$4:$E$27,0)),""),"")</f>
        <v/>
      </c>
    </row>
    <row r="794" customFormat="false" ht="15" hidden="false" customHeight="false" outlineLevel="0" collapsed="false">
      <c r="Z794" s="25" t="str">
        <f aca="false">IF(ISNUMBER(A794),IF(COUNTIF(祝日!$A:$A,A794)&gt;0,"祝",CHOOSE(WEEKDAY(A794,2),"月","火","水","木","金","土","日")),"")</f>
        <v/>
      </c>
      <c r="AA794" s="25" t="str">
        <f aca="false">IF(ISNUMBER(A794),IFERROR(INDEX(集計!$J$3:$J$33,MATCH(A794,集計!$B$3:$B$33,0)),0),"")</f>
        <v/>
      </c>
      <c r="AB794" s="25" t="str">
        <f aca="false">IF(ISNUMBER(A794),IFERROR(INDEX(設定!$F$4:$F$27,MATCH(K794,設定!$E$4:$E$27,0)),""),"")</f>
        <v/>
      </c>
    </row>
    <row r="795" customFormat="false" ht="15" hidden="false" customHeight="false" outlineLevel="0" collapsed="false">
      <c r="Z795" s="25" t="str">
        <f aca="false">IF(ISNUMBER(A795),IF(COUNTIF(祝日!$A:$A,A795)&gt;0,"祝",CHOOSE(WEEKDAY(A795,2),"月","火","水","木","金","土","日")),"")</f>
        <v/>
      </c>
      <c r="AA795" s="25" t="str">
        <f aca="false">IF(ISNUMBER(A795),IFERROR(INDEX(集計!$J$3:$J$33,MATCH(A795,集計!$B$3:$B$33,0)),0),"")</f>
        <v/>
      </c>
      <c r="AB795" s="25" t="str">
        <f aca="false">IF(ISNUMBER(A795),IFERROR(INDEX(設定!$F$4:$F$27,MATCH(K795,設定!$E$4:$E$27,0)),""),"")</f>
        <v/>
      </c>
    </row>
    <row r="796" customFormat="false" ht="15" hidden="false" customHeight="false" outlineLevel="0" collapsed="false">
      <c r="Z796" s="25" t="str">
        <f aca="false">IF(ISNUMBER(A796),IF(COUNTIF(祝日!$A:$A,A796)&gt;0,"祝",CHOOSE(WEEKDAY(A796,2),"月","火","水","木","金","土","日")),"")</f>
        <v/>
      </c>
      <c r="AA796" s="25" t="str">
        <f aca="false">IF(ISNUMBER(A796),IFERROR(INDEX(集計!$J$3:$J$33,MATCH(A796,集計!$B$3:$B$33,0)),0),"")</f>
        <v/>
      </c>
      <c r="AB796" s="25" t="str">
        <f aca="false">IF(ISNUMBER(A796),IFERROR(INDEX(設定!$F$4:$F$27,MATCH(K796,設定!$E$4:$E$27,0)),""),"")</f>
        <v/>
      </c>
    </row>
    <row r="797" customFormat="false" ht="15" hidden="false" customHeight="false" outlineLevel="0" collapsed="false">
      <c r="Z797" s="25" t="str">
        <f aca="false">IF(ISNUMBER(A797),IF(COUNTIF(祝日!$A:$A,A797)&gt;0,"祝",CHOOSE(WEEKDAY(A797,2),"月","火","水","木","金","土","日")),"")</f>
        <v/>
      </c>
      <c r="AA797" s="25" t="str">
        <f aca="false">IF(ISNUMBER(A797),IFERROR(INDEX(集計!$J$3:$J$33,MATCH(A797,集計!$B$3:$B$33,0)),0),"")</f>
        <v/>
      </c>
      <c r="AB797" s="25" t="str">
        <f aca="false">IF(ISNUMBER(A797),IFERROR(INDEX(設定!$F$4:$F$27,MATCH(K797,設定!$E$4:$E$27,0)),""),"")</f>
        <v/>
      </c>
    </row>
    <row r="798" customFormat="false" ht="15" hidden="false" customHeight="false" outlineLevel="0" collapsed="false">
      <c r="Z798" s="25" t="str">
        <f aca="false">IF(ISNUMBER(A798),IF(COUNTIF(祝日!$A:$A,A798)&gt;0,"祝",CHOOSE(WEEKDAY(A798,2),"月","火","水","木","金","土","日")),"")</f>
        <v/>
      </c>
      <c r="AA798" s="25" t="str">
        <f aca="false">IF(ISNUMBER(A798),IFERROR(INDEX(集計!$J$3:$J$33,MATCH(A798,集計!$B$3:$B$33,0)),0),"")</f>
        <v/>
      </c>
      <c r="AB798" s="25" t="str">
        <f aca="false">IF(ISNUMBER(A798),IFERROR(INDEX(設定!$F$4:$F$27,MATCH(K798,設定!$E$4:$E$27,0)),""),"")</f>
        <v/>
      </c>
    </row>
    <row r="799" customFormat="false" ht="15" hidden="false" customHeight="false" outlineLevel="0" collapsed="false">
      <c r="Z799" s="25" t="str">
        <f aca="false">IF(ISNUMBER(A799),IF(COUNTIF(祝日!$A:$A,A799)&gt;0,"祝",CHOOSE(WEEKDAY(A799,2),"月","火","水","木","金","土","日")),"")</f>
        <v/>
      </c>
      <c r="AA799" s="25" t="str">
        <f aca="false">IF(ISNUMBER(A799),IFERROR(INDEX(集計!$J$3:$J$33,MATCH(A799,集計!$B$3:$B$33,0)),0),"")</f>
        <v/>
      </c>
      <c r="AB799" s="25" t="str">
        <f aca="false">IF(ISNUMBER(A799),IFERROR(INDEX(設定!$F$4:$F$27,MATCH(K799,設定!$E$4:$E$27,0)),""),"")</f>
        <v/>
      </c>
    </row>
    <row r="800" customFormat="false" ht="15" hidden="false" customHeight="false" outlineLevel="0" collapsed="false">
      <c r="Z800" s="25" t="str">
        <f aca="false">IF(ISNUMBER(A800),IF(COUNTIF(祝日!$A:$A,A800)&gt;0,"祝",CHOOSE(WEEKDAY(A800,2),"月","火","水","木","金","土","日")),"")</f>
        <v/>
      </c>
      <c r="AA800" s="25" t="str">
        <f aca="false">IF(ISNUMBER(A800),IFERROR(INDEX(集計!$J$3:$J$33,MATCH(A800,集計!$B$3:$B$33,0)),0),"")</f>
        <v/>
      </c>
      <c r="AB800" s="25" t="str">
        <f aca="false">IF(ISNUMBER(A800),IFERROR(INDEX(設定!$F$4:$F$27,MATCH(K800,設定!$E$4:$E$27,0)),""),"")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B8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26" min="26" style="0" width="14"/>
    <col collapsed="false" customWidth="true" hidden="false" outlineLevel="0" max="28" min="27" style="0" width="16"/>
  </cols>
  <sheetData>
    <row r="1" customFormat="false" ht="15" hidden="false" customHeight="false" outlineLevel="0" collapsed="false">
      <c r="A1" s="48" t="s">
        <v>151</v>
      </c>
      <c r="Z1" s="49" t="s">
        <v>148</v>
      </c>
      <c r="AA1" s="49" t="s">
        <v>149</v>
      </c>
      <c r="AB1" s="49" t="s">
        <v>150</v>
      </c>
    </row>
    <row r="2" customFormat="false" ht="15" hidden="false" customHeight="false" outlineLevel="0" collapsed="false">
      <c r="Z2" s="25" t="str">
        <f aca="false">IF(ISNUMBER(A2),IF(COUNTIF(祝日!$A:$A,A2)&gt;0,"祝",CHOOSE(WEEKDAY(A2,2),"月","火","水","木","金","土","日")),"")</f>
        <v/>
      </c>
      <c r="AA2" s="25" t="str">
        <f aca="false">IF(ISNUMBER(A2),IFERROR(INDEX(集計!$V$3:$V$33,MATCH(A2,集計!$N$3:$N$33,0)),0),"")</f>
        <v/>
      </c>
      <c r="AB2" s="25" t="str">
        <f aca="false">IF(ISNUMBER(A2),IFERROR(INDEX(設定!$F$4:$F$27,MATCH(K2,設定!$E$4:$E$27,0)),""),"")</f>
        <v/>
      </c>
    </row>
    <row r="3" customFormat="false" ht="15" hidden="false" customHeight="false" outlineLevel="0" collapsed="false">
      <c r="Z3" s="25" t="str">
        <f aca="false">IF(ISNUMBER(A3),IF(COUNTIF(祝日!$A:$A,A3)&gt;0,"祝",CHOOSE(WEEKDAY(A3,2),"月","火","水","木","金","土","日")),"")</f>
        <v/>
      </c>
      <c r="AA3" s="25" t="str">
        <f aca="false">IF(ISNUMBER(A3),IFERROR(INDEX(集計!$V$3:$V$33,MATCH(A3,集計!$N$3:$N$33,0)),0),"")</f>
        <v/>
      </c>
      <c r="AB3" s="25" t="str">
        <f aca="false">IF(ISNUMBER(A3),IFERROR(INDEX(設定!$F$4:$F$27,MATCH(K3,設定!$E$4:$E$27,0)),""),"")</f>
        <v/>
      </c>
    </row>
    <row r="4" customFormat="false" ht="15" hidden="false" customHeight="false" outlineLevel="0" collapsed="false">
      <c r="Z4" s="25" t="str">
        <f aca="false">IF(ISNUMBER(A4),IF(COUNTIF(祝日!$A:$A,A4)&gt;0,"祝",CHOOSE(WEEKDAY(A4,2),"月","火","水","木","金","土","日")),"")</f>
        <v/>
      </c>
      <c r="AA4" s="25" t="str">
        <f aca="false">IF(ISNUMBER(A4),IFERROR(INDEX(集計!$V$3:$V$33,MATCH(A4,集計!$N$3:$N$33,0)),0),"")</f>
        <v/>
      </c>
      <c r="AB4" s="25" t="str">
        <f aca="false">IF(ISNUMBER(A4),IFERROR(INDEX(設定!$F$4:$F$27,MATCH(K4,設定!$E$4:$E$27,0)),""),"")</f>
        <v/>
      </c>
    </row>
    <row r="5" customFormat="false" ht="15" hidden="false" customHeight="false" outlineLevel="0" collapsed="false">
      <c r="Z5" s="25" t="str">
        <f aca="false">IF(ISNUMBER(A5),IF(COUNTIF(祝日!$A:$A,A5)&gt;0,"祝",CHOOSE(WEEKDAY(A5,2),"月","火","水","木","金","土","日")),"")</f>
        <v/>
      </c>
      <c r="AA5" s="25" t="str">
        <f aca="false">IF(ISNUMBER(A5),IFERROR(INDEX(集計!$V$3:$V$33,MATCH(A5,集計!$N$3:$N$33,0)),0),"")</f>
        <v/>
      </c>
      <c r="AB5" s="25" t="str">
        <f aca="false">IF(ISNUMBER(A5),IFERROR(INDEX(設定!$F$4:$F$27,MATCH(K5,設定!$E$4:$E$27,0)),""),"")</f>
        <v/>
      </c>
    </row>
    <row r="6" customFormat="false" ht="15" hidden="false" customHeight="false" outlineLevel="0" collapsed="false">
      <c r="Z6" s="25" t="str">
        <f aca="false">IF(ISNUMBER(A6),IF(COUNTIF(祝日!$A:$A,A6)&gt;0,"祝",CHOOSE(WEEKDAY(A6,2),"月","火","水","木","金","土","日")),"")</f>
        <v/>
      </c>
      <c r="AA6" s="25" t="str">
        <f aca="false">IF(ISNUMBER(A6),IFERROR(INDEX(集計!$V$3:$V$33,MATCH(A6,集計!$N$3:$N$33,0)),0),"")</f>
        <v/>
      </c>
      <c r="AB6" s="25" t="str">
        <f aca="false">IF(ISNUMBER(A6),IFERROR(INDEX(設定!$F$4:$F$27,MATCH(K6,設定!$E$4:$E$27,0)),""),"")</f>
        <v/>
      </c>
    </row>
    <row r="7" customFormat="false" ht="15" hidden="false" customHeight="false" outlineLevel="0" collapsed="false">
      <c r="Z7" s="25" t="str">
        <f aca="false">IF(ISNUMBER(A7),IF(COUNTIF(祝日!$A:$A,A7)&gt;0,"祝",CHOOSE(WEEKDAY(A7,2),"月","火","水","木","金","土","日")),"")</f>
        <v/>
      </c>
      <c r="AA7" s="25" t="str">
        <f aca="false">IF(ISNUMBER(A7),IFERROR(INDEX(集計!$V$3:$V$33,MATCH(A7,集計!$N$3:$N$33,0)),0),"")</f>
        <v/>
      </c>
      <c r="AB7" s="25" t="str">
        <f aca="false">IF(ISNUMBER(A7),IFERROR(INDEX(設定!$F$4:$F$27,MATCH(K7,設定!$E$4:$E$27,0)),""),"")</f>
        <v/>
      </c>
    </row>
    <row r="8" customFormat="false" ht="15" hidden="false" customHeight="false" outlineLevel="0" collapsed="false">
      <c r="Z8" s="25" t="str">
        <f aca="false">IF(ISNUMBER(A8),IF(COUNTIF(祝日!$A:$A,A8)&gt;0,"祝",CHOOSE(WEEKDAY(A8,2),"月","火","水","木","金","土","日")),"")</f>
        <v/>
      </c>
      <c r="AA8" s="25" t="str">
        <f aca="false">IF(ISNUMBER(A8),IFERROR(INDEX(集計!$V$3:$V$33,MATCH(A8,集計!$N$3:$N$33,0)),0),"")</f>
        <v/>
      </c>
      <c r="AB8" s="25" t="str">
        <f aca="false">IF(ISNUMBER(A8),IFERROR(INDEX(設定!$F$4:$F$27,MATCH(K8,設定!$E$4:$E$27,0)),""),"")</f>
        <v/>
      </c>
    </row>
    <row r="9" customFormat="false" ht="15" hidden="false" customHeight="false" outlineLevel="0" collapsed="false">
      <c r="Z9" s="25" t="str">
        <f aca="false">IF(ISNUMBER(A9),IF(COUNTIF(祝日!$A:$A,A9)&gt;0,"祝",CHOOSE(WEEKDAY(A9,2),"月","火","水","木","金","土","日")),"")</f>
        <v/>
      </c>
      <c r="AA9" s="25" t="str">
        <f aca="false">IF(ISNUMBER(A9),IFERROR(INDEX(集計!$V$3:$V$33,MATCH(A9,集計!$N$3:$N$33,0)),0),"")</f>
        <v/>
      </c>
      <c r="AB9" s="25" t="str">
        <f aca="false">IF(ISNUMBER(A9),IFERROR(INDEX(設定!$F$4:$F$27,MATCH(K9,設定!$E$4:$E$27,0)),""),"")</f>
        <v/>
      </c>
    </row>
    <row r="10" customFormat="false" ht="15" hidden="false" customHeight="false" outlineLevel="0" collapsed="false">
      <c r="Z10" s="25" t="str">
        <f aca="false">IF(ISNUMBER(A10),IF(COUNTIF(祝日!$A:$A,A10)&gt;0,"祝",CHOOSE(WEEKDAY(A10,2),"月","火","水","木","金","土","日")),"")</f>
        <v/>
      </c>
      <c r="AA10" s="25" t="str">
        <f aca="false">IF(ISNUMBER(A10),IFERROR(INDEX(集計!$V$3:$V$33,MATCH(A10,集計!$N$3:$N$33,0)),0),"")</f>
        <v/>
      </c>
      <c r="AB10" s="25" t="str">
        <f aca="false">IF(ISNUMBER(A10),IFERROR(INDEX(設定!$F$4:$F$27,MATCH(K10,設定!$E$4:$E$27,0)),""),"")</f>
        <v/>
      </c>
    </row>
    <row r="11" customFormat="false" ht="15" hidden="false" customHeight="false" outlineLevel="0" collapsed="false">
      <c r="Z11" s="25" t="str">
        <f aca="false">IF(ISNUMBER(A11),IF(COUNTIF(祝日!$A:$A,A11)&gt;0,"祝",CHOOSE(WEEKDAY(A11,2),"月","火","水","木","金","土","日")),"")</f>
        <v/>
      </c>
      <c r="AA11" s="25" t="str">
        <f aca="false">IF(ISNUMBER(A11),IFERROR(INDEX(集計!$V$3:$V$33,MATCH(A11,集計!$N$3:$N$33,0)),0),"")</f>
        <v/>
      </c>
      <c r="AB11" s="25" t="str">
        <f aca="false">IF(ISNUMBER(A11),IFERROR(INDEX(設定!$F$4:$F$27,MATCH(K11,設定!$E$4:$E$27,0)),""),"")</f>
        <v/>
      </c>
    </row>
    <row r="12" customFormat="false" ht="15" hidden="false" customHeight="false" outlineLevel="0" collapsed="false">
      <c r="Z12" s="25" t="str">
        <f aca="false">IF(ISNUMBER(A12),IF(COUNTIF(祝日!$A:$A,A12)&gt;0,"祝",CHOOSE(WEEKDAY(A12,2),"月","火","水","木","金","土","日")),"")</f>
        <v/>
      </c>
      <c r="AA12" s="25" t="str">
        <f aca="false">IF(ISNUMBER(A12),IFERROR(INDEX(集計!$V$3:$V$33,MATCH(A12,集計!$N$3:$N$33,0)),0),"")</f>
        <v/>
      </c>
      <c r="AB12" s="25" t="str">
        <f aca="false">IF(ISNUMBER(A12),IFERROR(INDEX(設定!$F$4:$F$27,MATCH(K12,設定!$E$4:$E$27,0)),""),"")</f>
        <v/>
      </c>
    </row>
    <row r="13" customFormat="false" ht="15" hidden="false" customHeight="false" outlineLevel="0" collapsed="false">
      <c r="Z13" s="25" t="str">
        <f aca="false">IF(ISNUMBER(A13),IF(COUNTIF(祝日!$A:$A,A13)&gt;0,"祝",CHOOSE(WEEKDAY(A13,2),"月","火","水","木","金","土","日")),"")</f>
        <v/>
      </c>
      <c r="AA13" s="25" t="str">
        <f aca="false">IF(ISNUMBER(A13),IFERROR(INDEX(集計!$V$3:$V$33,MATCH(A13,集計!$N$3:$N$33,0)),0),"")</f>
        <v/>
      </c>
      <c r="AB13" s="25" t="str">
        <f aca="false">IF(ISNUMBER(A13),IFERROR(INDEX(設定!$F$4:$F$27,MATCH(K13,設定!$E$4:$E$27,0)),""),"")</f>
        <v/>
      </c>
    </row>
    <row r="14" customFormat="false" ht="15" hidden="false" customHeight="false" outlineLevel="0" collapsed="false">
      <c r="Z14" s="25" t="str">
        <f aca="false">IF(ISNUMBER(A14),IF(COUNTIF(祝日!$A:$A,A14)&gt;0,"祝",CHOOSE(WEEKDAY(A14,2),"月","火","水","木","金","土","日")),"")</f>
        <v/>
      </c>
      <c r="AA14" s="25" t="str">
        <f aca="false">IF(ISNUMBER(A14),IFERROR(INDEX(集計!$V$3:$V$33,MATCH(A14,集計!$N$3:$N$33,0)),0),"")</f>
        <v/>
      </c>
      <c r="AB14" s="25" t="str">
        <f aca="false">IF(ISNUMBER(A14),IFERROR(INDEX(設定!$F$4:$F$27,MATCH(K14,設定!$E$4:$E$27,0)),""),"")</f>
        <v/>
      </c>
    </row>
    <row r="15" customFormat="false" ht="15" hidden="false" customHeight="false" outlineLevel="0" collapsed="false">
      <c r="Z15" s="25" t="str">
        <f aca="false">IF(ISNUMBER(A15),IF(COUNTIF(祝日!$A:$A,A15)&gt;0,"祝",CHOOSE(WEEKDAY(A15,2),"月","火","水","木","金","土","日")),"")</f>
        <v/>
      </c>
      <c r="AA15" s="25" t="str">
        <f aca="false">IF(ISNUMBER(A15),IFERROR(INDEX(集計!$V$3:$V$33,MATCH(A15,集計!$N$3:$N$33,0)),0),"")</f>
        <v/>
      </c>
      <c r="AB15" s="25" t="str">
        <f aca="false">IF(ISNUMBER(A15),IFERROR(INDEX(設定!$F$4:$F$27,MATCH(K15,設定!$E$4:$E$27,0)),""),"")</f>
        <v/>
      </c>
    </row>
    <row r="16" customFormat="false" ht="15" hidden="false" customHeight="false" outlineLevel="0" collapsed="false">
      <c r="Z16" s="25" t="str">
        <f aca="false">IF(ISNUMBER(A16),IF(COUNTIF(祝日!$A:$A,A16)&gt;0,"祝",CHOOSE(WEEKDAY(A16,2),"月","火","水","木","金","土","日")),"")</f>
        <v/>
      </c>
      <c r="AA16" s="25" t="str">
        <f aca="false">IF(ISNUMBER(A16),IFERROR(INDEX(集計!$V$3:$V$33,MATCH(A16,集計!$N$3:$N$33,0)),0),"")</f>
        <v/>
      </c>
      <c r="AB16" s="25" t="str">
        <f aca="false">IF(ISNUMBER(A16),IFERROR(INDEX(設定!$F$4:$F$27,MATCH(K16,設定!$E$4:$E$27,0)),""),"")</f>
        <v/>
      </c>
    </row>
    <row r="17" customFormat="false" ht="15" hidden="false" customHeight="false" outlineLevel="0" collapsed="false">
      <c r="Z17" s="25" t="str">
        <f aca="false">IF(ISNUMBER(A17),IF(COUNTIF(祝日!$A:$A,A17)&gt;0,"祝",CHOOSE(WEEKDAY(A17,2),"月","火","水","木","金","土","日")),"")</f>
        <v/>
      </c>
      <c r="AA17" s="25" t="str">
        <f aca="false">IF(ISNUMBER(A17),IFERROR(INDEX(集計!$V$3:$V$33,MATCH(A17,集計!$N$3:$N$33,0)),0),"")</f>
        <v/>
      </c>
      <c r="AB17" s="25" t="str">
        <f aca="false">IF(ISNUMBER(A17),IFERROR(INDEX(設定!$F$4:$F$27,MATCH(K17,設定!$E$4:$E$27,0)),""),"")</f>
        <v/>
      </c>
    </row>
    <row r="18" customFormat="false" ht="15" hidden="false" customHeight="false" outlineLevel="0" collapsed="false">
      <c r="Z18" s="25" t="str">
        <f aca="false">IF(ISNUMBER(A18),IF(COUNTIF(祝日!$A:$A,A18)&gt;0,"祝",CHOOSE(WEEKDAY(A18,2),"月","火","水","木","金","土","日")),"")</f>
        <v/>
      </c>
      <c r="AA18" s="25" t="str">
        <f aca="false">IF(ISNUMBER(A18),IFERROR(INDEX(集計!$V$3:$V$33,MATCH(A18,集計!$N$3:$N$33,0)),0),"")</f>
        <v/>
      </c>
      <c r="AB18" s="25" t="str">
        <f aca="false">IF(ISNUMBER(A18),IFERROR(INDEX(設定!$F$4:$F$27,MATCH(K18,設定!$E$4:$E$27,0)),""),"")</f>
        <v/>
      </c>
    </row>
    <row r="19" customFormat="false" ht="15" hidden="false" customHeight="false" outlineLevel="0" collapsed="false">
      <c r="Z19" s="25" t="str">
        <f aca="false">IF(ISNUMBER(A19),IF(COUNTIF(祝日!$A:$A,A19)&gt;0,"祝",CHOOSE(WEEKDAY(A19,2),"月","火","水","木","金","土","日")),"")</f>
        <v/>
      </c>
      <c r="AA19" s="25" t="str">
        <f aca="false">IF(ISNUMBER(A19),IFERROR(INDEX(集計!$V$3:$V$33,MATCH(A19,集計!$N$3:$N$33,0)),0),"")</f>
        <v/>
      </c>
      <c r="AB19" s="25" t="str">
        <f aca="false">IF(ISNUMBER(A19),IFERROR(INDEX(設定!$F$4:$F$27,MATCH(K19,設定!$E$4:$E$27,0)),""),"")</f>
        <v/>
      </c>
    </row>
    <row r="20" customFormat="false" ht="15" hidden="false" customHeight="false" outlineLevel="0" collapsed="false">
      <c r="Z20" s="25" t="str">
        <f aca="false">IF(ISNUMBER(A20),IF(COUNTIF(祝日!$A:$A,A20)&gt;0,"祝",CHOOSE(WEEKDAY(A20,2),"月","火","水","木","金","土","日")),"")</f>
        <v/>
      </c>
      <c r="AA20" s="25" t="str">
        <f aca="false">IF(ISNUMBER(A20),IFERROR(INDEX(集計!$V$3:$V$33,MATCH(A20,集計!$N$3:$N$33,0)),0),"")</f>
        <v/>
      </c>
      <c r="AB20" s="25" t="str">
        <f aca="false">IF(ISNUMBER(A20),IFERROR(INDEX(設定!$F$4:$F$27,MATCH(K20,設定!$E$4:$E$27,0)),""),"")</f>
        <v/>
      </c>
    </row>
    <row r="21" customFormat="false" ht="15" hidden="false" customHeight="false" outlineLevel="0" collapsed="false">
      <c r="Z21" s="25" t="str">
        <f aca="false">IF(ISNUMBER(A21),IF(COUNTIF(祝日!$A:$A,A21)&gt;0,"祝",CHOOSE(WEEKDAY(A21,2),"月","火","水","木","金","土","日")),"")</f>
        <v/>
      </c>
      <c r="AA21" s="25" t="str">
        <f aca="false">IF(ISNUMBER(A21),IFERROR(INDEX(集計!$V$3:$V$33,MATCH(A21,集計!$N$3:$N$33,0)),0),"")</f>
        <v/>
      </c>
      <c r="AB21" s="25" t="str">
        <f aca="false">IF(ISNUMBER(A21),IFERROR(INDEX(設定!$F$4:$F$27,MATCH(K21,設定!$E$4:$E$27,0)),""),"")</f>
        <v/>
      </c>
    </row>
    <row r="22" customFormat="false" ht="15" hidden="false" customHeight="false" outlineLevel="0" collapsed="false">
      <c r="Z22" s="25" t="str">
        <f aca="false">IF(ISNUMBER(A22),IF(COUNTIF(祝日!$A:$A,A22)&gt;0,"祝",CHOOSE(WEEKDAY(A22,2),"月","火","水","木","金","土","日")),"")</f>
        <v/>
      </c>
      <c r="AA22" s="25" t="str">
        <f aca="false">IF(ISNUMBER(A22),IFERROR(INDEX(集計!$V$3:$V$33,MATCH(A22,集計!$N$3:$N$33,0)),0),"")</f>
        <v/>
      </c>
      <c r="AB22" s="25" t="str">
        <f aca="false">IF(ISNUMBER(A22),IFERROR(INDEX(設定!$F$4:$F$27,MATCH(K22,設定!$E$4:$E$27,0)),""),"")</f>
        <v/>
      </c>
    </row>
    <row r="23" customFormat="false" ht="15" hidden="false" customHeight="false" outlineLevel="0" collapsed="false">
      <c r="Z23" s="25" t="str">
        <f aca="false">IF(ISNUMBER(A23),IF(COUNTIF(祝日!$A:$A,A23)&gt;0,"祝",CHOOSE(WEEKDAY(A23,2),"月","火","水","木","金","土","日")),"")</f>
        <v/>
      </c>
      <c r="AA23" s="25" t="str">
        <f aca="false">IF(ISNUMBER(A23),IFERROR(INDEX(集計!$V$3:$V$33,MATCH(A23,集計!$N$3:$N$33,0)),0),"")</f>
        <v/>
      </c>
      <c r="AB23" s="25" t="str">
        <f aca="false">IF(ISNUMBER(A23),IFERROR(INDEX(設定!$F$4:$F$27,MATCH(K23,設定!$E$4:$E$27,0)),""),"")</f>
        <v/>
      </c>
    </row>
    <row r="24" customFormat="false" ht="15" hidden="false" customHeight="false" outlineLevel="0" collapsed="false">
      <c r="Z24" s="25" t="str">
        <f aca="false">IF(ISNUMBER(A24),IF(COUNTIF(祝日!$A:$A,A24)&gt;0,"祝",CHOOSE(WEEKDAY(A24,2),"月","火","水","木","金","土","日")),"")</f>
        <v/>
      </c>
      <c r="AA24" s="25" t="str">
        <f aca="false">IF(ISNUMBER(A24),IFERROR(INDEX(集計!$V$3:$V$33,MATCH(A24,集計!$N$3:$N$33,0)),0),"")</f>
        <v/>
      </c>
      <c r="AB24" s="25" t="str">
        <f aca="false">IF(ISNUMBER(A24),IFERROR(INDEX(設定!$F$4:$F$27,MATCH(K24,設定!$E$4:$E$27,0)),""),"")</f>
        <v/>
      </c>
    </row>
    <row r="25" customFormat="false" ht="15" hidden="false" customHeight="false" outlineLevel="0" collapsed="false">
      <c r="Z25" s="25" t="str">
        <f aca="false">IF(ISNUMBER(A25),IF(COUNTIF(祝日!$A:$A,A25)&gt;0,"祝",CHOOSE(WEEKDAY(A25,2),"月","火","水","木","金","土","日")),"")</f>
        <v/>
      </c>
      <c r="AA25" s="25" t="str">
        <f aca="false">IF(ISNUMBER(A25),IFERROR(INDEX(集計!$V$3:$V$33,MATCH(A25,集計!$N$3:$N$33,0)),0),"")</f>
        <v/>
      </c>
      <c r="AB25" s="25" t="str">
        <f aca="false">IF(ISNUMBER(A25),IFERROR(INDEX(設定!$F$4:$F$27,MATCH(K25,設定!$E$4:$E$27,0)),""),"")</f>
        <v/>
      </c>
    </row>
    <row r="26" customFormat="false" ht="15" hidden="false" customHeight="false" outlineLevel="0" collapsed="false">
      <c r="Z26" s="25" t="str">
        <f aca="false">IF(ISNUMBER(A26),IF(COUNTIF(祝日!$A:$A,A26)&gt;0,"祝",CHOOSE(WEEKDAY(A26,2),"月","火","水","木","金","土","日")),"")</f>
        <v/>
      </c>
      <c r="AA26" s="25" t="str">
        <f aca="false">IF(ISNUMBER(A26),IFERROR(INDEX(集計!$V$3:$V$33,MATCH(A26,集計!$N$3:$N$33,0)),0),"")</f>
        <v/>
      </c>
      <c r="AB26" s="25" t="str">
        <f aca="false">IF(ISNUMBER(A26),IFERROR(INDEX(設定!$F$4:$F$27,MATCH(K26,設定!$E$4:$E$27,0)),""),"")</f>
        <v/>
      </c>
    </row>
    <row r="27" customFormat="false" ht="15" hidden="false" customHeight="false" outlineLevel="0" collapsed="false">
      <c r="Z27" s="25" t="str">
        <f aca="false">IF(ISNUMBER(A27),IF(COUNTIF(祝日!$A:$A,A27)&gt;0,"祝",CHOOSE(WEEKDAY(A27,2),"月","火","水","木","金","土","日")),"")</f>
        <v/>
      </c>
      <c r="AA27" s="25" t="str">
        <f aca="false">IF(ISNUMBER(A27),IFERROR(INDEX(集計!$V$3:$V$33,MATCH(A27,集計!$N$3:$N$33,0)),0),"")</f>
        <v/>
      </c>
      <c r="AB27" s="25" t="str">
        <f aca="false">IF(ISNUMBER(A27),IFERROR(INDEX(設定!$F$4:$F$27,MATCH(K27,設定!$E$4:$E$27,0)),""),"")</f>
        <v/>
      </c>
    </row>
    <row r="28" customFormat="false" ht="15" hidden="false" customHeight="false" outlineLevel="0" collapsed="false">
      <c r="Z28" s="25" t="str">
        <f aca="false">IF(ISNUMBER(A28),IF(COUNTIF(祝日!$A:$A,A28)&gt;0,"祝",CHOOSE(WEEKDAY(A28,2),"月","火","水","木","金","土","日")),"")</f>
        <v/>
      </c>
      <c r="AA28" s="25" t="str">
        <f aca="false">IF(ISNUMBER(A28),IFERROR(INDEX(集計!$V$3:$V$33,MATCH(A28,集計!$N$3:$N$33,0)),0),"")</f>
        <v/>
      </c>
      <c r="AB28" s="25" t="str">
        <f aca="false">IF(ISNUMBER(A28),IFERROR(INDEX(設定!$F$4:$F$27,MATCH(K28,設定!$E$4:$E$27,0)),""),"")</f>
        <v/>
      </c>
    </row>
    <row r="29" customFormat="false" ht="15" hidden="false" customHeight="false" outlineLevel="0" collapsed="false">
      <c r="Z29" s="25" t="str">
        <f aca="false">IF(ISNUMBER(A29),IF(COUNTIF(祝日!$A:$A,A29)&gt;0,"祝",CHOOSE(WEEKDAY(A29,2),"月","火","水","木","金","土","日")),"")</f>
        <v/>
      </c>
      <c r="AA29" s="25" t="str">
        <f aca="false">IF(ISNUMBER(A29),IFERROR(INDEX(集計!$V$3:$V$33,MATCH(A29,集計!$N$3:$N$33,0)),0),"")</f>
        <v/>
      </c>
      <c r="AB29" s="25" t="str">
        <f aca="false">IF(ISNUMBER(A29),IFERROR(INDEX(設定!$F$4:$F$27,MATCH(K29,設定!$E$4:$E$27,0)),""),"")</f>
        <v/>
      </c>
    </row>
    <row r="30" customFormat="false" ht="15" hidden="false" customHeight="false" outlineLevel="0" collapsed="false">
      <c r="Z30" s="25" t="str">
        <f aca="false">IF(ISNUMBER(A30),IF(COUNTIF(祝日!$A:$A,A30)&gt;0,"祝",CHOOSE(WEEKDAY(A30,2),"月","火","水","木","金","土","日")),"")</f>
        <v/>
      </c>
      <c r="AA30" s="25" t="str">
        <f aca="false">IF(ISNUMBER(A30),IFERROR(INDEX(集計!$V$3:$V$33,MATCH(A30,集計!$N$3:$N$33,0)),0),"")</f>
        <v/>
      </c>
      <c r="AB30" s="25" t="str">
        <f aca="false">IF(ISNUMBER(A30),IFERROR(INDEX(設定!$F$4:$F$27,MATCH(K30,設定!$E$4:$E$27,0)),""),"")</f>
        <v/>
      </c>
    </row>
    <row r="31" customFormat="false" ht="15" hidden="false" customHeight="false" outlineLevel="0" collapsed="false">
      <c r="Z31" s="25" t="str">
        <f aca="false">IF(ISNUMBER(A31),IF(COUNTIF(祝日!$A:$A,A31)&gt;0,"祝",CHOOSE(WEEKDAY(A31,2),"月","火","水","木","金","土","日")),"")</f>
        <v/>
      </c>
      <c r="AA31" s="25" t="str">
        <f aca="false">IF(ISNUMBER(A31),IFERROR(INDEX(集計!$V$3:$V$33,MATCH(A31,集計!$N$3:$N$33,0)),0),"")</f>
        <v/>
      </c>
      <c r="AB31" s="25" t="str">
        <f aca="false">IF(ISNUMBER(A31),IFERROR(INDEX(設定!$F$4:$F$27,MATCH(K31,設定!$E$4:$E$27,0)),""),"")</f>
        <v/>
      </c>
    </row>
    <row r="32" customFormat="false" ht="15" hidden="false" customHeight="false" outlineLevel="0" collapsed="false">
      <c r="Z32" s="25" t="str">
        <f aca="false">IF(ISNUMBER(A32),IF(COUNTIF(祝日!$A:$A,A32)&gt;0,"祝",CHOOSE(WEEKDAY(A32,2),"月","火","水","木","金","土","日")),"")</f>
        <v/>
      </c>
      <c r="AA32" s="25" t="str">
        <f aca="false">IF(ISNUMBER(A32),IFERROR(INDEX(集計!$V$3:$V$33,MATCH(A32,集計!$N$3:$N$33,0)),0),"")</f>
        <v/>
      </c>
      <c r="AB32" s="25" t="str">
        <f aca="false">IF(ISNUMBER(A32),IFERROR(INDEX(設定!$F$4:$F$27,MATCH(K32,設定!$E$4:$E$27,0)),""),"")</f>
        <v/>
      </c>
    </row>
    <row r="33" customFormat="false" ht="15" hidden="false" customHeight="false" outlineLevel="0" collapsed="false">
      <c r="Z33" s="25" t="str">
        <f aca="false">IF(ISNUMBER(A33),IF(COUNTIF(祝日!$A:$A,A33)&gt;0,"祝",CHOOSE(WEEKDAY(A33,2),"月","火","水","木","金","土","日")),"")</f>
        <v/>
      </c>
      <c r="AA33" s="25" t="str">
        <f aca="false">IF(ISNUMBER(A33),IFERROR(INDEX(集計!$V$3:$V$33,MATCH(A33,集計!$N$3:$N$33,0)),0),"")</f>
        <v/>
      </c>
      <c r="AB33" s="25" t="str">
        <f aca="false">IF(ISNUMBER(A33),IFERROR(INDEX(設定!$F$4:$F$27,MATCH(K33,設定!$E$4:$E$27,0)),""),"")</f>
        <v/>
      </c>
    </row>
    <row r="34" customFormat="false" ht="15" hidden="false" customHeight="false" outlineLevel="0" collapsed="false">
      <c r="Z34" s="25" t="str">
        <f aca="false">IF(ISNUMBER(A34),IF(COUNTIF(祝日!$A:$A,A34)&gt;0,"祝",CHOOSE(WEEKDAY(A34,2),"月","火","水","木","金","土","日")),"")</f>
        <v/>
      </c>
      <c r="AA34" s="25" t="str">
        <f aca="false">IF(ISNUMBER(A34),IFERROR(INDEX(集計!$V$3:$V$33,MATCH(A34,集計!$N$3:$N$33,0)),0),"")</f>
        <v/>
      </c>
      <c r="AB34" s="25" t="str">
        <f aca="false">IF(ISNUMBER(A34),IFERROR(INDEX(設定!$F$4:$F$27,MATCH(K34,設定!$E$4:$E$27,0)),""),"")</f>
        <v/>
      </c>
    </row>
    <row r="35" customFormat="false" ht="15" hidden="false" customHeight="false" outlineLevel="0" collapsed="false">
      <c r="Z35" s="25" t="str">
        <f aca="false">IF(ISNUMBER(A35),IF(COUNTIF(祝日!$A:$A,A35)&gt;0,"祝",CHOOSE(WEEKDAY(A35,2),"月","火","水","木","金","土","日")),"")</f>
        <v/>
      </c>
      <c r="AA35" s="25" t="str">
        <f aca="false">IF(ISNUMBER(A35),IFERROR(INDEX(集計!$V$3:$V$33,MATCH(A35,集計!$N$3:$N$33,0)),0),"")</f>
        <v/>
      </c>
      <c r="AB35" s="25" t="str">
        <f aca="false">IF(ISNUMBER(A35),IFERROR(INDEX(設定!$F$4:$F$27,MATCH(K35,設定!$E$4:$E$27,0)),""),"")</f>
        <v/>
      </c>
    </row>
    <row r="36" customFormat="false" ht="15" hidden="false" customHeight="false" outlineLevel="0" collapsed="false">
      <c r="Z36" s="25" t="str">
        <f aca="false">IF(ISNUMBER(A36),IF(COUNTIF(祝日!$A:$A,A36)&gt;0,"祝",CHOOSE(WEEKDAY(A36,2),"月","火","水","木","金","土","日")),"")</f>
        <v/>
      </c>
      <c r="AA36" s="25" t="str">
        <f aca="false">IF(ISNUMBER(A36),IFERROR(INDEX(集計!$V$3:$V$33,MATCH(A36,集計!$N$3:$N$33,0)),0),"")</f>
        <v/>
      </c>
      <c r="AB36" s="25" t="str">
        <f aca="false">IF(ISNUMBER(A36),IFERROR(INDEX(設定!$F$4:$F$27,MATCH(K36,設定!$E$4:$E$27,0)),""),"")</f>
        <v/>
      </c>
    </row>
    <row r="37" customFormat="false" ht="15" hidden="false" customHeight="false" outlineLevel="0" collapsed="false">
      <c r="Z37" s="25" t="str">
        <f aca="false">IF(ISNUMBER(A37),IF(COUNTIF(祝日!$A:$A,A37)&gt;0,"祝",CHOOSE(WEEKDAY(A37,2),"月","火","水","木","金","土","日")),"")</f>
        <v/>
      </c>
      <c r="AA37" s="25" t="str">
        <f aca="false">IF(ISNUMBER(A37),IFERROR(INDEX(集計!$V$3:$V$33,MATCH(A37,集計!$N$3:$N$33,0)),0),"")</f>
        <v/>
      </c>
      <c r="AB37" s="25" t="str">
        <f aca="false">IF(ISNUMBER(A37),IFERROR(INDEX(設定!$F$4:$F$27,MATCH(K37,設定!$E$4:$E$27,0)),""),"")</f>
        <v/>
      </c>
    </row>
    <row r="38" customFormat="false" ht="15" hidden="false" customHeight="false" outlineLevel="0" collapsed="false">
      <c r="Z38" s="25" t="str">
        <f aca="false">IF(ISNUMBER(A38),IF(COUNTIF(祝日!$A:$A,A38)&gt;0,"祝",CHOOSE(WEEKDAY(A38,2),"月","火","水","木","金","土","日")),"")</f>
        <v/>
      </c>
      <c r="AA38" s="25" t="str">
        <f aca="false">IF(ISNUMBER(A38),IFERROR(INDEX(集計!$V$3:$V$33,MATCH(A38,集計!$N$3:$N$33,0)),0),"")</f>
        <v/>
      </c>
      <c r="AB38" s="25" t="str">
        <f aca="false">IF(ISNUMBER(A38),IFERROR(INDEX(設定!$F$4:$F$27,MATCH(K38,設定!$E$4:$E$27,0)),""),"")</f>
        <v/>
      </c>
    </row>
    <row r="39" customFormat="false" ht="15" hidden="false" customHeight="false" outlineLevel="0" collapsed="false">
      <c r="Z39" s="25" t="str">
        <f aca="false">IF(ISNUMBER(A39),IF(COUNTIF(祝日!$A:$A,A39)&gt;0,"祝",CHOOSE(WEEKDAY(A39,2),"月","火","水","木","金","土","日")),"")</f>
        <v/>
      </c>
      <c r="AA39" s="25" t="str">
        <f aca="false">IF(ISNUMBER(A39),IFERROR(INDEX(集計!$V$3:$V$33,MATCH(A39,集計!$N$3:$N$33,0)),0),"")</f>
        <v/>
      </c>
      <c r="AB39" s="25" t="str">
        <f aca="false">IF(ISNUMBER(A39),IFERROR(INDEX(設定!$F$4:$F$27,MATCH(K39,設定!$E$4:$E$27,0)),""),"")</f>
        <v/>
      </c>
    </row>
    <row r="40" customFormat="false" ht="15" hidden="false" customHeight="false" outlineLevel="0" collapsed="false">
      <c r="Z40" s="25" t="str">
        <f aca="false">IF(ISNUMBER(A40),IF(COUNTIF(祝日!$A:$A,A40)&gt;0,"祝",CHOOSE(WEEKDAY(A40,2),"月","火","水","木","金","土","日")),"")</f>
        <v/>
      </c>
      <c r="AA40" s="25" t="str">
        <f aca="false">IF(ISNUMBER(A40),IFERROR(INDEX(集計!$V$3:$V$33,MATCH(A40,集計!$N$3:$N$33,0)),0),"")</f>
        <v/>
      </c>
      <c r="AB40" s="25" t="str">
        <f aca="false">IF(ISNUMBER(A40),IFERROR(INDEX(設定!$F$4:$F$27,MATCH(K40,設定!$E$4:$E$27,0)),""),"")</f>
        <v/>
      </c>
    </row>
    <row r="41" customFormat="false" ht="15" hidden="false" customHeight="false" outlineLevel="0" collapsed="false">
      <c r="Z41" s="25" t="str">
        <f aca="false">IF(ISNUMBER(A41),IF(COUNTIF(祝日!$A:$A,A41)&gt;0,"祝",CHOOSE(WEEKDAY(A41,2),"月","火","水","木","金","土","日")),"")</f>
        <v/>
      </c>
      <c r="AA41" s="25" t="str">
        <f aca="false">IF(ISNUMBER(A41),IFERROR(INDEX(集計!$V$3:$V$33,MATCH(A41,集計!$N$3:$N$33,0)),0),"")</f>
        <v/>
      </c>
      <c r="AB41" s="25" t="str">
        <f aca="false">IF(ISNUMBER(A41),IFERROR(INDEX(設定!$F$4:$F$27,MATCH(K41,設定!$E$4:$E$27,0)),""),"")</f>
        <v/>
      </c>
    </row>
    <row r="42" customFormat="false" ht="15" hidden="false" customHeight="false" outlineLevel="0" collapsed="false">
      <c r="Z42" s="25" t="str">
        <f aca="false">IF(ISNUMBER(A42),IF(COUNTIF(祝日!$A:$A,A42)&gt;0,"祝",CHOOSE(WEEKDAY(A42,2),"月","火","水","木","金","土","日")),"")</f>
        <v/>
      </c>
      <c r="AA42" s="25" t="str">
        <f aca="false">IF(ISNUMBER(A42),IFERROR(INDEX(集計!$V$3:$V$33,MATCH(A42,集計!$N$3:$N$33,0)),0),"")</f>
        <v/>
      </c>
      <c r="AB42" s="25" t="str">
        <f aca="false">IF(ISNUMBER(A42),IFERROR(INDEX(設定!$F$4:$F$27,MATCH(K42,設定!$E$4:$E$27,0)),""),"")</f>
        <v/>
      </c>
    </row>
    <row r="43" customFormat="false" ht="15" hidden="false" customHeight="false" outlineLevel="0" collapsed="false">
      <c r="Z43" s="25" t="str">
        <f aca="false">IF(ISNUMBER(A43),IF(COUNTIF(祝日!$A:$A,A43)&gt;0,"祝",CHOOSE(WEEKDAY(A43,2),"月","火","水","木","金","土","日")),"")</f>
        <v/>
      </c>
      <c r="AA43" s="25" t="str">
        <f aca="false">IF(ISNUMBER(A43),IFERROR(INDEX(集計!$V$3:$V$33,MATCH(A43,集計!$N$3:$N$33,0)),0),"")</f>
        <v/>
      </c>
      <c r="AB43" s="25" t="str">
        <f aca="false">IF(ISNUMBER(A43),IFERROR(INDEX(設定!$F$4:$F$27,MATCH(K43,設定!$E$4:$E$27,0)),""),"")</f>
        <v/>
      </c>
    </row>
    <row r="44" customFormat="false" ht="15" hidden="false" customHeight="false" outlineLevel="0" collapsed="false">
      <c r="Z44" s="25" t="str">
        <f aca="false">IF(ISNUMBER(A44),IF(COUNTIF(祝日!$A:$A,A44)&gt;0,"祝",CHOOSE(WEEKDAY(A44,2),"月","火","水","木","金","土","日")),"")</f>
        <v/>
      </c>
      <c r="AA44" s="25" t="str">
        <f aca="false">IF(ISNUMBER(A44),IFERROR(INDEX(集計!$V$3:$V$33,MATCH(A44,集計!$N$3:$N$33,0)),0),"")</f>
        <v/>
      </c>
      <c r="AB44" s="25" t="str">
        <f aca="false">IF(ISNUMBER(A44),IFERROR(INDEX(設定!$F$4:$F$27,MATCH(K44,設定!$E$4:$E$27,0)),""),"")</f>
        <v/>
      </c>
    </row>
    <row r="45" customFormat="false" ht="15" hidden="false" customHeight="false" outlineLevel="0" collapsed="false">
      <c r="Z45" s="25" t="str">
        <f aca="false">IF(ISNUMBER(A45),IF(COUNTIF(祝日!$A:$A,A45)&gt;0,"祝",CHOOSE(WEEKDAY(A45,2),"月","火","水","木","金","土","日")),"")</f>
        <v/>
      </c>
      <c r="AA45" s="25" t="str">
        <f aca="false">IF(ISNUMBER(A45),IFERROR(INDEX(集計!$V$3:$V$33,MATCH(A45,集計!$N$3:$N$33,0)),0),"")</f>
        <v/>
      </c>
      <c r="AB45" s="25" t="str">
        <f aca="false">IF(ISNUMBER(A45),IFERROR(INDEX(設定!$F$4:$F$27,MATCH(K45,設定!$E$4:$E$27,0)),""),"")</f>
        <v/>
      </c>
    </row>
    <row r="46" customFormat="false" ht="15" hidden="false" customHeight="false" outlineLevel="0" collapsed="false">
      <c r="Z46" s="25" t="str">
        <f aca="false">IF(ISNUMBER(A46),IF(COUNTIF(祝日!$A:$A,A46)&gt;0,"祝",CHOOSE(WEEKDAY(A46,2),"月","火","水","木","金","土","日")),"")</f>
        <v/>
      </c>
      <c r="AA46" s="25" t="str">
        <f aca="false">IF(ISNUMBER(A46),IFERROR(INDEX(集計!$V$3:$V$33,MATCH(A46,集計!$N$3:$N$33,0)),0),"")</f>
        <v/>
      </c>
      <c r="AB46" s="25" t="str">
        <f aca="false">IF(ISNUMBER(A46),IFERROR(INDEX(設定!$F$4:$F$27,MATCH(K46,設定!$E$4:$E$27,0)),""),"")</f>
        <v/>
      </c>
    </row>
    <row r="47" customFormat="false" ht="15" hidden="false" customHeight="false" outlineLevel="0" collapsed="false">
      <c r="Z47" s="25" t="str">
        <f aca="false">IF(ISNUMBER(A47),IF(COUNTIF(祝日!$A:$A,A47)&gt;0,"祝",CHOOSE(WEEKDAY(A47,2),"月","火","水","木","金","土","日")),"")</f>
        <v/>
      </c>
      <c r="AA47" s="25" t="str">
        <f aca="false">IF(ISNUMBER(A47),IFERROR(INDEX(集計!$V$3:$V$33,MATCH(A47,集計!$N$3:$N$33,0)),0),"")</f>
        <v/>
      </c>
      <c r="AB47" s="25" t="str">
        <f aca="false">IF(ISNUMBER(A47),IFERROR(INDEX(設定!$F$4:$F$27,MATCH(K47,設定!$E$4:$E$27,0)),""),"")</f>
        <v/>
      </c>
    </row>
    <row r="48" customFormat="false" ht="15" hidden="false" customHeight="false" outlineLevel="0" collapsed="false">
      <c r="Z48" s="25" t="str">
        <f aca="false">IF(ISNUMBER(A48),IF(COUNTIF(祝日!$A:$A,A48)&gt;0,"祝",CHOOSE(WEEKDAY(A48,2),"月","火","水","木","金","土","日")),"")</f>
        <v/>
      </c>
      <c r="AA48" s="25" t="str">
        <f aca="false">IF(ISNUMBER(A48),IFERROR(INDEX(集計!$V$3:$V$33,MATCH(A48,集計!$N$3:$N$33,0)),0),"")</f>
        <v/>
      </c>
      <c r="AB48" s="25" t="str">
        <f aca="false">IF(ISNUMBER(A48),IFERROR(INDEX(設定!$F$4:$F$27,MATCH(K48,設定!$E$4:$E$27,0)),""),"")</f>
        <v/>
      </c>
    </row>
    <row r="49" customFormat="false" ht="15" hidden="false" customHeight="false" outlineLevel="0" collapsed="false">
      <c r="Z49" s="25" t="str">
        <f aca="false">IF(ISNUMBER(A49),IF(COUNTIF(祝日!$A:$A,A49)&gt;0,"祝",CHOOSE(WEEKDAY(A49,2),"月","火","水","木","金","土","日")),"")</f>
        <v/>
      </c>
      <c r="AA49" s="25" t="str">
        <f aca="false">IF(ISNUMBER(A49),IFERROR(INDEX(集計!$V$3:$V$33,MATCH(A49,集計!$N$3:$N$33,0)),0),"")</f>
        <v/>
      </c>
      <c r="AB49" s="25" t="str">
        <f aca="false">IF(ISNUMBER(A49),IFERROR(INDEX(設定!$F$4:$F$27,MATCH(K49,設定!$E$4:$E$27,0)),""),"")</f>
        <v/>
      </c>
    </row>
    <row r="50" customFormat="false" ht="15" hidden="false" customHeight="false" outlineLevel="0" collapsed="false">
      <c r="Z50" s="25" t="str">
        <f aca="false">IF(ISNUMBER(A50),IF(COUNTIF(祝日!$A:$A,A50)&gt;0,"祝",CHOOSE(WEEKDAY(A50,2),"月","火","水","木","金","土","日")),"")</f>
        <v/>
      </c>
      <c r="AA50" s="25" t="str">
        <f aca="false">IF(ISNUMBER(A50),IFERROR(INDEX(集計!$V$3:$V$33,MATCH(A50,集計!$N$3:$N$33,0)),0),"")</f>
        <v/>
      </c>
      <c r="AB50" s="25" t="str">
        <f aca="false">IF(ISNUMBER(A50),IFERROR(INDEX(設定!$F$4:$F$27,MATCH(K50,設定!$E$4:$E$27,0)),""),"")</f>
        <v/>
      </c>
    </row>
    <row r="51" customFormat="false" ht="15" hidden="false" customHeight="false" outlineLevel="0" collapsed="false">
      <c r="Z51" s="25" t="str">
        <f aca="false">IF(ISNUMBER(A51),IF(COUNTIF(祝日!$A:$A,A51)&gt;0,"祝",CHOOSE(WEEKDAY(A51,2),"月","火","水","木","金","土","日")),"")</f>
        <v/>
      </c>
      <c r="AA51" s="25" t="str">
        <f aca="false">IF(ISNUMBER(A51),IFERROR(INDEX(集計!$V$3:$V$33,MATCH(A51,集計!$N$3:$N$33,0)),0),"")</f>
        <v/>
      </c>
      <c r="AB51" s="25" t="str">
        <f aca="false">IF(ISNUMBER(A51),IFERROR(INDEX(設定!$F$4:$F$27,MATCH(K51,設定!$E$4:$E$27,0)),""),"")</f>
        <v/>
      </c>
    </row>
    <row r="52" customFormat="false" ht="15" hidden="false" customHeight="false" outlineLevel="0" collapsed="false">
      <c r="Z52" s="25" t="str">
        <f aca="false">IF(ISNUMBER(A52),IF(COUNTIF(祝日!$A:$A,A52)&gt;0,"祝",CHOOSE(WEEKDAY(A52,2),"月","火","水","木","金","土","日")),"")</f>
        <v/>
      </c>
      <c r="AA52" s="25" t="str">
        <f aca="false">IF(ISNUMBER(A52),IFERROR(INDEX(集計!$V$3:$V$33,MATCH(A52,集計!$N$3:$N$33,0)),0),"")</f>
        <v/>
      </c>
      <c r="AB52" s="25" t="str">
        <f aca="false">IF(ISNUMBER(A52),IFERROR(INDEX(設定!$F$4:$F$27,MATCH(K52,設定!$E$4:$E$27,0)),""),"")</f>
        <v/>
      </c>
    </row>
    <row r="53" customFormat="false" ht="15" hidden="false" customHeight="false" outlineLevel="0" collapsed="false">
      <c r="Z53" s="25" t="str">
        <f aca="false">IF(ISNUMBER(A53),IF(COUNTIF(祝日!$A:$A,A53)&gt;0,"祝",CHOOSE(WEEKDAY(A53,2),"月","火","水","木","金","土","日")),"")</f>
        <v/>
      </c>
      <c r="AA53" s="25" t="str">
        <f aca="false">IF(ISNUMBER(A53),IFERROR(INDEX(集計!$V$3:$V$33,MATCH(A53,集計!$N$3:$N$33,0)),0),"")</f>
        <v/>
      </c>
      <c r="AB53" s="25" t="str">
        <f aca="false">IF(ISNUMBER(A53),IFERROR(INDEX(設定!$F$4:$F$27,MATCH(K53,設定!$E$4:$E$27,0)),""),"")</f>
        <v/>
      </c>
    </row>
    <row r="54" customFormat="false" ht="15" hidden="false" customHeight="false" outlineLevel="0" collapsed="false">
      <c r="Z54" s="25" t="str">
        <f aca="false">IF(ISNUMBER(A54),IF(COUNTIF(祝日!$A:$A,A54)&gt;0,"祝",CHOOSE(WEEKDAY(A54,2),"月","火","水","木","金","土","日")),"")</f>
        <v/>
      </c>
      <c r="AA54" s="25" t="str">
        <f aca="false">IF(ISNUMBER(A54),IFERROR(INDEX(集計!$V$3:$V$33,MATCH(A54,集計!$N$3:$N$33,0)),0),"")</f>
        <v/>
      </c>
      <c r="AB54" s="25" t="str">
        <f aca="false">IF(ISNUMBER(A54),IFERROR(INDEX(設定!$F$4:$F$27,MATCH(K54,設定!$E$4:$E$27,0)),""),"")</f>
        <v/>
      </c>
    </row>
    <row r="55" customFormat="false" ht="15" hidden="false" customHeight="false" outlineLevel="0" collapsed="false">
      <c r="Z55" s="25" t="str">
        <f aca="false">IF(ISNUMBER(A55),IF(COUNTIF(祝日!$A:$A,A55)&gt;0,"祝",CHOOSE(WEEKDAY(A55,2),"月","火","水","木","金","土","日")),"")</f>
        <v/>
      </c>
      <c r="AA55" s="25" t="str">
        <f aca="false">IF(ISNUMBER(A55),IFERROR(INDEX(集計!$V$3:$V$33,MATCH(A55,集計!$N$3:$N$33,0)),0),"")</f>
        <v/>
      </c>
      <c r="AB55" s="25" t="str">
        <f aca="false">IF(ISNUMBER(A55),IFERROR(INDEX(設定!$F$4:$F$27,MATCH(K55,設定!$E$4:$E$27,0)),""),"")</f>
        <v/>
      </c>
    </row>
    <row r="56" customFormat="false" ht="15" hidden="false" customHeight="false" outlineLevel="0" collapsed="false">
      <c r="Z56" s="25" t="str">
        <f aca="false">IF(ISNUMBER(A56),IF(COUNTIF(祝日!$A:$A,A56)&gt;0,"祝",CHOOSE(WEEKDAY(A56,2),"月","火","水","木","金","土","日")),"")</f>
        <v/>
      </c>
      <c r="AA56" s="25" t="str">
        <f aca="false">IF(ISNUMBER(A56),IFERROR(INDEX(集計!$V$3:$V$33,MATCH(A56,集計!$N$3:$N$33,0)),0),"")</f>
        <v/>
      </c>
      <c r="AB56" s="25" t="str">
        <f aca="false">IF(ISNUMBER(A56),IFERROR(INDEX(設定!$F$4:$F$27,MATCH(K56,設定!$E$4:$E$27,0)),""),"")</f>
        <v/>
      </c>
    </row>
    <row r="57" customFormat="false" ht="15" hidden="false" customHeight="false" outlineLevel="0" collapsed="false">
      <c r="Z57" s="25" t="str">
        <f aca="false">IF(ISNUMBER(A57),IF(COUNTIF(祝日!$A:$A,A57)&gt;0,"祝",CHOOSE(WEEKDAY(A57,2),"月","火","水","木","金","土","日")),"")</f>
        <v/>
      </c>
      <c r="AA57" s="25" t="str">
        <f aca="false">IF(ISNUMBER(A57),IFERROR(INDEX(集計!$V$3:$V$33,MATCH(A57,集計!$N$3:$N$33,0)),0),"")</f>
        <v/>
      </c>
      <c r="AB57" s="25" t="str">
        <f aca="false">IF(ISNUMBER(A57),IFERROR(INDEX(設定!$F$4:$F$27,MATCH(K57,設定!$E$4:$E$27,0)),""),"")</f>
        <v/>
      </c>
    </row>
    <row r="58" customFormat="false" ht="15" hidden="false" customHeight="false" outlineLevel="0" collapsed="false">
      <c r="Z58" s="25" t="str">
        <f aca="false">IF(ISNUMBER(A58),IF(COUNTIF(祝日!$A:$A,A58)&gt;0,"祝",CHOOSE(WEEKDAY(A58,2),"月","火","水","木","金","土","日")),"")</f>
        <v/>
      </c>
      <c r="AA58" s="25" t="str">
        <f aca="false">IF(ISNUMBER(A58),IFERROR(INDEX(集計!$V$3:$V$33,MATCH(A58,集計!$N$3:$N$33,0)),0),"")</f>
        <v/>
      </c>
      <c r="AB58" s="25" t="str">
        <f aca="false">IF(ISNUMBER(A58),IFERROR(INDEX(設定!$F$4:$F$27,MATCH(K58,設定!$E$4:$E$27,0)),""),"")</f>
        <v/>
      </c>
    </row>
    <row r="59" customFormat="false" ht="15" hidden="false" customHeight="false" outlineLevel="0" collapsed="false">
      <c r="Z59" s="25" t="str">
        <f aca="false">IF(ISNUMBER(A59),IF(COUNTIF(祝日!$A:$A,A59)&gt;0,"祝",CHOOSE(WEEKDAY(A59,2),"月","火","水","木","金","土","日")),"")</f>
        <v/>
      </c>
      <c r="AA59" s="25" t="str">
        <f aca="false">IF(ISNUMBER(A59),IFERROR(INDEX(集計!$V$3:$V$33,MATCH(A59,集計!$N$3:$N$33,0)),0),"")</f>
        <v/>
      </c>
      <c r="AB59" s="25" t="str">
        <f aca="false">IF(ISNUMBER(A59),IFERROR(INDEX(設定!$F$4:$F$27,MATCH(K59,設定!$E$4:$E$27,0)),""),"")</f>
        <v/>
      </c>
    </row>
    <row r="60" customFormat="false" ht="15" hidden="false" customHeight="false" outlineLevel="0" collapsed="false">
      <c r="Z60" s="25" t="str">
        <f aca="false">IF(ISNUMBER(A60),IF(COUNTIF(祝日!$A:$A,A60)&gt;0,"祝",CHOOSE(WEEKDAY(A60,2),"月","火","水","木","金","土","日")),"")</f>
        <v/>
      </c>
      <c r="AA60" s="25" t="str">
        <f aca="false">IF(ISNUMBER(A60),IFERROR(INDEX(集計!$V$3:$V$33,MATCH(A60,集計!$N$3:$N$33,0)),0),"")</f>
        <v/>
      </c>
      <c r="AB60" s="25" t="str">
        <f aca="false">IF(ISNUMBER(A60),IFERROR(INDEX(設定!$F$4:$F$27,MATCH(K60,設定!$E$4:$E$27,0)),""),"")</f>
        <v/>
      </c>
    </row>
    <row r="61" customFormat="false" ht="15" hidden="false" customHeight="false" outlineLevel="0" collapsed="false">
      <c r="Z61" s="25" t="str">
        <f aca="false">IF(ISNUMBER(A61),IF(COUNTIF(祝日!$A:$A,A61)&gt;0,"祝",CHOOSE(WEEKDAY(A61,2),"月","火","水","木","金","土","日")),"")</f>
        <v/>
      </c>
      <c r="AA61" s="25" t="str">
        <f aca="false">IF(ISNUMBER(A61),IFERROR(INDEX(集計!$V$3:$V$33,MATCH(A61,集計!$N$3:$N$33,0)),0),"")</f>
        <v/>
      </c>
      <c r="AB61" s="25" t="str">
        <f aca="false">IF(ISNUMBER(A61),IFERROR(INDEX(設定!$F$4:$F$27,MATCH(K61,設定!$E$4:$E$27,0)),""),"")</f>
        <v/>
      </c>
    </row>
    <row r="62" customFormat="false" ht="15" hidden="false" customHeight="false" outlineLevel="0" collapsed="false">
      <c r="Z62" s="25" t="str">
        <f aca="false">IF(ISNUMBER(A62),IF(COUNTIF(祝日!$A:$A,A62)&gt;0,"祝",CHOOSE(WEEKDAY(A62,2),"月","火","水","木","金","土","日")),"")</f>
        <v/>
      </c>
      <c r="AA62" s="25" t="str">
        <f aca="false">IF(ISNUMBER(A62),IFERROR(INDEX(集計!$V$3:$V$33,MATCH(A62,集計!$N$3:$N$33,0)),0),"")</f>
        <v/>
      </c>
      <c r="AB62" s="25" t="str">
        <f aca="false">IF(ISNUMBER(A62),IFERROR(INDEX(設定!$F$4:$F$27,MATCH(K62,設定!$E$4:$E$27,0)),""),"")</f>
        <v/>
      </c>
    </row>
    <row r="63" customFormat="false" ht="15" hidden="false" customHeight="false" outlineLevel="0" collapsed="false">
      <c r="Z63" s="25" t="str">
        <f aca="false">IF(ISNUMBER(A63),IF(COUNTIF(祝日!$A:$A,A63)&gt;0,"祝",CHOOSE(WEEKDAY(A63,2),"月","火","水","木","金","土","日")),"")</f>
        <v/>
      </c>
      <c r="AA63" s="25" t="str">
        <f aca="false">IF(ISNUMBER(A63),IFERROR(INDEX(集計!$V$3:$V$33,MATCH(A63,集計!$N$3:$N$33,0)),0),"")</f>
        <v/>
      </c>
      <c r="AB63" s="25" t="str">
        <f aca="false">IF(ISNUMBER(A63),IFERROR(INDEX(設定!$F$4:$F$27,MATCH(K63,設定!$E$4:$E$27,0)),""),"")</f>
        <v/>
      </c>
    </row>
    <row r="64" customFormat="false" ht="15" hidden="false" customHeight="false" outlineLevel="0" collapsed="false">
      <c r="Z64" s="25" t="str">
        <f aca="false">IF(ISNUMBER(A64),IF(COUNTIF(祝日!$A:$A,A64)&gt;0,"祝",CHOOSE(WEEKDAY(A64,2),"月","火","水","木","金","土","日")),"")</f>
        <v/>
      </c>
      <c r="AA64" s="25" t="str">
        <f aca="false">IF(ISNUMBER(A64),IFERROR(INDEX(集計!$V$3:$V$33,MATCH(A64,集計!$N$3:$N$33,0)),0),"")</f>
        <v/>
      </c>
      <c r="AB64" s="25" t="str">
        <f aca="false">IF(ISNUMBER(A64),IFERROR(INDEX(設定!$F$4:$F$27,MATCH(K64,設定!$E$4:$E$27,0)),""),"")</f>
        <v/>
      </c>
    </row>
    <row r="65" customFormat="false" ht="15" hidden="false" customHeight="false" outlineLevel="0" collapsed="false">
      <c r="Z65" s="25" t="str">
        <f aca="false">IF(ISNUMBER(A65),IF(COUNTIF(祝日!$A:$A,A65)&gt;0,"祝",CHOOSE(WEEKDAY(A65,2),"月","火","水","木","金","土","日")),"")</f>
        <v/>
      </c>
      <c r="AA65" s="25" t="str">
        <f aca="false">IF(ISNUMBER(A65),IFERROR(INDEX(集計!$V$3:$V$33,MATCH(A65,集計!$N$3:$N$33,0)),0),"")</f>
        <v/>
      </c>
      <c r="AB65" s="25" t="str">
        <f aca="false">IF(ISNUMBER(A65),IFERROR(INDEX(設定!$F$4:$F$27,MATCH(K65,設定!$E$4:$E$27,0)),""),"")</f>
        <v/>
      </c>
    </row>
    <row r="66" customFormat="false" ht="15" hidden="false" customHeight="false" outlineLevel="0" collapsed="false">
      <c r="Z66" s="25" t="str">
        <f aca="false">IF(ISNUMBER(A66),IF(COUNTIF(祝日!$A:$A,A66)&gt;0,"祝",CHOOSE(WEEKDAY(A66,2),"月","火","水","木","金","土","日")),"")</f>
        <v/>
      </c>
      <c r="AA66" s="25" t="str">
        <f aca="false">IF(ISNUMBER(A66),IFERROR(INDEX(集計!$V$3:$V$33,MATCH(A66,集計!$N$3:$N$33,0)),0),"")</f>
        <v/>
      </c>
      <c r="AB66" s="25" t="str">
        <f aca="false">IF(ISNUMBER(A66),IFERROR(INDEX(設定!$F$4:$F$27,MATCH(K66,設定!$E$4:$E$27,0)),""),"")</f>
        <v/>
      </c>
    </row>
    <row r="67" customFormat="false" ht="15" hidden="false" customHeight="false" outlineLevel="0" collapsed="false">
      <c r="Z67" s="25" t="str">
        <f aca="false">IF(ISNUMBER(A67),IF(COUNTIF(祝日!$A:$A,A67)&gt;0,"祝",CHOOSE(WEEKDAY(A67,2),"月","火","水","木","金","土","日")),"")</f>
        <v/>
      </c>
      <c r="AA67" s="25" t="str">
        <f aca="false">IF(ISNUMBER(A67),IFERROR(INDEX(集計!$V$3:$V$33,MATCH(A67,集計!$N$3:$N$33,0)),0),"")</f>
        <v/>
      </c>
      <c r="AB67" s="25" t="str">
        <f aca="false">IF(ISNUMBER(A67),IFERROR(INDEX(設定!$F$4:$F$27,MATCH(K67,設定!$E$4:$E$27,0)),""),"")</f>
        <v/>
      </c>
    </row>
    <row r="68" customFormat="false" ht="15" hidden="false" customHeight="false" outlineLevel="0" collapsed="false">
      <c r="Z68" s="25" t="str">
        <f aca="false">IF(ISNUMBER(A68),IF(COUNTIF(祝日!$A:$A,A68)&gt;0,"祝",CHOOSE(WEEKDAY(A68,2),"月","火","水","木","金","土","日")),"")</f>
        <v/>
      </c>
      <c r="AA68" s="25" t="str">
        <f aca="false">IF(ISNUMBER(A68),IFERROR(INDEX(集計!$V$3:$V$33,MATCH(A68,集計!$N$3:$N$33,0)),0),"")</f>
        <v/>
      </c>
      <c r="AB68" s="25" t="str">
        <f aca="false">IF(ISNUMBER(A68),IFERROR(INDEX(設定!$F$4:$F$27,MATCH(K68,設定!$E$4:$E$27,0)),""),"")</f>
        <v/>
      </c>
    </row>
    <row r="69" customFormat="false" ht="15" hidden="false" customHeight="false" outlineLevel="0" collapsed="false">
      <c r="Z69" s="25" t="str">
        <f aca="false">IF(ISNUMBER(A69),IF(COUNTIF(祝日!$A:$A,A69)&gt;0,"祝",CHOOSE(WEEKDAY(A69,2),"月","火","水","木","金","土","日")),"")</f>
        <v/>
      </c>
      <c r="AA69" s="25" t="str">
        <f aca="false">IF(ISNUMBER(A69),IFERROR(INDEX(集計!$V$3:$V$33,MATCH(A69,集計!$N$3:$N$33,0)),0),"")</f>
        <v/>
      </c>
      <c r="AB69" s="25" t="str">
        <f aca="false">IF(ISNUMBER(A69),IFERROR(INDEX(設定!$F$4:$F$27,MATCH(K69,設定!$E$4:$E$27,0)),""),"")</f>
        <v/>
      </c>
    </row>
    <row r="70" customFormat="false" ht="15" hidden="false" customHeight="false" outlineLevel="0" collapsed="false">
      <c r="Z70" s="25" t="str">
        <f aca="false">IF(ISNUMBER(A70),IF(COUNTIF(祝日!$A:$A,A70)&gt;0,"祝",CHOOSE(WEEKDAY(A70,2),"月","火","水","木","金","土","日")),"")</f>
        <v/>
      </c>
      <c r="AA70" s="25" t="str">
        <f aca="false">IF(ISNUMBER(A70),IFERROR(INDEX(集計!$V$3:$V$33,MATCH(A70,集計!$N$3:$N$33,0)),0),"")</f>
        <v/>
      </c>
      <c r="AB70" s="25" t="str">
        <f aca="false">IF(ISNUMBER(A70),IFERROR(INDEX(設定!$F$4:$F$27,MATCH(K70,設定!$E$4:$E$27,0)),""),"")</f>
        <v/>
      </c>
    </row>
    <row r="71" customFormat="false" ht="15" hidden="false" customHeight="false" outlineLevel="0" collapsed="false">
      <c r="Z71" s="25" t="str">
        <f aca="false">IF(ISNUMBER(A71),IF(COUNTIF(祝日!$A:$A,A71)&gt;0,"祝",CHOOSE(WEEKDAY(A71,2),"月","火","水","木","金","土","日")),"")</f>
        <v/>
      </c>
      <c r="AA71" s="25" t="str">
        <f aca="false">IF(ISNUMBER(A71),IFERROR(INDEX(集計!$V$3:$V$33,MATCH(A71,集計!$N$3:$N$33,0)),0),"")</f>
        <v/>
      </c>
      <c r="AB71" s="25" t="str">
        <f aca="false">IF(ISNUMBER(A71),IFERROR(INDEX(設定!$F$4:$F$27,MATCH(K71,設定!$E$4:$E$27,0)),""),"")</f>
        <v/>
      </c>
    </row>
    <row r="72" customFormat="false" ht="15" hidden="false" customHeight="false" outlineLevel="0" collapsed="false">
      <c r="Z72" s="25" t="str">
        <f aca="false">IF(ISNUMBER(A72),IF(COUNTIF(祝日!$A:$A,A72)&gt;0,"祝",CHOOSE(WEEKDAY(A72,2),"月","火","水","木","金","土","日")),"")</f>
        <v/>
      </c>
      <c r="AA72" s="25" t="str">
        <f aca="false">IF(ISNUMBER(A72),IFERROR(INDEX(集計!$V$3:$V$33,MATCH(A72,集計!$N$3:$N$33,0)),0),"")</f>
        <v/>
      </c>
      <c r="AB72" s="25" t="str">
        <f aca="false">IF(ISNUMBER(A72),IFERROR(INDEX(設定!$F$4:$F$27,MATCH(K72,設定!$E$4:$E$27,0)),""),"")</f>
        <v/>
      </c>
    </row>
    <row r="73" customFormat="false" ht="15" hidden="false" customHeight="false" outlineLevel="0" collapsed="false">
      <c r="Z73" s="25" t="str">
        <f aca="false">IF(ISNUMBER(A73),IF(COUNTIF(祝日!$A:$A,A73)&gt;0,"祝",CHOOSE(WEEKDAY(A73,2),"月","火","水","木","金","土","日")),"")</f>
        <v/>
      </c>
      <c r="AA73" s="25" t="str">
        <f aca="false">IF(ISNUMBER(A73),IFERROR(INDEX(集計!$V$3:$V$33,MATCH(A73,集計!$N$3:$N$33,0)),0),"")</f>
        <v/>
      </c>
      <c r="AB73" s="25" t="str">
        <f aca="false">IF(ISNUMBER(A73),IFERROR(INDEX(設定!$F$4:$F$27,MATCH(K73,設定!$E$4:$E$27,0)),""),"")</f>
        <v/>
      </c>
    </row>
    <row r="74" customFormat="false" ht="15" hidden="false" customHeight="false" outlineLevel="0" collapsed="false">
      <c r="Z74" s="25" t="str">
        <f aca="false">IF(ISNUMBER(A74),IF(COUNTIF(祝日!$A:$A,A74)&gt;0,"祝",CHOOSE(WEEKDAY(A74,2),"月","火","水","木","金","土","日")),"")</f>
        <v/>
      </c>
      <c r="AA74" s="25" t="str">
        <f aca="false">IF(ISNUMBER(A74),IFERROR(INDEX(集計!$V$3:$V$33,MATCH(A74,集計!$N$3:$N$33,0)),0),"")</f>
        <v/>
      </c>
      <c r="AB74" s="25" t="str">
        <f aca="false">IF(ISNUMBER(A74),IFERROR(INDEX(設定!$F$4:$F$27,MATCH(K74,設定!$E$4:$E$27,0)),""),"")</f>
        <v/>
      </c>
    </row>
    <row r="75" customFormat="false" ht="15" hidden="false" customHeight="false" outlineLevel="0" collapsed="false">
      <c r="Z75" s="25" t="str">
        <f aca="false">IF(ISNUMBER(A75),IF(COUNTIF(祝日!$A:$A,A75)&gt;0,"祝",CHOOSE(WEEKDAY(A75,2),"月","火","水","木","金","土","日")),"")</f>
        <v/>
      </c>
      <c r="AA75" s="25" t="str">
        <f aca="false">IF(ISNUMBER(A75),IFERROR(INDEX(集計!$V$3:$V$33,MATCH(A75,集計!$N$3:$N$33,0)),0),"")</f>
        <v/>
      </c>
      <c r="AB75" s="25" t="str">
        <f aca="false">IF(ISNUMBER(A75),IFERROR(INDEX(設定!$F$4:$F$27,MATCH(K75,設定!$E$4:$E$27,0)),""),"")</f>
        <v/>
      </c>
    </row>
    <row r="76" customFormat="false" ht="15" hidden="false" customHeight="false" outlineLevel="0" collapsed="false">
      <c r="Z76" s="25" t="str">
        <f aca="false">IF(ISNUMBER(A76),IF(COUNTIF(祝日!$A:$A,A76)&gt;0,"祝",CHOOSE(WEEKDAY(A76,2),"月","火","水","木","金","土","日")),"")</f>
        <v/>
      </c>
      <c r="AA76" s="25" t="str">
        <f aca="false">IF(ISNUMBER(A76),IFERROR(INDEX(集計!$V$3:$V$33,MATCH(A76,集計!$N$3:$N$33,0)),0),"")</f>
        <v/>
      </c>
      <c r="AB76" s="25" t="str">
        <f aca="false">IF(ISNUMBER(A76),IFERROR(INDEX(設定!$F$4:$F$27,MATCH(K76,設定!$E$4:$E$27,0)),""),"")</f>
        <v/>
      </c>
    </row>
    <row r="77" customFormat="false" ht="15" hidden="false" customHeight="false" outlineLevel="0" collapsed="false">
      <c r="Z77" s="25" t="str">
        <f aca="false">IF(ISNUMBER(A77),IF(COUNTIF(祝日!$A:$A,A77)&gt;0,"祝",CHOOSE(WEEKDAY(A77,2),"月","火","水","木","金","土","日")),"")</f>
        <v/>
      </c>
      <c r="AA77" s="25" t="str">
        <f aca="false">IF(ISNUMBER(A77),IFERROR(INDEX(集計!$V$3:$V$33,MATCH(A77,集計!$N$3:$N$33,0)),0),"")</f>
        <v/>
      </c>
      <c r="AB77" s="25" t="str">
        <f aca="false">IF(ISNUMBER(A77),IFERROR(INDEX(設定!$F$4:$F$27,MATCH(K77,設定!$E$4:$E$27,0)),""),"")</f>
        <v/>
      </c>
    </row>
    <row r="78" customFormat="false" ht="15" hidden="false" customHeight="false" outlineLevel="0" collapsed="false">
      <c r="Z78" s="25" t="str">
        <f aca="false">IF(ISNUMBER(A78),IF(COUNTIF(祝日!$A:$A,A78)&gt;0,"祝",CHOOSE(WEEKDAY(A78,2),"月","火","水","木","金","土","日")),"")</f>
        <v/>
      </c>
      <c r="AA78" s="25" t="str">
        <f aca="false">IF(ISNUMBER(A78),IFERROR(INDEX(集計!$V$3:$V$33,MATCH(A78,集計!$N$3:$N$33,0)),0),"")</f>
        <v/>
      </c>
      <c r="AB78" s="25" t="str">
        <f aca="false">IF(ISNUMBER(A78),IFERROR(INDEX(設定!$F$4:$F$27,MATCH(K78,設定!$E$4:$E$27,0)),""),"")</f>
        <v/>
      </c>
    </row>
    <row r="79" customFormat="false" ht="15" hidden="false" customHeight="false" outlineLevel="0" collapsed="false">
      <c r="Z79" s="25" t="str">
        <f aca="false">IF(ISNUMBER(A79),IF(COUNTIF(祝日!$A:$A,A79)&gt;0,"祝",CHOOSE(WEEKDAY(A79,2),"月","火","水","木","金","土","日")),"")</f>
        <v/>
      </c>
      <c r="AA79" s="25" t="str">
        <f aca="false">IF(ISNUMBER(A79),IFERROR(INDEX(集計!$V$3:$V$33,MATCH(A79,集計!$N$3:$N$33,0)),0),"")</f>
        <v/>
      </c>
      <c r="AB79" s="25" t="str">
        <f aca="false">IF(ISNUMBER(A79),IFERROR(INDEX(設定!$F$4:$F$27,MATCH(K79,設定!$E$4:$E$27,0)),""),"")</f>
        <v/>
      </c>
    </row>
    <row r="80" customFormat="false" ht="15" hidden="false" customHeight="false" outlineLevel="0" collapsed="false">
      <c r="Z80" s="25" t="str">
        <f aca="false">IF(ISNUMBER(A80),IF(COUNTIF(祝日!$A:$A,A80)&gt;0,"祝",CHOOSE(WEEKDAY(A80,2),"月","火","水","木","金","土","日")),"")</f>
        <v/>
      </c>
      <c r="AA80" s="25" t="str">
        <f aca="false">IF(ISNUMBER(A80),IFERROR(INDEX(集計!$V$3:$V$33,MATCH(A80,集計!$N$3:$N$33,0)),0),"")</f>
        <v/>
      </c>
      <c r="AB80" s="25" t="str">
        <f aca="false">IF(ISNUMBER(A80),IFERROR(INDEX(設定!$F$4:$F$27,MATCH(K80,設定!$E$4:$E$27,0)),""),"")</f>
        <v/>
      </c>
    </row>
    <row r="81" customFormat="false" ht="15" hidden="false" customHeight="false" outlineLevel="0" collapsed="false">
      <c r="Z81" s="25" t="str">
        <f aca="false">IF(ISNUMBER(A81),IF(COUNTIF(祝日!$A:$A,A81)&gt;0,"祝",CHOOSE(WEEKDAY(A81,2),"月","火","水","木","金","土","日")),"")</f>
        <v/>
      </c>
      <c r="AA81" s="25" t="str">
        <f aca="false">IF(ISNUMBER(A81),IFERROR(INDEX(集計!$V$3:$V$33,MATCH(A81,集計!$N$3:$N$33,0)),0),"")</f>
        <v/>
      </c>
      <c r="AB81" s="25" t="str">
        <f aca="false">IF(ISNUMBER(A81),IFERROR(INDEX(設定!$F$4:$F$27,MATCH(K81,設定!$E$4:$E$27,0)),""),"")</f>
        <v/>
      </c>
    </row>
    <row r="82" customFormat="false" ht="15" hidden="false" customHeight="false" outlineLevel="0" collapsed="false">
      <c r="Z82" s="25" t="str">
        <f aca="false">IF(ISNUMBER(A82),IF(COUNTIF(祝日!$A:$A,A82)&gt;0,"祝",CHOOSE(WEEKDAY(A82,2),"月","火","水","木","金","土","日")),"")</f>
        <v/>
      </c>
      <c r="AA82" s="25" t="str">
        <f aca="false">IF(ISNUMBER(A82),IFERROR(INDEX(集計!$V$3:$V$33,MATCH(A82,集計!$N$3:$N$33,0)),0),"")</f>
        <v/>
      </c>
      <c r="AB82" s="25" t="str">
        <f aca="false">IF(ISNUMBER(A82),IFERROR(INDEX(設定!$F$4:$F$27,MATCH(K82,設定!$E$4:$E$27,0)),""),"")</f>
        <v/>
      </c>
    </row>
    <row r="83" customFormat="false" ht="15" hidden="false" customHeight="false" outlineLevel="0" collapsed="false">
      <c r="Z83" s="25" t="str">
        <f aca="false">IF(ISNUMBER(A83),IF(COUNTIF(祝日!$A:$A,A83)&gt;0,"祝",CHOOSE(WEEKDAY(A83,2),"月","火","水","木","金","土","日")),"")</f>
        <v/>
      </c>
      <c r="AA83" s="25" t="str">
        <f aca="false">IF(ISNUMBER(A83),IFERROR(INDEX(集計!$V$3:$V$33,MATCH(A83,集計!$N$3:$N$33,0)),0),"")</f>
        <v/>
      </c>
      <c r="AB83" s="25" t="str">
        <f aca="false">IF(ISNUMBER(A83),IFERROR(INDEX(設定!$F$4:$F$27,MATCH(K83,設定!$E$4:$E$27,0)),""),"")</f>
        <v/>
      </c>
    </row>
    <row r="84" customFormat="false" ht="15" hidden="false" customHeight="false" outlineLevel="0" collapsed="false">
      <c r="Z84" s="25" t="str">
        <f aca="false">IF(ISNUMBER(A84),IF(COUNTIF(祝日!$A:$A,A84)&gt;0,"祝",CHOOSE(WEEKDAY(A84,2),"月","火","水","木","金","土","日")),"")</f>
        <v/>
      </c>
      <c r="AA84" s="25" t="str">
        <f aca="false">IF(ISNUMBER(A84),IFERROR(INDEX(集計!$V$3:$V$33,MATCH(A84,集計!$N$3:$N$33,0)),0),"")</f>
        <v/>
      </c>
      <c r="AB84" s="25" t="str">
        <f aca="false">IF(ISNUMBER(A84),IFERROR(INDEX(設定!$F$4:$F$27,MATCH(K84,設定!$E$4:$E$27,0)),""),"")</f>
        <v/>
      </c>
    </row>
    <row r="85" customFormat="false" ht="15" hidden="false" customHeight="false" outlineLevel="0" collapsed="false">
      <c r="Z85" s="25" t="str">
        <f aca="false">IF(ISNUMBER(A85),IF(COUNTIF(祝日!$A:$A,A85)&gt;0,"祝",CHOOSE(WEEKDAY(A85,2),"月","火","水","木","金","土","日")),"")</f>
        <v/>
      </c>
      <c r="AA85" s="25" t="str">
        <f aca="false">IF(ISNUMBER(A85),IFERROR(INDEX(集計!$V$3:$V$33,MATCH(A85,集計!$N$3:$N$33,0)),0),"")</f>
        <v/>
      </c>
      <c r="AB85" s="25" t="str">
        <f aca="false">IF(ISNUMBER(A85),IFERROR(INDEX(設定!$F$4:$F$27,MATCH(K85,設定!$E$4:$E$27,0)),""),"")</f>
        <v/>
      </c>
    </row>
    <row r="86" customFormat="false" ht="15" hidden="false" customHeight="false" outlineLevel="0" collapsed="false">
      <c r="Z86" s="25" t="str">
        <f aca="false">IF(ISNUMBER(A86),IF(COUNTIF(祝日!$A:$A,A86)&gt;0,"祝",CHOOSE(WEEKDAY(A86,2),"月","火","水","木","金","土","日")),"")</f>
        <v/>
      </c>
      <c r="AA86" s="25" t="str">
        <f aca="false">IF(ISNUMBER(A86),IFERROR(INDEX(集計!$V$3:$V$33,MATCH(A86,集計!$N$3:$N$33,0)),0),"")</f>
        <v/>
      </c>
      <c r="AB86" s="25" t="str">
        <f aca="false">IF(ISNUMBER(A86),IFERROR(INDEX(設定!$F$4:$F$27,MATCH(K86,設定!$E$4:$E$27,0)),""),"")</f>
        <v/>
      </c>
    </row>
    <row r="87" customFormat="false" ht="15" hidden="false" customHeight="false" outlineLevel="0" collapsed="false">
      <c r="Z87" s="25" t="str">
        <f aca="false">IF(ISNUMBER(A87),IF(COUNTIF(祝日!$A:$A,A87)&gt;0,"祝",CHOOSE(WEEKDAY(A87,2),"月","火","水","木","金","土","日")),"")</f>
        <v/>
      </c>
      <c r="AA87" s="25" t="str">
        <f aca="false">IF(ISNUMBER(A87),IFERROR(INDEX(集計!$V$3:$V$33,MATCH(A87,集計!$N$3:$N$33,0)),0),"")</f>
        <v/>
      </c>
      <c r="AB87" s="25" t="str">
        <f aca="false">IF(ISNUMBER(A87),IFERROR(INDEX(設定!$F$4:$F$27,MATCH(K87,設定!$E$4:$E$27,0)),""),"")</f>
        <v/>
      </c>
    </row>
    <row r="88" customFormat="false" ht="15" hidden="false" customHeight="false" outlineLevel="0" collapsed="false">
      <c r="Z88" s="25" t="str">
        <f aca="false">IF(ISNUMBER(A88),IF(COUNTIF(祝日!$A:$A,A88)&gt;0,"祝",CHOOSE(WEEKDAY(A88,2),"月","火","水","木","金","土","日")),"")</f>
        <v/>
      </c>
      <c r="AA88" s="25" t="str">
        <f aca="false">IF(ISNUMBER(A88),IFERROR(INDEX(集計!$V$3:$V$33,MATCH(A88,集計!$N$3:$N$33,0)),0),"")</f>
        <v/>
      </c>
      <c r="AB88" s="25" t="str">
        <f aca="false">IF(ISNUMBER(A88),IFERROR(INDEX(設定!$F$4:$F$27,MATCH(K88,設定!$E$4:$E$27,0)),""),"")</f>
        <v/>
      </c>
    </row>
    <row r="89" customFormat="false" ht="15" hidden="false" customHeight="false" outlineLevel="0" collapsed="false">
      <c r="Z89" s="25" t="str">
        <f aca="false">IF(ISNUMBER(A89),IF(COUNTIF(祝日!$A:$A,A89)&gt;0,"祝",CHOOSE(WEEKDAY(A89,2),"月","火","水","木","金","土","日")),"")</f>
        <v/>
      </c>
      <c r="AA89" s="25" t="str">
        <f aca="false">IF(ISNUMBER(A89),IFERROR(INDEX(集計!$V$3:$V$33,MATCH(A89,集計!$N$3:$N$33,0)),0),"")</f>
        <v/>
      </c>
      <c r="AB89" s="25" t="str">
        <f aca="false">IF(ISNUMBER(A89),IFERROR(INDEX(設定!$F$4:$F$27,MATCH(K89,設定!$E$4:$E$27,0)),""),"")</f>
        <v/>
      </c>
    </row>
    <row r="90" customFormat="false" ht="15" hidden="false" customHeight="false" outlineLevel="0" collapsed="false">
      <c r="Z90" s="25" t="str">
        <f aca="false">IF(ISNUMBER(A90),IF(COUNTIF(祝日!$A:$A,A90)&gt;0,"祝",CHOOSE(WEEKDAY(A90,2),"月","火","水","木","金","土","日")),"")</f>
        <v/>
      </c>
      <c r="AA90" s="25" t="str">
        <f aca="false">IF(ISNUMBER(A90),IFERROR(INDEX(集計!$V$3:$V$33,MATCH(A90,集計!$N$3:$N$33,0)),0),"")</f>
        <v/>
      </c>
      <c r="AB90" s="25" t="str">
        <f aca="false">IF(ISNUMBER(A90),IFERROR(INDEX(設定!$F$4:$F$27,MATCH(K90,設定!$E$4:$E$27,0)),""),"")</f>
        <v/>
      </c>
    </row>
    <row r="91" customFormat="false" ht="15" hidden="false" customHeight="false" outlineLevel="0" collapsed="false">
      <c r="Z91" s="25" t="str">
        <f aca="false">IF(ISNUMBER(A91),IF(COUNTIF(祝日!$A:$A,A91)&gt;0,"祝",CHOOSE(WEEKDAY(A91,2),"月","火","水","木","金","土","日")),"")</f>
        <v/>
      </c>
      <c r="AA91" s="25" t="str">
        <f aca="false">IF(ISNUMBER(A91),IFERROR(INDEX(集計!$V$3:$V$33,MATCH(A91,集計!$N$3:$N$33,0)),0),"")</f>
        <v/>
      </c>
      <c r="AB91" s="25" t="str">
        <f aca="false">IF(ISNUMBER(A91),IFERROR(INDEX(設定!$F$4:$F$27,MATCH(K91,設定!$E$4:$E$27,0)),""),"")</f>
        <v/>
      </c>
    </row>
    <row r="92" customFormat="false" ht="15" hidden="false" customHeight="false" outlineLevel="0" collapsed="false">
      <c r="Z92" s="25" t="str">
        <f aca="false">IF(ISNUMBER(A92),IF(COUNTIF(祝日!$A:$A,A92)&gt;0,"祝",CHOOSE(WEEKDAY(A92,2),"月","火","水","木","金","土","日")),"")</f>
        <v/>
      </c>
      <c r="AA92" s="25" t="str">
        <f aca="false">IF(ISNUMBER(A92),IFERROR(INDEX(集計!$V$3:$V$33,MATCH(A92,集計!$N$3:$N$33,0)),0),"")</f>
        <v/>
      </c>
      <c r="AB92" s="25" t="str">
        <f aca="false">IF(ISNUMBER(A92),IFERROR(INDEX(設定!$F$4:$F$27,MATCH(K92,設定!$E$4:$E$27,0)),""),"")</f>
        <v/>
      </c>
    </row>
    <row r="93" customFormat="false" ht="15" hidden="false" customHeight="false" outlineLevel="0" collapsed="false">
      <c r="Z93" s="25" t="str">
        <f aca="false">IF(ISNUMBER(A93),IF(COUNTIF(祝日!$A:$A,A93)&gt;0,"祝",CHOOSE(WEEKDAY(A93,2),"月","火","水","木","金","土","日")),"")</f>
        <v/>
      </c>
      <c r="AA93" s="25" t="str">
        <f aca="false">IF(ISNUMBER(A93),IFERROR(INDEX(集計!$V$3:$V$33,MATCH(A93,集計!$N$3:$N$33,0)),0),"")</f>
        <v/>
      </c>
      <c r="AB93" s="25" t="str">
        <f aca="false">IF(ISNUMBER(A93),IFERROR(INDEX(設定!$F$4:$F$27,MATCH(K93,設定!$E$4:$E$27,0)),""),"")</f>
        <v/>
      </c>
    </row>
    <row r="94" customFormat="false" ht="15" hidden="false" customHeight="false" outlineLevel="0" collapsed="false">
      <c r="Z94" s="25" t="str">
        <f aca="false">IF(ISNUMBER(A94),IF(COUNTIF(祝日!$A:$A,A94)&gt;0,"祝",CHOOSE(WEEKDAY(A94,2),"月","火","水","木","金","土","日")),"")</f>
        <v/>
      </c>
      <c r="AA94" s="25" t="str">
        <f aca="false">IF(ISNUMBER(A94),IFERROR(INDEX(集計!$V$3:$V$33,MATCH(A94,集計!$N$3:$N$33,0)),0),"")</f>
        <v/>
      </c>
      <c r="AB94" s="25" t="str">
        <f aca="false">IF(ISNUMBER(A94),IFERROR(INDEX(設定!$F$4:$F$27,MATCH(K94,設定!$E$4:$E$27,0)),""),"")</f>
        <v/>
      </c>
    </row>
    <row r="95" customFormat="false" ht="15" hidden="false" customHeight="false" outlineLevel="0" collapsed="false">
      <c r="Z95" s="25" t="str">
        <f aca="false">IF(ISNUMBER(A95),IF(COUNTIF(祝日!$A:$A,A95)&gt;0,"祝",CHOOSE(WEEKDAY(A95,2),"月","火","水","木","金","土","日")),"")</f>
        <v/>
      </c>
      <c r="AA95" s="25" t="str">
        <f aca="false">IF(ISNUMBER(A95),IFERROR(INDEX(集計!$V$3:$V$33,MATCH(A95,集計!$N$3:$N$33,0)),0),"")</f>
        <v/>
      </c>
      <c r="AB95" s="25" t="str">
        <f aca="false">IF(ISNUMBER(A95),IFERROR(INDEX(設定!$F$4:$F$27,MATCH(K95,設定!$E$4:$E$27,0)),""),"")</f>
        <v/>
      </c>
    </row>
    <row r="96" customFormat="false" ht="15" hidden="false" customHeight="false" outlineLevel="0" collapsed="false">
      <c r="Z96" s="25" t="str">
        <f aca="false">IF(ISNUMBER(A96),IF(COUNTIF(祝日!$A:$A,A96)&gt;0,"祝",CHOOSE(WEEKDAY(A96,2),"月","火","水","木","金","土","日")),"")</f>
        <v/>
      </c>
      <c r="AA96" s="25" t="str">
        <f aca="false">IF(ISNUMBER(A96),IFERROR(INDEX(集計!$V$3:$V$33,MATCH(A96,集計!$N$3:$N$33,0)),0),"")</f>
        <v/>
      </c>
      <c r="AB96" s="25" t="str">
        <f aca="false">IF(ISNUMBER(A96),IFERROR(INDEX(設定!$F$4:$F$27,MATCH(K96,設定!$E$4:$E$27,0)),""),"")</f>
        <v/>
      </c>
    </row>
    <row r="97" customFormat="false" ht="15" hidden="false" customHeight="false" outlineLevel="0" collapsed="false">
      <c r="Z97" s="25" t="str">
        <f aca="false">IF(ISNUMBER(A97),IF(COUNTIF(祝日!$A:$A,A97)&gt;0,"祝",CHOOSE(WEEKDAY(A97,2),"月","火","水","木","金","土","日")),"")</f>
        <v/>
      </c>
      <c r="AA97" s="25" t="str">
        <f aca="false">IF(ISNUMBER(A97),IFERROR(INDEX(集計!$V$3:$V$33,MATCH(A97,集計!$N$3:$N$33,0)),0),"")</f>
        <v/>
      </c>
      <c r="AB97" s="25" t="str">
        <f aca="false">IF(ISNUMBER(A97),IFERROR(INDEX(設定!$F$4:$F$27,MATCH(K97,設定!$E$4:$E$27,0)),""),"")</f>
        <v/>
      </c>
    </row>
    <row r="98" customFormat="false" ht="15" hidden="false" customHeight="false" outlineLevel="0" collapsed="false">
      <c r="Z98" s="25" t="str">
        <f aca="false">IF(ISNUMBER(A98),IF(COUNTIF(祝日!$A:$A,A98)&gt;0,"祝",CHOOSE(WEEKDAY(A98,2),"月","火","水","木","金","土","日")),"")</f>
        <v/>
      </c>
      <c r="AA98" s="25" t="str">
        <f aca="false">IF(ISNUMBER(A98),IFERROR(INDEX(集計!$V$3:$V$33,MATCH(A98,集計!$N$3:$N$33,0)),0),"")</f>
        <v/>
      </c>
      <c r="AB98" s="25" t="str">
        <f aca="false">IF(ISNUMBER(A98),IFERROR(INDEX(設定!$F$4:$F$27,MATCH(K98,設定!$E$4:$E$27,0)),""),"")</f>
        <v/>
      </c>
    </row>
    <row r="99" customFormat="false" ht="15" hidden="false" customHeight="false" outlineLevel="0" collapsed="false">
      <c r="Z99" s="25" t="str">
        <f aca="false">IF(ISNUMBER(A99),IF(COUNTIF(祝日!$A:$A,A99)&gt;0,"祝",CHOOSE(WEEKDAY(A99,2),"月","火","水","木","金","土","日")),"")</f>
        <v/>
      </c>
      <c r="AA99" s="25" t="str">
        <f aca="false">IF(ISNUMBER(A99),IFERROR(INDEX(集計!$V$3:$V$33,MATCH(A99,集計!$N$3:$N$33,0)),0),"")</f>
        <v/>
      </c>
      <c r="AB99" s="25" t="str">
        <f aca="false">IF(ISNUMBER(A99),IFERROR(INDEX(設定!$F$4:$F$27,MATCH(K99,設定!$E$4:$E$27,0)),""),"")</f>
        <v/>
      </c>
    </row>
    <row r="100" customFormat="false" ht="15" hidden="false" customHeight="false" outlineLevel="0" collapsed="false">
      <c r="Z100" s="25" t="str">
        <f aca="false">IF(ISNUMBER(A100),IF(COUNTIF(祝日!$A:$A,A100)&gt;0,"祝",CHOOSE(WEEKDAY(A100,2),"月","火","水","木","金","土","日")),"")</f>
        <v/>
      </c>
      <c r="AA100" s="25" t="str">
        <f aca="false">IF(ISNUMBER(A100),IFERROR(INDEX(集計!$V$3:$V$33,MATCH(A100,集計!$N$3:$N$33,0)),0),"")</f>
        <v/>
      </c>
      <c r="AB100" s="25" t="str">
        <f aca="false">IF(ISNUMBER(A100),IFERROR(INDEX(設定!$F$4:$F$27,MATCH(K100,設定!$E$4:$E$27,0)),""),"")</f>
        <v/>
      </c>
    </row>
    <row r="101" customFormat="false" ht="15" hidden="false" customHeight="false" outlineLevel="0" collapsed="false">
      <c r="Z101" s="25" t="str">
        <f aca="false">IF(ISNUMBER(A101),IF(COUNTIF(祝日!$A:$A,A101)&gt;0,"祝",CHOOSE(WEEKDAY(A101,2),"月","火","水","木","金","土","日")),"")</f>
        <v/>
      </c>
      <c r="AA101" s="25" t="str">
        <f aca="false">IF(ISNUMBER(A101),IFERROR(INDEX(集計!$V$3:$V$33,MATCH(A101,集計!$N$3:$N$33,0)),0),"")</f>
        <v/>
      </c>
      <c r="AB101" s="25" t="str">
        <f aca="false">IF(ISNUMBER(A101),IFERROR(INDEX(設定!$F$4:$F$27,MATCH(K101,設定!$E$4:$E$27,0)),""),"")</f>
        <v/>
      </c>
    </row>
    <row r="102" customFormat="false" ht="15" hidden="false" customHeight="false" outlineLevel="0" collapsed="false">
      <c r="Z102" s="25" t="str">
        <f aca="false">IF(ISNUMBER(A102),IF(COUNTIF(祝日!$A:$A,A102)&gt;0,"祝",CHOOSE(WEEKDAY(A102,2),"月","火","水","木","金","土","日")),"")</f>
        <v/>
      </c>
      <c r="AA102" s="25" t="str">
        <f aca="false">IF(ISNUMBER(A102),IFERROR(INDEX(集計!$V$3:$V$33,MATCH(A102,集計!$N$3:$N$33,0)),0),"")</f>
        <v/>
      </c>
      <c r="AB102" s="25" t="str">
        <f aca="false">IF(ISNUMBER(A102),IFERROR(INDEX(設定!$F$4:$F$27,MATCH(K102,設定!$E$4:$E$27,0)),""),"")</f>
        <v/>
      </c>
    </row>
    <row r="103" customFormat="false" ht="15" hidden="false" customHeight="false" outlineLevel="0" collapsed="false">
      <c r="Z103" s="25" t="str">
        <f aca="false">IF(ISNUMBER(A103),IF(COUNTIF(祝日!$A:$A,A103)&gt;0,"祝",CHOOSE(WEEKDAY(A103,2),"月","火","水","木","金","土","日")),"")</f>
        <v/>
      </c>
      <c r="AA103" s="25" t="str">
        <f aca="false">IF(ISNUMBER(A103),IFERROR(INDEX(集計!$V$3:$V$33,MATCH(A103,集計!$N$3:$N$33,0)),0),"")</f>
        <v/>
      </c>
      <c r="AB103" s="25" t="str">
        <f aca="false">IF(ISNUMBER(A103),IFERROR(INDEX(設定!$F$4:$F$27,MATCH(K103,設定!$E$4:$E$27,0)),""),"")</f>
        <v/>
      </c>
    </row>
    <row r="104" customFormat="false" ht="15" hidden="false" customHeight="false" outlineLevel="0" collapsed="false">
      <c r="Z104" s="25" t="str">
        <f aca="false">IF(ISNUMBER(A104),IF(COUNTIF(祝日!$A:$A,A104)&gt;0,"祝",CHOOSE(WEEKDAY(A104,2),"月","火","水","木","金","土","日")),"")</f>
        <v/>
      </c>
      <c r="AA104" s="25" t="str">
        <f aca="false">IF(ISNUMBER(A104),IFERROR(INDEX(集計!$V$3:$V$33,MATCH(A104,集計!$N$3:$N$33,0)),0),"")</f>
        <v/>
      </c>
      <c r="AB104" s="25" t="str">
        <f aca="false">IF(ISNUMBER(A104),IFERROR(INDEX(設定!$F$4:$F$27,MATCH(K104,設定!$E$4:$E$27,0)),""),"")</f>
        <v/>
      </c>
    </row>
    <row r="105" customFormat="false" ht="15" hidden="false" customHeight="false" outlineLevel="0" collapsed="false">
      <c r="Z105" s="25" t="str">
        <f aca="false">IF(ISNUMBER(A105),IF(COUNTIF(祝日!$A:$A,A105)&gt;0,"祝",CHOOSE(WEEKDAY(A105,2),"月","火","水","木","金","土","日")),"")</f>
        <v/>
      </c>
      <c r="AA105" s="25" t="str">
        <f aca="false">IF(ISNUMBER(A105),IFERROR(INDEX(集計!$V$3:$V$33,MATCH(A105,集計!$N$3:$N$33,0)),0),"")</f>
        <v/>
      </c>
      <c r="AB105" s="25" t="str">
        <f aca="false">IF(ISNUMBER(A105),IFERROR(INDEX(設定!$F$4:$F$27,MATCH(K105,設定!$E$4:$E$27,0)),""),"")</f>
        <v/>
      </c>
    </row>
    <row r="106" customFormat="false" ht="15" hidden="false" customHeight="false" outlineLevel="0" collapsed="false">
      <c r="Z106" s="25" t="str">
        <f aca="false">IF(ISNUMBER(A106),IF(COUNTIF(祝日!$A:$A,A106)&gt;0,"祝",CHOOSE(WEEKDAY(A106,2),"月","火","水","木","金","土","日")),"")</f>
        <v/>
      </c>
      <c r="AA106" s="25" t="str">
        <f aca="false">IF(ISNUMBER(A106),IFERROR(INDEX(集計!$V$3:$V$33,MATCH(A106,集計!$N$3:$N$33,0)),0),"")</f>
        <v/>
      </c>
      <c r="AB106" s="25" t="str">
        <f aca="false">IF(ISNUMBER(A106),IFERROR(INDEX(設定!$F$4:$F$27,MATCH(K106,設定!$E$4:$E$27,0)),""),"")</f>
        <v/>
      </c>
    </row>
    <row r="107" customFormat="false" ht="15" hidden="false" customHeight="false" outlineLevel="0" collapsed="false">
      <c r="Z107" s="25" t="str">
        <f aca="false">IF(ISNUMBER(A107),IF(COUNTIF(祝日!$A:$A,A107)&gt;0,"祝",CHOOSE(WEEKDAY(A107,2),"月","火","水","木","金","土","日")),"")</f>
        <v/>
      </c>
      <c r="AA107" s="25" t="str">
        <f aca="false">IF(ISNUMBER(A107),IFERROR(INDEX(集計!$V$3:$V$33,MATCH(A107,集計!$N$3:$N$33,0)),0),"")</f>
        <v/>
      </c>
      <c r="AB107" s="25" t="str">
        <f aca="false">IF(ISNUMBER(A107),IFERROR(INDEX(設定!$F$4:$F$27,MATCH(K107,設定!$E$4:$E$27,0)),""),"")</f>
        <v/>
      </c>
    </row>
    <row r="108" customFormat="false" ht="15" hidden="false" customHeight="false" outlineLevel="0" collapsed="false">
      <c r="Z108" s="25" t="str">
        <f aca="false">IF(ISNUMBER(A108),IF(COUNTIF(祝日!$A:$A,A108)&gt;0,"祝",CHOOSE(WEEKDAY(A108,2),"月","火","水","木","金","土","日")),"")</f>
        <v/>
      </c>
      <c r="AA108" s="25" t="str">
        <f aca="false">IF(ISNUMBER(A108),IFERROR(INDEX(集計!$V$3:$V$33,MATCH(A108,集計!$N$3:$N$33,0)),0),"")</f>
        <v/>
      </c>
      <c r="AB108" s="25" t="str">
        <f aca="false">IF(ISNUMBER(A108),IFERROR(INDEX(設定!$F$4:$F$27,MATCH(K108,設定!$E$4:$E$27,0)),""),"")</f>
        <v/>
      </c>
    </row>
    <row r="109" customFormat="false" ht="15" hidden="false" customHeight="false" outlineLevel="0" collapsed="false">
      <c r="Z109" s="25" t="str">
        <f aca="false">IF(ISNUMBER(A109),IF(COUNTIF(祝日!$A:$A,A109)&gt;0,"祝",CHOOSE(WEEKDAY(A109,2),"月","火","水","木","金","土","日")),"")</f>
        <v/>
      </c>
      <c r="AA109" s="25" t="str">
        <f aca="false">IF(ISNUMBER(A109),IFERROR(INDEX(集計!$V$3:$V$33,MATCH(A109,集計!$N$3:$N$33,0)),0),"")</f>
        <v/>
      </c>
      <c r="AB109" s="25" t="str">
        <f aca="false">IF(ISNUMBER(A109),IFERROR(INDEX(設定!$F$4:$F$27,MATCH(K109,設定!$E$4:$E$27,0)),""),"")</f>
        <v/>
      </c>
    </row>
    <row r="110" customFormat="false" ht="15" hidden="false" customHeight="false" outlineLevel="0" collapsed="false">
      <c r="Z110" s="25" t="str">
        <f aca="false">IF(ISNUMBER(A110),IF(COUNTIF(祝日!$A:$A,A110)&gt;0,"祝",CHOOSE(WEEKDAY(A110,2),"月","火","水","木","金","土","日")),"")</f>
        <v/>
      </c>
      <c r="AA110" s="25" t="str">
        <f aca="false">IF(ISNUMBER(A110),IFERROR(INDEX(集計!$V$3:$V$33,MATCH(A110,集計!$N$3:$N$33,0)),0),"")</f>
        <v/>
      </c>
      <c r="AB110" s="25" t="str">
        <f aca="false">IF(ISNUMBER(A110),IFERROR(INDEX(設定!$F$4:$F$27,MATCH(K110,設定!$E$4:$E$27,0)),""),"")</f>
        <v/>
      </c>
    </row>
    <row r="111" customFormat="false" ht="15" hidden="false" customHeight="false" outlineLevel="0" collapsed="false">
      <c r="Z111" s="25" t="str">
        <f aca="false">IF(ISNUMBER(A111),IF(COUNTIF(祝日!$A:$A,A111)&gt;0,"祝",CHOOSE(WEEKDAY(A111,2),"月","火","水","木","金","土","日")),"")</f>
        <v/>
      </c>
      <c r="AA111" s="25" t="str">
        <f aca="false">IF(ISNUMBER(A111),IFERROR(INDEX(集計!$V$3:$V$33,MATCH(A111,集計!$N$3:$N$33,0)),0),"")</f>
        <v/>
      </c>
      <c r="AB111" s="25" t="str">
        <f aca="false">IF(ISNUMBER(A111),IFERROR(INDEX(設定!$F$4:$F$27,MATCH(K111,設定!$E$4:$E$27,0)),""),"")</f>
        <v/>
      </c>
    </row>
    <row r="112" customFormat="false" ht="15" hidden="false" customHeight="false" outlineLevel="0" collapsed="false">
      <c r="Z112" s="25" t="str">
        <f aca="false">IF(ISNUMBER(A112),IF(COUNTIF(祝日!$A:$A,A112)&gt;0,"祝",CHOOSE(WEEKDAY(A112,2),"月","火","水","木","金","土","日")),"")</f>
        <v/>
      </c>
      <c r="AA112" s="25" t="str">
        <f aca="false">IF(ISNUMBER(A112),IFERROR(INDEX(集計!$V$3:$V$33,MATCH(A112,集計!$N$3:$N$33,0)),0),"")</f>
        <v/>
      </c>
      <c r="AB112" s="25" t="str">
        <f aca="false">IF(ISNUMBER(A112),IFERROR(INDEX(設定!$F$4:$F$27,MATCH(K112,設定!$E$4:$E$27,0)),""),"")</f>
        <v/>
      </c>
    </row>
    <row r="113" customFormat="false" ht="15" hidden="false" customHeight="false" outlineLevel="0" collapsed="false">
      <c r="Z113" s="25" t="str">
        <f aca="false">IF(ISNUMBER(A113),IF(COUNTIF(祝日!$A:$A,A113)&gt;0,"祝",CHOOSE(WEEKDAY(A113,2),"月","火","水","木","金","土","日")),"")</f>
        <v/>
      </c>
      <c r="AA113" s="25" t="str">
        <f aca="false">IF(ISNUMBER(A113),IFERROR(INDEX(集計!$V$3:$V$33,MATCH(A113,集計!$N$3:$N$33,0)),0),"")</f>
        <v/>
      </c>
      <c r="AB113" s="25" t="str">
        <f aca="false">IF(ISNUMBER(A113),IFERROR(INDEX(設定!$F$4:$F$27,MATCH(K113,設定!$E$4:$E$27,0)),""),"")</f>
        <v/>
      </c>
    </row>
    <row r="114" customFormat="false" ht="15" hidden="false" customHeight="false" outlineLevel="0" collapsed="false">
      <c r="Z114" s="25" t="str">
        <f aca="false">IF(ISNUMBER(A114),IF(COUNTIF(祝日!$A:$A,A114)&gt;0,"祝",CHOOSE(WEEKDAY(A114,2),"月","火","水","木","金","土","日")),"")</f>
        <v/>
      </c>
      <c r="AA114" s="25" t="str">
        <f aca="false">IF(ISNUMBER(A114),IFERROR(INDEX(集計!$V$3:$V$33,MATCH(A114,集計!$N$3:$N$33,0)),0),"")</f>
        <v/>
      </c>
      <c r="AB114" s="25" t="str">
        <f aca="false">IF(ISNUMBER(A114),IFERROR(INDEX(設定!$F$4:$F$27,MATCH(K114,設定!$E$4:$E$27,0)),""),"")</f>
        <v/>
      </c>
    </row>
    <row r="115" customFormat="false" ht="15" hidden="false" customHeight="false" outlineLevel="0" collapsed="false">
      <c r="Z115" s="25" t="str">
        <f aca="false">IF(ISNUMBER(A115),IF(COUNTIF(祝日!$A:$A,A115)&gt;0,"祝",CHOOSE(WEEKDAY(A115,2),"月","火","水","木","金","土","日")),"")</f>
        <v/>
      </c>
      <c r="AA115" s="25" t="str">
        <f aca="false">IF(ISNUMBER(A115),IFERROR(INDEX(集計!$V$3:$V$33,MATCH(A115,集計!$N$3:$N$33,0)),0),"")</f>
        <v/>
      </c>
      <c r="AB115" s="25" t="str">
        <f aca="false">IF(ISNUMBER(A115),IFERROR(INDEX(設定!$F$4:$F$27,MATCH(K115,設定!$E$4:$E$27,0)),""),"")</f>
        <v/>
      </c>
    </row>
    <row r="116" customFormat="false" ht="15" hidden="false" customHeight="false" outlineLevel="0" collapsed="false">
      <c r="Z116" s="25" t="str">
        <f aca="false">IF(ISNUMBER(A116),IF(COUNTIF(祝日!$A:$A,A116)&gt;0,"祝",CHOOSE(WEEKDAY(A116,2),"月","火","水","木","金","土","日")),"")</f>
        <v/>
      </c>
      <c r="AA116" s="25" t="str">
        <f aca="false">IF(ISNUMBER(A116),IFERROR(INDEX(集計!$V$3:$V$33,MATCH(A116,集計!$N$3:$N$33,0)),0),"")</f>
        <v/>
      </c>
      <c r="AB116" s="25" t="str">
        <f aca="false">IF(ISNUMBER(A116),IFERROR(INDEX(設定!$F$4:$F$27,MATCH(K116,設定!$E$4:$E$27,0)),""),"")</f>
        <v/>
      </c>
    </row>
    <row r="117" customFormat="false" ht="15" hidden="false" customHeight="false" outlineLevel="0" collapsed="false">
      <c r="Z117" s="25" t="str">
        <f aca="false">IF(ISNUMBER(A117),IF(COUNTIF(祝日!$A:$A,A117)&gt;0,"祝",CHOOSE(WEEKDAY(A117,2),"月","火","水","木","金","土","日")),"")</f>
        <v/>
      </c>
      <c r="AA117" s="25" t="str">
        <f aca="false">IF(ISNUMBER(A117),IFERROR(INDEX(集計!$V$3:$V$33,MATCH(A117,集計!$N$3:$N$33,0)),0),"")</f>
        <v/>
      </c>
      <c r="AB117" s="25" t="str">
        <f aca="false">IF(ISNUMBER(A117),IFERROR(INDEX(設定!$F$4:$F$27,MATCH(K117,設定!$E$4:$E$27,0)),""),"")</f>
        <v/>
      </c>
    </row>
    <row r="118" customFormat="false" ht="15" hidden="false" customHeight="false" outlineLevel="0" collapsed="false">
      <c r="Z118" s="25" t="str">
        <f aca="false">IF(ISNUMBER(A118),IF(COUNTIF(祝日!$A:$A,A118)&gt;0,"祝",CHOOSE(WEEKDAY(A118,2),"月","火","水","木","金","土","日")),"")</f>
        <v/>
      </c>
      <c r="AA118" s="25" t="str">
        <f aca="false">IF(ISNUMBER(A118),IFERROR(INDEX(集計!$V$3:$V$33,MATCH(A118,集計!$N$3:$N$33,0)),0),"")</f>
        <v/>
      </c>
      <c r="AB118" s="25" t="str">
        <f aca="false">IF(ISNUMBER(A118),IFERROR(INDEX(設定!$F$4:$F$27,MATCH(K118,設定!$E$4:$E$27,0)),""),"")</f>
        <v/>
      </c>
    </row>
    <row r="119" customFormat="false" ht="15" hidden="false" customHeight="false" outlineLevel="0" collapsed="false">
      <c r="Z119" s="25" t="str">
        <f aca="false">IF(ISNUMBER(A119),IF(COUNTIF(祝日!$A:$A,A119)&gt;0,"祝",CHOOSE(WEEKDAY(A119,2),"月","火","水","木","金","土","日")),"")</f>
        <v/>
      </c>
      <c r="AA119" s="25" t="str">
        <f aca="false">IF(ISNUMBER(A119),IFERROR(INDEX(集計!$V$3:$V$33,MATCH(A119,集計!$N$3:$N$33,0)),0),"")</f>
        <v/>
      </c>
      <c r="AB119" s="25" t="str">
        <f aca="false">IF(ISNUMBER(A119),IFERROR(INDEX(設定!$F$4:$F$27,MATCH(K119,設定!$E$4:$E$27,0)),""),"")</f>
        <v/>
      </c>
    </row>
    <row r="120" customFormat="false" ht="15" hidden="false" customHeight="false" outlineLevel="0" collapsed="false">
      <c r="Z120" s="25" t="str">
        <f aca="false">IF(ISNUMBER(A120),IF(COUNTIF(祝日!$A:$A,A120)&gt;0,"祝",CHOOSE(WEEKDAY(A120,2),"月","火","水","木","金","土","日")),"")</f>
        <v/>
      </c>
      <c r="AA120" s="25" t="str">
        <f aca="false">IF(ISNUMBER(A120),IFERROR(INDEX(集計!$V$3:$V$33,MATCH(A120,集計!$N$3:$N$33,0)),0),"")</f>
        <v/>
      </c>
      <c r="AB120" s="25" t="str">
        <f aca="false">IF(ISNUMBER(A120),IFERROR(INDEX(設定!$F$4:$F$27,MATCH(K120,設定!$E$4:$E$27,0)),""),"")</f>
        <v/>
      </c>
    </row>
    <row r="121" customFormat="false" ht="15" hidden="false" customHeight="false" outlineLevel="0" collapsed="false">
      <c r="Z121" s="25" t="str">
        <f aca="false">IF(ISNUMBER(A121),IF(COUNTIF(祝日!$A:$A,A121)&gt;0,"祝",CHOOSE(WEEKDAY(A121,2),"月","火","水","木","金","土","日")),"")</f>
        <v/>
      </c>
      <c r="AA121" s="25" t="str">
        <f aca="false">IF(ISNUMBER(A121),IFERROR(INDEX(集計!$V$3:$V$33,MATCH(A121,集計!$N$3:$N$33,0)),0),"")</f>
        <v/>
      </c>
      <c r="AB121" s="25" t="str">
        <f aca="false">IF(ISNUMBER(A121),IFERROR(INDEX(設定!$F$4:$F$27,MATCH(K121,設定!$E$4:$E$27,0)),""),"")</f>
        <v/>
      </c>
    </row>
    <row r="122" customFormat="false" ht="15" hidden="false" customHeight="false" outlineLevel="0" collapsed="false">
      <c r="Z122" s="25" t="str">
        <f aca="false">IF(ISNUMBER(A122),IF(COUNTIF(祝日!$A:$A,A122)&gt;0,"祝",CHOOSE(WEEKDAY(A122,2),"月","火","水","木","金","土","日")),"")</f>
        <v/>
      </c>
      <c r="AA122" s="25" t="str">
        <f aca="false">IF(ISNUMBER(A122),IFERROR(INDEX(集計!$V$3:$V$33,MATCH(A122,集計!$N$3:$N$33,0)),0),"")</f>
        <v/>
      </c>
      <c r="AB122" s="25" t="str">
        <f aca="false">IF(ISNUMBER(A122),IFERROR(INDEX(設定!$F$4:$F$27,MATCH(K122,設定!$E$4:$E$27,0)),""),"")</f>
        <v/>
      </c>
    </row>
    <row r="123" customFormat="false" ht="15" hidden="false" customHeight="false" outlineLevel="0" collapsed="false">
      <c r="Z123" s="25" t="str">
        <f aca="false">IF(ISNUMBER(A123),IF(COUNTIF(祝日!$A:$A,A123)&gt;0,"祝",CHOOSE(WEEKDAY(A123,2),"月","火","水","木","金","土","日")),"")</f>
        <v/>
      </c>
      <c r="AA123" s="25" t="str">
        <f aca="false">IF(ISNUMBER(A123),IFERROR(INDEX(集計!$V$3:$V$33,MATCH(A123,集計!$N$3:$N$33,0)),0),"")</f>
        <v/>
      </c>
      <c r="AB123" s="25" t="str">
        <f aca="false">IF(ISNUMBER(A123),IFERROR(INDEX(設定!$F$4:$F$27,MATCH(K123,設定!$E$4:$E$27,0)),""),"")</f>
        <v/>
      </c>
    </row>
    <row r="124" customFormat="false" ht="15" hidden="false" customHeight="false" outlineLevel="0" collapsed="false">
      <c r="Z124" s="25" t="str">
        <f aca="false">IF(ISNUMBER(A124),IF(COUNTIF(祝日!$A:$A,A124)&gt;0,"祝",CHOOSE(WEEKDAY(A124,2),"月","火","水","木","金","土","日")),"")</f>
        <v/>
      </c>
      <c r="AA124" s="25" t="str">
        <f aca="false">IF(ISNUMBER(A124),IFERROR(INDEX(集計!$V$3:$V$33,MATCH(A124,集計!$N$3:$N$33,0)),0),"")</f>
        <v/>
      </c>
      <c r="AB124" s="25" t="str">
        <f aca="false">IF(ISNUMBER(A124),IFERROR(INDEX(設定!$F$4:$F$27,MATCH(K124,設定!$E$4:$E$27,0)),""),"")</f>
        <v/>
      </c>
    </row>
    <row r="125" customFormat="false" ht="15" hidden="false" customHeight="false" outlineLevel="0" collapsed="false">
      <c r="Z125" s="25" t="str">
        <f aca="false">IF(ISNUMBER(A125),IF(COUNTIF(祝日!$A:$A,A125)&gt;0,"祝",CHOOSE(WEEKDAY(A125,2),"月","火","水","木","金","土","日")),"")</f>
        <v/>
      </c>
      <c r="AA125" s="25" t="str">
        <f aca="false">IF(ISNUMBER(A125),IFERROR(INDEX(集計!$V$3:$V$33,MATCH(A125,集計!$N$3:$N$33,0)),0),"")</f>
        <v/>
      </c>
      <c r="AB125" s="25" t="str">
        <f aca="false">IF(ISNUMBER(A125),IFERROR(INDEX(設定!$F$4:$F$27,MATCH(K125,設定!$E$4:$E$27,0)),""),"")</f>
        <v/>
      </c>
    </row>
    <row r="126" customFormat="false" ht="15" hidden="false" customHeight="false" outlineLevel="0" collapsed="false">
      <c r="Z126" s="25" t="str">
        <f aca="false">IF(ISNUMBER(A126),IF(COUNTIF(祝日!$A:$A,A126)&gt;0,"祝",CHOOSE(WEEKDAY(A126,2),"月","火","水","木","金","土","日")),"")</f>
        <v/>
      </c>
      <c r="AA126" s="25" t="str">
        <f aca="false">IF(ISNUMBER(A126),IFERROR(INDEX(集計!$V$3:$V$33,MATCH(A126,集計!$N$3:$N$33,0)),0),"")</f>
        <v/>
      </c>
      <c r="AB126" s="25" t="str">
        <f aca="false">IF(ISNUMBER(A126),IFERROR(INDEX(設定!$F$4:$F$27,MATCH(K126,設定!$E$4:$E$27,0)),""),"")</f>
        <v/>
      </c>
    </row>
    <row r="127" customFormat="false" ht="15" hidden="false" customHeight="false" outlineLevel="0" collapsed="false">
      <c r="Z127" s="25" t="str">
        <f aca="false">IF(ISNUMBER(A127),IF(COUNTIF(祝日!$A:$A,A127)&gt;0,"祝",CHOOSE(WEEKDAY(A127,2),"月","火","水","木","金","土","日")),"")</f>
        <v/>
      </c>
      <c r="AA127" s="25" t="str">
        <f aca="false">IF(ISNUMBER(A127),IFERROR(INDEX(集計!$V$3:$V$33,MATCH(A127,集計!$N$3:$N$33,0)),0),"")</f>
        <v/>
      </c>
      <c r="AB127" s="25" t="str">
        <f aca="false">IF(ISNUMBER(A127),IFERROR(INDEX(設定!$F$4:$F$27,MATCH(K127,設定!$E$4:$E$27,0)),""),"")</f>
        <v/>
      </c>
    </row>
    <row r="128" customFormat="false" ht="15" hidden="false" customHeight="false" outlineLevel="0" collapsed="false">
      <c r="Z128" s="25" t="str">
        <f aca="false">IF(ISNUMBER(A128),IF(COUNTIF(祝日!$A:$A,A128)&gt;0,"祝",CHOOSE(WEEKDAY(A128,2),"月","火","水","木","金","土","日")),"")</f>
        <v/>
      </c>
      <c r="AA128" s="25" t="str">
        <f aca="false">IF(ISNUMBER(A128),IFERROR(INDEX(集計!$V$3:$V$33,MATCH(A128,集計!$N$3:$N$33,0)),0),"")</f>
        <v/>
      </c>
      <c r="AB128" s="25" t="str">
        <f aca="false">IF(ISNUMBER(A128),IFERROR(INDEX(設定!$F$4:$F$27,MATCH(K128,設定!$E$4:$E$27,0)),""),"")</f>
        <v/>
      </c>
    </row>
    <row r="129" customFormat="false" ht="15" hidden="false" customHeight="false" outlineLevel="0" collapsed="false">
      <c r="Z129" s="25" t="str">
        <f aca="false">IF(ISNUMBER(A129),IF(COUNTIF(祝日!$A:$A,A129)&gt;0,"祝",CHOOSE(WEEKDAY(A129,2),"月","火","水","木","金","土","日")),"")</f>
        <v/>
      </c>
      <c r="AA129" s="25" t="str">
        <f aca="false">IF(ISNUMBER(A129),IFERROR(INDEX(集計!$V$3:$V$33,MATCH(A129,集計!$N$3:$N$33,0)),0),"")</f>
        <v/>
      </c>
      <c r="AB129" s="25" t="str">
        <f aca="false">IF(ISNUMBER(A129),IFERROR(INDEX(設定!$F$4:$F$27,MATCH(K129,設定!$E$4:$E$27,0)),""),"")</f>
        <v/>
      </c>
    </row>
    <row r="130" customFormat="false" ht="15" hidden="false" customHeight="false" outlineLevel="0" collapsed="false">
      <c r="Z130" s="25" t="str">
        <f aca="false">IF(ISNUMBER(A130),IF(COUNTIF(祝日!$A:$A,A130)&gt;0,"祝",CHOOSE(WEEKDAY(A130,2),"月","火","水","木","金","土","日")),"")</f>
        <v/>
      </c>
      <c r="AA130" s="25" t="str">
        <f aca="false">IF(ISNUMBER(A130),IFERROR(INDEX(集計!$V$3:$V$33,MATCH(A130,集計!$N$3:$N$33,0)),0),"")</f>
        <v/>
      </c>
      <c r="AB130" s="25" t="str">
        <f aca="false">IF(ISNUMBER(A130),IFERROR(INDEX(設定!$F$4:$F$27,MATCH(K130,設定!$E$4:$E$27,0)),""),"")</f>
        <v/>
      </c>
    </row>
    <row r="131" customFormat="false" ht="15" hidden="false" customHeight="false" outlineLevel="0" collapsed="false">
      <c r="Z131" s="25" t="str">
        <f aca="false">IF(ISNUMBER(A131),IF(COUNTIF(祝日!$A:$A,A131)&gt;0,"祝",CHOOSE(WEEKDAY(A131,2),"月","火","水","木","金","土","日")),"")</f>
        <v/>
      </c>
      <c r="AA131" s="25" t="str">
        <f aca="false">IF(ISNUMBER(A131),IFERROR(INDEX(集計!$V$3:$V$33,MATCH(A131,集計!$N$3:$N$33,0)),0),"")</f>
        <v/>
      </c>
      <c r="AB131" s="25" t="str">
        <f aca="false">IF(ISNUMBER(A131),IFERROR(INDEX(設定!$F$4:$F$27,MATCH(K131,設定!$E$4:$E$27,0)),""),"")</f>
        <v/>
      </c>
    </row>
    <row r="132" customFormat="false" ht="15" hidden="false" customHeight="false" outlineLevel="0" collapsed="false">
      <c r="Z132" s="25" t="str">
        <f aca="false">IF(ISNUMBER(A132),IF(COUNTIF(祝日!$A:$A,A132)&gt;0,"祝",CHOOSE(WEEKDAY(A132,2),"月","火","水","木","金","土","日")),"")</f>
        <v/>
      </c>
      <c r="AA132" s="25" t="str">
        <f aca="false">IF(ISNUMBER(A132),IFERROR(INDEX(集計!$V$3:$V$33,MATCH(A132,集計!$N$3:$N$33,0)),0),"")</f>
        <v/>
      </c>
      <c r="AB132" s="25" t="str">
        <f aca="false">IF(ISNUMBER(A132),IFERROR(INDEX(設定!$F$4:$F$27,MATCH(K132,設定!$E$4:$E$27,0)),""),"")</f>
        <v/>
      </c>
    </row>
    <row r="133" customFormat="false" ht="15" hidden="false" customHeight="false" outlineLevel="0" collapsed="false">
      <c r="Z133" s="25" t="str">
        <f aca="false">IF(ISNUMBER(A133),IF(COUNTIF(祝日!$A:$A,A133)&gt;0,"祝",CHOOSE(WEEKDAY(A133,2),"月","火","水","木","金","土","日")),"")</f>
        <v/>
      </c>
      <c r="AA133" s="25" t="str">
        <f aca="false">IF(ISNUMBER(A133),IFERROR(INDEX(集計!$V$3:$V$33,MATCH(A133,集計!$N$3:$N$33,0)),0),"")</f>
        <v/>
      </c>
      <c r="AB133" s="25" t="str">
        <f aca="false">IF(ISNUMBER(A133),IFERROR(INDEX(設定!$F$4:$F$27,MATCH(K133,設定!$E$4:$E$27,0)),""),"")</f>
        <v/>
      </c>
    </row>
    <row r="134" customFormat="false" ht="15" hidden="false" customHeight="false" outlineLevel="0" collapsed="false">
      <c r="Z134" s="25" t="str">
        <f aca="false">IF(ISNUMBER(A134),IF(COUNTIF(祝日!$A:$A,A134)&gt;0,"祝",CHOOSE(WEEKDAY(A134,2),"月","火","水","木","金","土","日")),"")</f>
        <v/>
      </c>
      <c r="AA134" s="25" t="str">
        <f aca="false">IF(ISNUMBER(A134),IFERROR(INDEX(集計!$V$3:$V$33,MATCH(A134,集計!$N$3:$N$33,0)),0),"")</f>
        <v/>
      </c>
      <c r="AB134" s="25" t="str">
        <f aca="false">IF(ISNUMBER(A134),IFERROR(INDEX(設定!$F$4:$F$27,MATCH(K134,設定!$E$4:$E$27,0)),""),"")</f>
        <v/>
      </c>
    </row>
    <row r="135" customFormat="false" ht="15" hidden="false" customHeight="false" outlineLevel="0" collapsed="false">
      <c r="Z135" s="25" t="str">
        <f aca="false">IF(ISNUMBER(A135),IF(COUNTIF(祝日!$A:$A,A135)&gt;0,"祝",CHOOSE(WEEKDAY(A135,2),"月","火","水","木","金","土","日")),"")</f>
        <v/>
      </c>
      <c r="AA135" s="25" t="str">
        <f aca="false">IF(ISNUMBER(A135),IFERROR(INDEX(集計!$V$3:$V$33,MATCH(A135,集計!$N$3:$N$33,0)),0),"")</f>
        <v/>
      </c>
      <c r="AB135" s="25" t="str">
        <f aca="false">IF(ISNUMBER(A135),IFERROR(INDEX(設定!$F$4:$F$27,MATCH(K135,設定!$E$4:$E$27,0)),""),"")</f>
        <v/>
      </c>
    </row>
    <row r="136" customFormat="false" ht="15" hidden="false" customHeight="false" outlineLevel="0" collapsed="false">
      <c r="Z136" s="25" t="str">
        <f aca="false">IF(ISNUMBER(A136),IF(COUNTIF(祝日!$A:$A,A136)&gt;0,"祝",CHOOSE(WEEKDAY(A136,2),"月","火","水","木","金","土","日")),"")</f>
        <v/>
      </c>
      <c r="AA136" s="25" t="str">
        <f aca="false">IF(ISNUMBER(A136),IFERROR(INDEX(集計!$V$3:$V$33,MATCH(A136,集計!$N$3:$N$33,0)),0),"")</f>
        <v/>
      </c>
      <c r="AB136" s="25" t="str">
        <f aca="false">IF(ISNUMBER(A136),IFERROR(INDEX(設定!$F$4:$F$27,MATCH(K136,設定!$E$4:$E$27,0)),""),"")</f>
        <v/>
      </c>
    </row>
    <row r="137" customFormat="false" ht="15" hidden="false" customHeight="false" outlineLevel="0" collapsed="false">
      <c r="Z137" s="25" t="str">
        <f aca="false">IF(ISNUMBER(A137),IF(COUNTIF(祝日!$A:$A,A137)&gt;0,"祝",CHOOSE(WEEKDAY(A137,2),"月","火","水","木","金","土","日")),"")</f>
        <v/>
      </c>
      <c r="AA137" s="25" t="str">
        <f aca="false">IF(ISNUMBER(A137),IFERROR(INDEX(集計!$V$3:$V$33,MATCH(A137,集計!$N$3:$N$33,0)),0),"")</f>
        <v/>
      </c>
      <c r="AB137" s="25" t="str">
        <f aca="false">IF(ISNUMBER(A137),IFERROR(INDEX(設定!$F$4:$F$27,MATCH(K137,設定!$E$4:$E$27,0)),""),"")</f>
        <v/>
      </c>
    </row>
    <row r="138" customFormat="false" ht="15" hidden="false" customHeight="false" outlineLevel="0" collapsed="false">
      <c r="Z138" s="25" t="str">
        <f aca="false">IF(ISNUMBER(A138),IF(COUNTIF(祝日!$A:$A,A138)&gt;0,"祝",CHOOSE(WEEKDAY(A138,2),"月","火","水","木","金","土","日")),"")</f>
        <v/>
      </c>
      <c r="AA138" s="25" t="str">
        <f aca="false">IF(ISNUMBER(A138),IFERROR(INDEX(集計!$V$3:$V$33,MATCH(A138,集計!$N$3:$N$33,0)),0),"")</f>
        <v/>
      </c>
      <c r="AB138" s="25" t="str">
        <f aca="false">IF(ISNUMBER(A138),IFERROR(INDEX(設定!$F$4:$F$27,MATCH(K138,設定!$E$4:$E$27,0)),""),"")</f>
        <v/>
      </c>
    </row>
    <row r="139" customFormat="false" ht="15" hidden="false" customHeight="false" outlineLevel="0" collapsed="false">
      <c r="Z139" s="25" t="str">
        <f aca="false">IF(ISNUMBER(A139),IF(COUNTIF(祝日!$A:$A,A139)&gt;0,"祝",CHOOSE(WEEKDAY(A139,2),"月","火","水","木","金","土","日")),"")</f>
        <v/>
      </c>
      <c r="AA139" s="25" t="str">
        <f aca="false">IF(ISNUMBER(A139),IFERROR(INDEX(集計!$V$3:$V$33,MATCH(A139,集計!$N$3:$N$33,0)),0),"")</f>
        <v/>
      </c>
      <c r="AB139" s="25" t="str">
        <f aca="false">IF(ISNUMBER(A139),IFERROR(INDEX(設定!$F$4:$F$27,MATCH(K139,設定!$E$4:$E$27,0)),""),"")</f>
        <v/>
      </c>
    </row>
    <row r="140" customFormat="false" ht="15" hidden="false" customHeight="false" outlineLevel="0" collapsed="false">
      <c r="Z140" s="25" t="str">
        <f aca="false">IF(ISNUMBER(A140),IF(COUNTIF(祝日!$A:$A,A140)&gt;0,"祝",CHOOSE(WEEKDAY(A140,2),"月","火","水","木","金","土","日")),"")</f>
        <v/>
      </c>
      <c r="AA140" s="25" t="str">
        <f aca="false">IF(ISNUMBER(A140),IFERROR(INDEX(集計!$V$3:$V$33,MATCH(A140,集計!$N$3:$N$33,0)),0),"")</f>
        <v/>
      </c>
      <c r="AB140" s="25" t="str">
        <f aca="false">IF(ISNUMBER(A140),IFERROR(INDEX(設定!$F$4:$F$27,MATCH(K140,設定!$E$4:$E$27,0)),""),"")</f>
        <v/>
      </c>
    </row>
    <row r="141" customFormat="false" ht="15" hidden="false" customHeight="false" outlineLevel="0" collapsed="false">
      <c r="Z141" s="25" t="str">
        <f aca="false">IF(ISNUMBER(A141),IF(COUNTIF(祝日!$A:$A,A141)&gt;0,"祝",CHOOSE(WEEKDAY(A141,2),"月","火","水","木","金","土","日")),"")</f>
        <v/>
      </c>
      <c r="AA141" s="25" t="str">
        <f aca="false">IF(ISNUMBER(A141),IFERROR(INDEX(集計!$V$3:$V$33,MATCH(A141,集計!$N$3:$N$33,0)),0),"")</f>
        <v/>
      </c>
      <c r="AB141" s="25" t="str">
        <f aca="false">IF(ISNUMBER(A141),IFERROR(INDEX(設定!$F$4:$F$27,MATCH(K141,設定!$E$4:$E$27,0)),""),"")</f>
        <v/>
      </c>
    </row>
    <row r="142" customFormat="false" ht="15" hidden="false" customHeight="false" outlineLevel="0" collapsed="false">
      <c r="Z142" s="25" t="str">
        <f aca="false">IF(ISNUMBER(A142),IF(COUNTIF(祝日!$A:$A,A142)&gt;0,"祝",CHOOSE(WEEKDAY(A142,2),"月","火","水","木","金","土","日")),"")</f>
        <v/>
      </c>
      <c r="AA142" s="25" t="str">
        <f aca="false">IF(ISNUMBER(A142),IFERROR(INDEX(集計!$V$3:$V$33,MATCH(A142,集計!$N$3:$N$33,0)),0),"")</f>
        <v/>
      </c>
      <c r="AB142" s="25" t="str">
        <f aca="false">IF(ISNUMBER(A142),IFERROR(INDEX(設定!$F$4:$F$27,MATCH(K142,設定!$E$4:$E$27,0)),""),"")</f>
        <v/>
      </c>
    </row>
    <row r="143" customFormat="false" ht="15" hidden="false" customHeight="false" outlineLevel="0" collapsed="false">
      <c r="Z143" s="25" t="str">
        <f aca="false">IF(ISNUMBER(A143),IF(COUNTIF(祝日!$A:$A,A143)&gt;0,"祝",CHOOSE(WEEKDAY(A143,2),"月","火","水","木","金","土","日")),"")</f>
        <v/>
      </c>
      <c r="AA143" s="25" t="str">
        <f aca="false">IF(ISNUMBER(A143),IFERROR(INDEX(集計!$V$3:$V$33,MATCH(A143,集計!$N$3:$N$33,0)),0),"")</f>
        <v/>
      </c>
      <c r="AB143" s="25" t="str">
        <f aca="false">IF(ISNUMBER(A143),IFERROR(INDEX(設定!$F$4:$F$27,MATCH(K143,設定!$E$4:$E$27,0)),""),"")</f>
        <v/>
      </c>
    </row>
    <row r="144" customFormat="false" ht="15" hidden="false" customHeight="false" outlineLevel="0" collapsed="false">
      <c r="Z144" s="25" t="str">
        <f aca="false">IF(ISNUMBER(A144),IF(COUNTIF(祝日!$A:$A,A144)&gt;0,"祝",CHOOSE(WEEKDAY(A144,2),"月","火","水","木","金","土","日")),"")</f>
        <v/>
      </c>
      <c r="AA144" s="25" t="str">
        <f aca="false">IF(ISNUMBER(A144),IFERROR(INDEX(集計!$V$3:$V$33,MATCH(A144,集計!$N$3:$N$33,0)),0),"")</f>
        <v/>
      </c>
      <c r="AB144" s="25" t="str">
        <f aca="false">IF(ISNUMBER(A144),IFERROR(INDEX(設定!$F$4:$F$27,MATCH(K144,設定!$E$4:$E$27,0)),""),"")</f>
        <v/>
      </c>
    </row>
    <row r="145" customFormat="false" ht="15" hidden="false" customHeight="false" outlineLevel="0" collapsed="false">
      <c r="Z145" s="25" t="str">
        <f aca="false">IF(ISNUMBER(A145),IF(COUNTIF(祝日!$A:$A,A145)&gt;0,"祝",CHOOSE(WEEKDAY(A145,2),"月","火","水","木","金","土","日")),"")</f>
        <v/>
      </c>
      <c r="AA145" s="25" t="str">
        <f aca="false">IF(ISNUMBER(A145),IFERROR(INDEX(集計!$V$3:$V$33,MATCH(A145,集計!$N$3:$N$33,0)),0),"")</f>
        <v/>
      </c>
      <c r="AB145" s="25" t="str">
        <f aca="false">IF(ISNUMBER(A145),IFERROR(INDEX(設定!$F$4:$F$27,MATCH(K145,設定!$E$4:$E$27,0)),""),"")</f>
        <v/>
      </c>
    </row>
    <row r="146" customFormat="false" ht="15" hidden="false" customHeight="false" outlineLevel="0" collapsed="false">
      <c r="Z146" s="25" t="str">
        <f aca="false">IF(ISNUMBER(A146),IF(COUNTIF(祝日!$A:$A,A146)&gt;0,"祝",CHOOSE(WEEKDAY(A146,2),"月","火","水","木","金","土","日")),"")</f>
        <v/>
      </c>
      <c r="AA146" s="25" t="str">
        <f aca="false">IF(ISNUMBER(A146),IFERROR(INDEX(集計!$V$3:$V$33,MATCH(A146,集計!$N$3:$N$33,0)),0),"")</f>
        <v/>
      </c>
      <c r="AB146" s="25" t="str">
        <f aca="false">IF(ISNUMBER(A146),IFERROR(INDEX(設定!$F$4:$F$27,MATCH(K146,設定!$E$4:$E$27,0)),""),"")</f>
        <v/>
      </c>
    </row>
    <row r="147" customFormat="false" ht="15" hidden="false" customHeight="false" outlineLevel="0" collapsed="false">
      <c r="Z147" s="25" t="str">
        <f aca="false">IF(ISNUMBER(A147),IF(COUNTIF(祝日!$A:$A,A147)&gt;0,"祝",CHOOSE(WEEKDAY(A147,2),"月","火","水","木","金","土","日")),"")</f>
        <v/>
      </c>
      <c r="AA147" s="25" t="str">
        <f aca="false">IF(ISNUMBER(A147),IFERROR(INDEX(集計!$V$3:$V$33,MATCH(A147,集計!$N$3:$N$33,0)),0),"")</f>
        <v/>
      </c>
      <c r="AB147" s="25" t="str">
        <f aca="false">IF(ISNUMBER(A147),IFERROR(INDEX(設定!$F$4:$F$27,MATCH(K147,設定!$E$4:$E$27,0)),""),"")</f>
        <v/>
      </c>
    </row>
    <row r="148" customFormat="false" ht="15" hidden="false" customHeight="false" outlineLevel="0" collapsed="false">
      <c r="Z148" s="25" t="str">
        <f aca="false">IF(ISNUMBER(A148),IF(COUNTIF(祝日!$A:$A,A148)&gt;0,"祝",CHOOSE(WEEKDAY(A148,2),"月","火","水","木","金","土","日")),"")</f>
        <v/>
      </c>
      <c r="AA148" s="25" t="str">
        <f aca="false">IF(ISNUMBER(A148),IFERROR(INDEX(集計!$V$3:$V$33,MATCH(A148,集計!$N$3:$N$33,0)),0),"")</f>
        <v/>
      </c>
      <c r="AB148" s="25" t="str">
        <f aca="false">IF(ISNUMBER(A148),IFERROR(INDEX(設定!$F$4:$F$27,MATCH(K148,設定!$E$4:$E$27,0)),""),"")</f>
        <v/>
      </c>
    </row>
    <row r="149" customFormat="false" ht="15" hidden="false" customHeight="false" outlineLevel="0" collapsed="false">
      <c r="Z149" s="25" t="str">
        <f aca="false">IF(ISNUMBER(A149),IF(COUNTIF(祝日!$A:$A,A149)&gt;0,"祝",CHOOSE(WEEKDAY(A149,2),"月","火","水","木","金","土","日")),"")</f>
        <v/>
      </c>
      <c r="AA149" s="25" t="str">
        <f aca="false">IF(ISNUMBER(A149),IFERROR(INDEX(集計!$V$3:$V$33,MATCH(A149,集計!$N$3:$N$33,0)),0),"")</f>
        <v/>
      </c>
      <c r="AB149" s="25" t="str">
        <f aca="false">IF(ISNUMBER(A149),IFERROR(INDEX(設定!$F$4:$F$27,MATCH(K149,設定!$E$4:$E$27,0)),""),"")</f>
        <v/>
      </c>
    </row>
    <row r="150" customFormat="false" ht="15" hidden="false" customHeight="false" outlineLevel="0" collapsed="false">
      <c r="Z150" s="25" t="str">
        <f aca="false">IF(ISNUMBER(A150),IF(COUNTIF(祝日!$A:$A,A150)&gt;0,"祝",CHOOSE(WEEKDAY(A150,2),"月","火","水","木","金","土","日")),"")</f>
        <v/>
      </c>
      <c r="AA150" s="25" t="str">
        <f aca="false">IF(ISNUMBER(A150),IFERROR(INDEX(集計!$V$3:$V$33,MATCH(A150,集計!$N$3:$N$33,0)),0),"")</f>
        <v/>
      </c>
      <c r="AB150" s="25" t="str">
        <f aca="false">IF(ISNUMBER(A150),IFERROR(INDEX(設定!$F$4:$F$27,MATCH(K150,設定!$E$4:$E$27,0)),""),"")</f>
        <v/>
      </c>
    </row>
    <row r="151" customFormat="false" ht="15" hidden="false" customHeight="false" outlineLevel="0" collapsed="false">
      <c r="Z151" s="25" t="str">
        <f aca="false">IF(ISNUMBER(A151),IF(COUNTIF(祝日!$A:$A,A151)&gt;0,"祝",CHOOSE(WEEKDAY(A151,2),"月","火","水","木","金","土","日")),"")</f>
        <v/>
      </c>
      <c r="AA151" s="25" t="str">
        <f aca="false">IF(ISNUMBER(A151),IFERROR(INDEX(集計!$V$3:$V$33,MATCH(A151,集計!$N$3:$N$33,0)),0),"")</f>
        <v/>
      </c>
      <c r="AB151" s="25" t="str">
        <f aca="false">IF(ISNUMBER(A151),IFERROR(INDEX(設定!$F$4:$F$27,MATCH(K151,設定!$E$4:$E$27,0)),""),"")</f>
        <v/>
      </c>
    </row>
    <row r="152" customFormat="false" ht="15" hidden="false" customHeight="false" outlineLevel="0" collapsed="false">
      <c r="Z152" s="25" t="str">
        <f aca="false">IF(ISNUMBER(A152),IF(COUNTIF(祝日!$A:$A,A152)&gt;0,"祝",CHOOSE(WEEKDAY(A152,2),"月","火","水","木","金","土","日")),"")</f>
        <v/>
      </c>
      <c r="AA152" s="25" t="str">
        <f aca="false">IF(ISNUMBER(A152),IFERROR(INDEX(集計!$V$3:$V$33,MATCH(A152,集計!$N$3:$N$33,0)),0),"")</f>
        <v/>
      </c>
      <c r="AB152" s="25" t="str">
        <f aca="false">IF(ISNUMBER(A152),IFERROR(INDEX(設定!$F$4:$F$27,MATCH(K152,設定!$E$4:$E$27,0)),""),"")</f>
        <v/>
      </c>
    </row>
    <row r="153" customFormat="false" ht="15" hidden="false" customHeight="false" outlineLevel="0" collapsed="false">
      <c r="Z153" s="25" t="str">
        <f aca="false">IF(ISNUMBER(A153),IF(COUNTIF(祝日!$A:$A,A153)&gt;0,"祝",CHOOSE(WEEKDAY(A153,2),"月","火","水","木","金","土","日")),"")</f>
        <v/>
      </c>
      <c r="AA153" s="25" t="str">
        <f aca="false">IF(ISNUMBER(A153),IFERROR(INDEX(集計!$V$3:$V$33,MATCH(A153,集計!$N$3:$N$33,0)),0),"")</f>
        <v/>
      </c>
      <c r="AB153" s="25" t="str">
        <f aca="false">IF(ISNUMBER(A153),IFERROR(INDEX(設定!$F$4:$F$27,MATCH(K153,設定!$E$4:$E$27,0)),""),"")</f>
        <v/>
      </c>
    </row>
    <row r="154" customFormat="false" ht="15" hidden="false" customHeight="false" outlineLevel="0" collapsed="false">
      <c r="Z154" s="25" t="str">
        <f aca="false">IF(ISNUMBER(A154),IF(COUNTIF(祝日!$A:$A,A154)&gt;0,"祝",CHOOSE(WEEKDAY(A154,2),"月","火","水","木","金","土","日")),"")</f>
        <v/>
      </c>
      <c r="AA154" s="25" t="str">
        <f aca="false">IF(ISNUMBER(A154),IFERROR(INDEX(集計!$V$3:$V$33,MATCH(A154,集計!$N$3:$N$33,0)),0),"")</f>
        <v/>
      </c>
      <c r="AB154" s="25" t="str">
        <f aca="false">IF(ISNUMBER(A154),IFERROR(INDEX(設定!$F$4:$F$27,MATCH(K154,設定!$E$4:$E$27,0)),""),"")</f>
        <v/>
      </c>
    </row>
    <row r="155" customFormat="false" ht="15" hidden="false" customHeight="false" outlineLevel="0" collapsed="false">
      <c r="Z155" s="25" t="str">
        <f aca="false">IF(ISNUMBER(A155),IF(COUNTIF(祝日!$A:$A,A155)&gt;0,"祝",CHOOSE(WEEKDAY(A155,2),"月","火","水","木","金","土","日")),"")</f>
        <v/>
      </c>
      <c r="AA155" s="25" t="str">
        <f aca="false">IF(ISNUMBER(A155),IFERROR(INDEX(集計!$V$3:$V$33,MATCH(A155,集計!$N$3:$N$33,0)),0),"")</f>
        <v/>
      </c>
      <c r="AB155" s="25" t="str">
        <f aca="false">IF(ISNUMBER(A155),IFERROR(INDEX(設定!$F$4:$F$27,MATCH(K155,設定!$E$4:$E$27,0)),""),"")</f>
        <v/>
      </c>
    </row>
    <row r="156" customFormat="false" ht="15" hidden="false" customHeight="false" outlineLevel="0" collapsed="false">
      <c r="Z156" s="25" t="str">
        <f aca="false">IF(ISNUMBER(A156),IF(COUNTIF(祝日!$A:$A,A156)&gt;0,"祝",CHOOSE(WEEKDAY(A156,2),"月","火","水","木","金","土","日")),"")</f>
        <v/>
      </c>
      <c r="AA156" s="25" t="str">
        <f aca="false">IF(ISNUMBER(A156),IFERROR(INDEX(集計!$V$3:$V$33,MATCH(A156,集計!$N$3:$N$33,0)),0),"")</f>
        <v/>
      </c>
      <c r="AB156" s="25" t="str">
        <f aca="false">IF(ISNUMBER(A156),IFERROR(INDEX(設定!$F$4:$F$27,MATCH(K156,設定!$E$4:$E$27,0)),""),"")</f>
        <v/>
      </c>
    </row>
    <row r="157" customFormat="false" ht="15" hidden="false" customHeight="false" outlineLevel="0" collapsed="false">
      <c r="Z157" s="25" t="str">
        <f aca="false">IF(ISNUMBER(A157),IF(COUNTIF(祝日!$A:$A,A157)&gt;0,"祝",CHOOSE(WEEKDAY(A157,2),"月","火","水","木","金","土","日")),"")</f>
        <v/>
      </c>
      <c r="AA157" s="25" t="str">
        <f aca="false">IF(ISNUMBER(A157),IFERROR(INDEX(集計!$V$3:$V$33,MATCH(A157,集計!$N$3:$N$33,0)),0),"")</f>
        <v/>
      </c>
      <c r="AB157" s="25" t="str">
        <f aca="false">IF(ISNUMBER(A157),IFERROR(INDEX(設定!$F$4:$F$27,MATCH(K157,設定!$E$4:$E$27,0)),""),"")</f>
        <v/>
      </c>
    </row>
    <row r="158" customFormat="false" ht="15" hidden="false" customHeight="false" outlineLevel="0" collapsed="false">
      <c r="Z158" s="25" t="str">
        <f aca="false">IF(ISNUMBER(A158),IF(COUNTIF(祝日!$A:$A,A158)&gt;0,"祝",CHOOSE(WEEKDAY(A158,2),"月","火","水","木","金","土","日")),"")</f>
        <v/>
      </c>
      <c r="AA158" s="25" t="str">
        <f aca="false">IF(ISNUMBER(A158),IFERROR(INDEX(集計!$V$3:$V$33,MATCH(A158,集計!$N$3:$N$33,0)),0),"")</f>
        <v/>
      </c>
      <c r="AB158" s="25" t="str">
        <f aca="false">IF(ISNUMBER(A158),IFERROR(INDEX(設定!$F$4:$F$27,MATCH(K158,設定!$E$4:$E$27,0)),""),"")</f>
        <v/>
      </c>
    </row>
    <row r="159" customFormat="false" ht="15" hidden="false" customHeight="false" outlineLevel="0" collapsed="false">
      <c r="Z159" s="25" t="str">
        <f aca="false">IF(ISNUMBER(A159),IF(COUNTIF(祝日!$A:$A,A159)&gt;0,"祝",CHOOSE(WEEKDAY(A159,2),"月","火","水","木","金","土","日")),"")</f>
        <v/>
      </c>
      <c r="AA159" s="25" t="str">
        <f aca="false">IF(ISNUMBER(A159),IFERROR(INDEX(集計!$V$3:$V$33,MATCH(A159,集計!$N$3:$N$33,0)),0),"")</f>
        <v/>
      </c>
      <c r="AB159" s="25" t="str">
        <f aca="false">IF(ISNUMBER(A159),IFERROR(INDEX(設定!$F$4:$F$27,MATCH(K159,設定!$E$4:$E$27,0)),""),"")</f>
        <v/>
      </c>
    </row>
    <row r="160" customFormat="false" ht="15" hidden="false" customHeight="false" outlineLevel="0" collapsed="false">
      <c r="Z160" s="25" t="str">
        <f aca="false">IF(ISNUMBER(A160),IF(COUNTIF(祝日!$A:$A,A160)&gt;0,"祝",CHOOSE(WEEKDAY(A160,2),"月","火","水","木","金","土","日")),"")</f>
        <v/>
      </c>
      <c r="AA160" s="25" t="str">
        <f aca="false">IF(ISNUMBER(A160),IFERROR(INDEX(集計!$V$3:$V$33,MATCH(A160,集計!$N$3:$N$33,0)),0),"")</f>
        <v/>
      </c>
      <c r="AB160" s="25" t="str">
        <f aca="false">IF(ISNUMBER(A160),IFERROR(INDEX(設定!$F$4:$F$27,MATCH(K160,設定!$E$4:$E$27,0)),""),"")</f>
        <v/>
      </c>
    </row>
    <row r="161" customFormat="false" ht="15" hidden="false" customHeight="false" outlineLevel="0" collapsed="false">
      <c r="Z161" s="25" t="str">
        <f aca="false">IF(ISNUMBER(A161),IF(COUNTIF(祝日!$A:$A,A161)&gt;0,"祝",CHOOSE(WEEKDAY(A161,2),"月","火","水","木","金","土","日")),"")</f>
        <v/>
      </c>
      <c r="AA161" s="25" t="str">
        <f aca="false">IF(ISNUMBER(A161),IFERROR(INDEX(集計!$V$3:$V$33,MATCH(A161,集計!$N$3:$N$33,0)),0),"")</f>
        <v/>
      </c>
      <c r="AB161" s="25" t="str">
        <f aca="false">IF(ISNUMBER(A161),IFERROR(INDEX(設定!$F$4:$F$27,MATCH(K161,設定!$E$4:$E$27,0)),""),"")</f>
        <v/>
      </c>
    </row>
    <row r="162" customFormat="false" ht="15" hidden="false" customHeight="false" outlineLevel="0" collapsed="false">
      <c r="Z162" s="25" t="str">
        <f aca="false">IF(ISNUMBER(A162),IF(COUNTIF(祝日!$A:$A,A162)&gt;0,"祝",CHOOSE(WEEKDAY(A162,2),"月","火","水","木","金","土","日")),"")</f>
        <v/>
      </c>
      <c r="AA162" s="25" t="str">
        <f aca="false">IF(ISNUMBER(A162),IFERROR(INDEX(集計!$V$3:$V$33,MATCH(A162,集計!$N$3:$N$33,0)),0),"")</f>
        <v/>
      </c>
      <c r="AB162" s="25" t="str">
        <f aca="false">IF(ISNUMBER(A162),IFERROR(INDEX(設定!$F$4:$F$27,MATCH(K162,設定!$E$4:$E$27,0)),""),"")</f>
        <v/>
      </c>
    </row>
    <row r="163" customFormat="false" ht="15" hidden="false" customHeight="false" outlineLevel="0" collapsed="false">
      <c r="Z163" s="25" t="str">
        <f aca="false">IF(ISNUMBER(A163),IF(COUNTIF(祝日!$A:$A,A163)&gt;0,"祝",CHOOSE(WEEKDAY(A163,2),"月","火","水","木","金","土","日")),"")</f>
        <v/>
      </c>
      <c r="AA163" s="25" t="str">
        <f aca="false">IF(ISNUMBER(A163),IFERROR(INDEX(集計!$V$3:$V$33,MATCH(A163,集計!$N$3:$N$33,0)),0),"")</f>
        <v/>
      </c>
      <c r="AB163" s="25" t="str">
        <f aca="false">IF(ISNUMBER(A163),IFERROR(INDEX(設定!$F$4:$F$27,MATCH(K163,設定!$E$4:$E$27,0)),""),"")</f>
        <v/>
      </c>
    </row>
    <row r="164" customFormat="false" ht="15" hidden="false" customHeight="false" outlineLevel="0" collapsed="false">
      <c r="Z164" s="25" t="str">
        <f aca="false">IF(ISNUMBER(A164),IF(COUNTIF(祝日!$A:$A,A164)&gt;0,"祝",CHOOSE(WEEKDAY(A164,2),"月","火","水","木","金","土","日")),"")</f>
        <v/>
      </c>
      <c r="AA164" s="25" t="str">
        <f aca="false">IF(ISNUMBER(A164),IFERROR(INDEX(集計!$V$3:$V$33,MATCH(A164,集計!$N$3:$N$33,0)),0),"")</f>
        <v/>
      </c>
      <c r="AB164" s="25" t="str">
        <f aca="false">IF(ISNUMBER(A164),IFERROR(INDEX(設定!$F$4:$F$27,MATCH(K164,設定!$E$4:$E$27,0)),""),"")</f>
        <v/>
      </c>
    </row>
    <row r="165" customFormat="false" ht="15" hidden="false" customHeight="false" outlineLevel="0" collapsed="false">
      <c r="Z165" s="25" t="str">
        <f aca="false">IF(ISNUMBER(A165),IF(COUNTIF(祝日!$A:$A,A165)&gt;0,"祝",CHOOSE(WEEKDAY(A165,2),"月","火","水","木","金","土","日")),"")</f>
        <v/>
      </c>
      <c r="AA165" s="25" t="str">
        <f aca="false">IF(ISNUMBER(A165),IFERROR(INDEX(集計!$V$3:$V$33,MATCH(A165,集計!$N$3:$N$33,0)),0),"")</f>
        <v/>
      </c>
      <c r="AB165" s="25" t="str">
        <f aca="false">IF(ISNUMBER(A165),IFERROR(INDEX(設定!$F$4:$F$27,MATCH(K165,設定!$E$4:$E$27,0)),""),"")</f>
        <v/>
      </c>
    </row>
    <row r="166" customFormat="false" ht="15" hidden="false" customHeight="false" outlineLevel="0" collapsed="false">
      <c r="Z166" s="25" t="str">
        <f aca="false">IF(ISNUMBER(A166),IF(COUNTIF(祝日!$A:$A,A166)&gt;0,"祝",CHOOSE(WEEKDAY(A166,2),"月","火","水","木","金","土","日")),"")</f>
        <v/>
      </c>
      <c r="AA166" s="25" t="str">
        <f aca="false">IF(ISNUMBER(A166),IFERROR(INDEX(集計!$V$3:$V$33,MATCH(A166,集計!$N$3:$N$33,0)),0),"")</f>
        <v/>
      </c>
      <c r="AB166" s="25" t="str">
        <f aca="false">IF(ISNUMBER(A166),IFERROR(INDEX(設定!$F$4:$F$27,MATCH(K166,設定!$E$4:$E$27,0)),""),"")</f>
        <v/>
      </c>
    </row>
    <row r="167" customFormat="false" ht="15" hidden="false" customHeight="false" outlineLevel="0" collapsed="false">
      <c r="Z167" s="25" t="str">
        <f aca="false">IF(ISNUMBER(A167),IF(COUNTIF(祝日!$A:$A,A167)&gt;0,"祝",CHOOSE(WEEKDAY(A167,2),"月","火","水","木","金","土","日")),"")</f>
        <v/>
      </c>
      <c r="AA167" s="25" t="str">
        <f aca="false">IF(ISNUMBER(A167),IFERROR(INDEX(集計!$V$3:$V$33,MATCH(A167,集計!$N$3:$N$33,0)),0),"")</f>
        <v/>
      </c>
      <c r="AB167" s="25" t="str">
        <f aca="false">IF(ISNUMBER(A167),IFERROR(INDEX(設定!$F$4:$F$27,MATCH(K167,設定!$E$4:$E$27,0)),""),"")</f>
        <v/>
      </c>
    </row>
    <row r="168" customFormat="false" ht="15" hidden="false" customHeight="false" outlineLevel="0" collapsed="false">
      <c r="Z168" s="25" t="str">
        <f aca="false">IF(ISNUMBER(A168),IF(COUNTIF(祝日!$A:$A,A168)&gt;0,"祝",CHOOSE(WEEKDAY(A168,2),"月","火","水","木","金","土","日")),"")</f>
        <v/>
      </c>
      <c r="AA168" s="25" t="str">
        <f aca="false">IF(ISNUMBER(A168),IFERROR(INDEX(集計!$V$3:$V$33,MATCH(A168,集計!$N$3:$N$33,0)),0),"")</f>
        <v/>
      </c>
      <c r="AB168" s="25" t="str">
        <f aca="false">IF(ISNUMBER(A168),IFERROR(INDEX(設定!$F$4:$F$27,MATCH(K168,設定!$E$4:$E$27,0)),""),"")</f>
        <v/>
      </c>
    </row>
    <row r="169" customFormat="false" ht="15" hidden="false" customHeight="false" outlineLevel="0" collapsed="false">
      <c r="Z169" s="25" t="str">
        <f aca="false">IF(ISNUMBER(A169),IF(COUNTIF(祝日!$A:$A,A169)&gt;0,"祝",CHOOSE(WEEKDAY(A169,2),"月","火","水","木","金","土","日")),"")</f>
        <v/>
      </c>
      <c r="AA169" s="25" t="str">
        <f aca="false">IF(ISNUMBER(A169),IFERROR(INDEX(集計!$V$3:$V$33,MATCH(A169,集計!$N$3:$N$33,0)),0),"")</f>
        <v/>
      </c>
      <c r="AB169" s="25" t="str">
        <f aca="false">IF(ISNUMBER(A169),IFERROR(INDEX(設定!$F$4:$F$27,MATCH(K169,設定!$E$4:$E$27,0)),""),"")</f>
        <v/>
      </c>
    </row>
    <row r="170" customFormat="false" ht="15" hidden="false" customHeight="false" outlineLevel="0" collapsed="false">
      <c r="Z170" s="25" t="str">
        <f aca="false">IF(ISNUMBER(A170),IF(COUNTIF(祝日!$A:$A,A170)&gt;0,"祝",CHOOSE(WEEKDAY(A170,2),"月","火","水","木","金","土","日")),"")</f>
        <v/>
      </c>
      <c r="AA170" s="25" t="str">
        <f aca="false">IF(ISNUMBER(A170),IFERROR(INDEX(集計!$V$3:$V$33,MATCH(A170,集計!$N$3:$N$33,0)),0),"")</f>
        <v/>
      </c>
      <c r="AB170" s="25" t="str">
        <f aca="false">IF(ISNUMBER(A170),IFERROR(INDEX(設定!$F$4:$F$27,MATCH(K170,設定!$E$4:$E$27,0)),""),"")</f>
        <v/>
      </c>
    </row>
    <row r="171" customFormat="false" ht="15" hidden="false" customHeight="false" outlineLevel="0" collapsed="false">
      <c r="Z171" s="25" t="str">
        <f aca="false">IF(ISNUMBER(A171),IF(COUNTIF(祝日!$A:$A,A171)&gt;0,"祝",CHOOSE(WEEKDAY(A171,2),"月","火","水","木","金","土","日")),"")</f>
        <v/>
      </c>
      <c r="AA171" s="25" t="str">
        <f aca="false">IF(ISNUMBER(A171),IFERROR(INDEX(集計!$V$3:$V$33,MATCH(A171,集計!$N$3:$N$33,0)),0),"")</f>
        <v/>
      </c>
      <c r="AB171" s="25" t="str">
        <f aca="false">IF(ISNUMBER(A171),IFERROR(INDEX(設定!$F$4:$F$27,MATCH(K171,設定!$E$4:$E$27,0)),""),"")</f>
        <v/>
      </c>
    </row>
    <row r="172" customFormat="false" ht="15" hidden="false" customHeight="false" outlineLevel="0" collapsed="false">
      <c r="Z172" s="25" t="str">
        <f aca="false">IF(ISNUMBER(A172),IF(COUNTIF(祝日!$A:$A,A172)&gt;0,"祝",CHOOSE(WEEKDAY(A172,2),"月","火","水","木","金","土","日")),"")</f>
        <v/>
      </c>
      <c r="AA172" s="25" t="str">
        <f aca="false">IF(ISNUMBER(A172),IFERROR(INDEX(集計!$V$3:$V$33,MATCH(A172,集計!$N$3:$N$33,0)),0),"")</f>
        <v/>
      </c>
      <c r="AB172" s="25" t="str">
        <f aca="false">IF(ISNUMBER(A172),IFERROR(INDEX(設定!$F$4:$F$27,MATCH(K172,設定!$E$4:$E$27,0)),""),"")</f>
        <v/>
      </c>
    </row>
    <row r="173" customFormat="false" ht="15" hidden="false" customHeight="false" outlineLevel="0" collapsed="false">
      <c r="Z173" s="25" t="str">
        <f aca="false">IF(ISNUMBER(A173),IF(COUNTIF(祝日!$A:$A,A173)&gt;0,"祝",CHOOSE(WEEKDAY(A173,2),"月","火","水","木","金","土","日")),"")</f>
        <v/>
      </c>
      <c r="AA173" s="25" t="str">
        <f aca="false">IF(ISNUMBER(A173),IFERROR(INDEX(集計!$V$3:$V$33,MATCH(A173,集計!$N$3:$N$33,0)),0),"")</f>
        <v/>
      </c>
      <c r="AB173" s="25" t="str">
        <f aca="false">IF(ISNUMBER(A173),IFERROR(INDEX(設定!$F$4:$F$27,MATCH(K173,設定!$E$4:$E$27,0)),""),"")</f>
        <v/>
      </c>
    </row>
    <row r="174" customFormat="false" ht="15" hidden="false" customHeight="false" outlineLevel="0" collapsed="false">
      <c r="Z174" s="25" t="str">
        <f aca="false">IF(ISNUMBER(A174),IF(COUNTIF(祝日!$A:$A,A174)&gt;0,"祝",CHOOSE(WEEKDAY(A174,2),"月","火","水","木","金","土","日")),"")</f>
        <v/>
      </c>
      <c r="AA174" s="25" t="str">
        <f aca="false">IF(ISNUMBER(A174),IFERROR(INDEX(集計!$V$3:$V$33,MATCH(A174,集計!$N$3:$N$33,0)),0),"")</f>
        <v/>
      </c>
      <c r="AB174" s="25" t="str">
        <f aca="false">IF(ISNUMBER(A174),IFERROR(INDEX(設定!$F$4:$F$27,MATCH(K174,設定!$E$4:$E$27,0)),""),"")</f>
        <v/>
      </c>
    </row>
    <row r="175" customFormat="false" ht="15" hidden="false" customHeight="false" outlineLevel="0" collapsed="false">
      <c r="Z175" s="25" t="str">
        <f aca="false">IF(ISNUMBER(A175),IF(COUNTIF(祝日!$A:$A,A175)&gt;0,"祝",CHOOSE(WEEKDAY(A175,2),"月","火","水","木","金","土","日")),"")</f>
        <v/>
      </c>
      <c r="AA175" s="25" t="str">
        <f aca="false">IF(ISNUMBER(A175),IFERROR(INDEX(集計!$V$3:$V$33,MATCH(A175,集計!$N$3:$N$33,0)),0),"")</f>
        <v/>
      </c>
      <c r="AB175" s="25" t="str">
        <f aca="false">IF(ISNUMBER(A175),IFERROR(INDEX(設定!$F$4:$F$27,MATCH(K175,設定!$E$4:$E$27,0)),""),"")</f>
        <v/>
      </c>
    </row>
    <row r="176" customFormat="false" ht="15" hidden="false" customHeight="false" outlineLevel="0" collapsed="false">
      <c r="Z176" s="25" t="str">
        <f aca="false">IF(ISNUMBER(A176),IF(COUNTIF(祝日!$A:$A,A176)&gt;0,"祝",CHOOSE(WEEKDAY(A176,2),"月","火","水","木","金","土","日")),"")</f>
        <v/>
      </c>
      <c r="AA176" s="25" t="str">
        <f aca="false">IF(ISNUMBER(A176),IFERROR(INDEX(集計!$V$3:$V$33,MATCH(A176,集計!$N$3:$N$33,0)),0),"")</f>
        <v/>
      </c>
      <c r="AB176" s="25" t="str">
        <f aca="false">IF(ISNUMBER(A176),IFERROR(INDEX(設定!$F$4:$F$27,MATCH(K176,設定!$E$4:$E$27,0)),""),"")</f>
        <v/>
      </c>
    </row>
    <row r="177" customFormat="false" ht="15" hidden="false" customHeight="false" outlineLevel="0" collapsed="false">
      <c r="Z177" s="25" t="str">
        <f aca="false">IF(ISNUMBER(A177),IF(COUNTIF(祝日!$A:$A,A177)&gt;0,"祝",CHOOSE(WEEKDAY(A177,2),"月","火","水","木","金","土","日")),"")</f>
        <v/>
      </c>
      <c r="AA177" s="25" t="str">
        <f aca="false">IF(ISNUMBER(A177),IFERROR(INDEX(集計!$V$3:$V$33,MATCH(A177,集計!$N$3:$N$33,0)),0),"")</f>
        <v/>
      </c>
      <c r="AB177" s="25" t="str">
        <f aca="false">IF(ISNUMBER(A177),IFERROR(INDEX(設定!$F$4:$F$27,MATCH(K177,設定!$E$4:$E$27,0)),""),"")</f>
        <v/>
      </c>
    </row>
    <row r="178" customFormat="false" ht="15" hidden="false" customHeight="false" outlineLevel="0" collapsed="false">
      <c r="Z178" s="25" t="str">
        <f aca="false">IF(ISNUMBER(A178),IF(COUNTIF(祝日!$A:$A,A178)&gt;0,"祝",CHOOSE(WEEKDAY(A178,2),"月","火","水","木","金","土","日")),"")</f>
        <v/>
      </c>
      <c r="AA178" s="25" t="str">
        <f aca="false">IF(ISNUMBER(A178),IFERROR(INDEX(集計!$V$3:$V$33,MATCH(A178,集計!$N$3:$N$33,0)),0),"")</f>
        <v/>
      </c>
      <c r="AB178" s="25" t="str">
        <f aca="false">IF(ISNUMBER(A178),IFERROR(INDEX(設定!$F$4:$F$27,MATCH(K178,設定!$E$4:$E$27,0)),""),"")</f>
        <v/>
      </c>
    </row>
    <row r="179" customFormat="false" ht="15" hidden="false" customHeight="false" outlineLevel="0" collapsed="false">
      <c r="Z179" s="25" t="str">
        <f aca="false">IF(ISNUMBER(A179),IF(COUNTIF(祝日!$A:$A,A179)&gt;0,"祝",CHOOSE(WEEKDAY(A179,2),"月","火","水","木","金","土","日")),"")</f>
        <v/>
      </c>
      <c r="AA179" s="25" t="str">
        <f aca="false">IF(ISNUMBER(A179),IFERROR(INDEX(集計!$V$3:$V$33,MATCH(A179,集計!$N$3:$N$33,0)),0),"")</f>
        <v/>
      </c>
      <c r="AB179" s="25" t="str">
        <f aca="false">IF(ISNUMBER(A179),IFERROR(INDEX(設定!$F$4:$F$27,MATCH(K179,設定!$E$4:$E$27,0)),""),"")</f>
        <v/>
      </c>
    </row>
    <row r="180" customFormat="false" ht="15" hidden="false" customHeight="false" outlineLevel="0" collapsed="false">
      <c r="Z180" s="25" t="str">
        <f aca="false">IF(ISNUMBER(A180),IF(COUNTIF(祝日!$A:$A,A180)&gt;0,"祝",CHOOSE(WEEKDAY(A180,2),"月","火","水","木","金","土","日")),"")</f>
        <v/>
      </c>
      <c r="AA180" s="25" t="str">
        <f aca="false">IF(ISNUMBER(A180),IFERROR(INDEX(集計!$V$3:$V$33,MATCH(A180,集計!$N$3:$N$33,0)),0),"")</f>
        <v/>
      </c>
      <c r="AB180" s="25" t="str">
        <f aca="false">IF(ISNUMBER(A180),IFERROR(INDEX(設定!$F$4:$F$27,MATCH(K180,設定!$E$4:$E$27,0)),""),"")</f>
        <v/>
      </c>
    </row>
    <row r="181" customFormat="false" ht="15" hidden="false" customHeight="false" outlineLevel="0" collapsed="false">
      <c r="Z181" s="25" t="str">
        <f aca="false">IF(ISNUMBER(A181),IF(COUNTIF(祝日!$A:$A,A181)&gt;0,"祝",CHOOSE(WEEKDAY(A181,2),"月","火","水","木","金","土","日")),"")</f>
        <v/>
      </c>
      <c r="AA181" s="25" t="str">
        <f aca="false">IF(ISNUMBER(A181),IFERROR(INDEX(集計!$V$3:$V$33,MATCH(A181,集計!$N$3:$N$33,0)),0),"")</f>
        <v/>
      </c>
      <c r="AB181" s="25" t="str">
        <f aca="false">IF(ISNUMBER(A181),IFERROR(INDEX(設定!$F$4:$F$27,MATCH(K181,設定!$E$4:$E$27,0)),""),"")</f>
        <v/>
      </c>
    </row>
    <row r="182" customFormat="false" ht="15" hidden="false" customHeight="false" outlineLevel="0" collapsed="false">
      <c r="Z182" s="25" t="str">
        <f aca="false">IF(ISNUMBER(A182),IF(COUNTIF(祝日!$A:$A,A182)&gt;0,"祝",CHOOSE(WEEKDAY(A182,2),"月","火","水","木","金","土","日")),"")</f>
        <v/>
      </c>
      <c r="AA182" s="25" t="str">
        <f aca="false">IF(ISNUMBER(A182),IFERROR(INDEX(集計!$V$3:$V$33,MATCH(A182,集計!$N$3:$N$33,0)),0),"")</f>
        <v/>
      </c>
      <c r="AB182" s="25" t="str">
        <f aca="false">IF(ISNUMBER(A182),IFERROR(INDEX(設定!$F$4:$F$27,MATCH(K182,設定!$E$4:$E$27,0)),""),"")</f>
        <v/>
      </c>
    </row>
    <row r="183" customFormat="false" ht="15" hidden="false" customHeight="false" outlineLevel="0" collapsed="false">
      <c r="Z183" s="25" t="str">
        <f aca="false">IF(ISNUMBER(A183),IF(COUNTIF(祝日!$A:$A,A183)&gt;0,"祝",CHOOSE(WEEKDAY(A183,2),"月","火","水","木","金","土","日")),"")</f>
        <v/>
      </c>
      <c r="AA183" s="25" t="str">
        <f aca="false">IF(ISNUMBER(A183),IFERROR(INDEX(集計!$V$3:$V$33,MATCH(A183,集計!$N$3:$N$33,0)),0),"")</f>
        <v/>
      </c>
      <c r="AB183" s="25" t="str">
        <f aca="false">IF(ISNUMBER(A183),IFERROR(INDEX(設定!$F$4:$F$27,MATCH(K183,設定!$E$4:$E$27,0)),""),"")</f>
        <v/>
      </c>
    </row>
    <row r="184" customFormat="false" ht="15" hidden="false" customHeight="false" outlineLevel="0" collapsed="false">
      <c r="Z184" s="25" t="str">
        <f aca="false">IF(ISNUMBER(A184),IF(COUNTIF(祝日!$A:$A,A184)&gt;0,"祝",CHOOSE(WEEKDAY(A184,2),"月","火","水","木","金","土","日")),"")</f>
        <v/>
      </c>
      <c r="AA184" s="25" t="str">
        <f aca="false">IF(ISNUMBER(A184),IFERROR(INDEX(集計!$V$3:$V$33,MATCH(A184,集計!$N$3:$N$33,0)),0),"")</f>
        <v/>
      </c>
      <c r="AB184" s="25" t="str">
        <f aca="false">IF(ISNUMBER(A184),IFERROR(INDEX(設定!$F$4:$F$27,MATCH(K184,設定!$E$4:$E$27,0)),""),"")</f>
        <v/>
      </c>
    </row>
    <row r="185" customFormat="false" ht="15" hidden="false" customHeight="false" outlineLevel="0" collapsed="false">
      <c r="Z185" s="25" t="str">
        <f aca="false">IF(ISNUMBER(A185),IF(COUNTIF(祝日!$A:$A,A185)&gt;0,"祝",CHOOSE(WEEKDAY(A185,2),"月","火","水","木","金","土","日")),"")</f>
        <v/>
      </c>
      <c r="AA185" s="25" t="str">
        <f aca="false">IF(ISNUMBER(A185),IFERROR(INDEX(集計!$V$3:$V$33,MATCH(A185,集計!$N$3:$N$33,0)),0),"")</f>
        <v/>
      </c>
      <c r="AB185" s="25" t="str">
        <f aca="false">IF(ISNUMBER(A185),IFERROR(INDEX(設定!$F$4:$F$27,MATCH(K185,設定!$E$4:$E$27,0)),""),"")</f>
        <v/>
      </c>
    </row>
    <row r="186" customFormat="false" ht="15" hidden="false" customHeight="false" outlineLevel="0" collapsed="false">
      <c r="Z186" s="25" t="str">
        <f aca="false">IF(ISNUMBER(A186),IF(COUNTIF(祝日!$A:$A,A186)&gt;0,"祝",CHOOSE(WEEKDAY(A186,2),"月","火","水","木","金","土","日")),"")</f>
        <v/>
      </c>
      <c r="AA186" s="25" t="str">
        <f aca="false">IF(ISNUMBER(A186),IFERROR(INDEX(集計!$V$3:$V$33,MATCH(A186,集計!$N$3:$N$33,0)),0),"")</f>
        <v/>
      </c>
      <c r="AB186" s="25" t="str">
        <f aca="false">IF(ISNUMBER(A186),IFERROR(INDEX(設定!$F$4:$F$27,MATCH(K186,設定!$E$4:$E$27,0)),""),"")</f>
        <v/>
      </c>
    </row>
    <row r="187" customFormat="false" ht="15" hidden="false" customHeight="false" outlineLevel="0" collapsed="false">
      <c r="Z187" s="25" t="str">
        <f aca="false">IF(ISNUMBER(A187),IF(COUNTIF(祝日!$A:$A,A187)&gt;0,"祝",CHOOSE(WEEKDAY(A187,2),"月","火","水","木","金","土","日")),"")</f>
        <v/>
      </c>
      <c r="AA187" s="25" t="str">
        <f aca="false">IF(ISNUMBER(A187),IFERROR(INDEX(集計!$V$3:$V$33,MATCH(A187,集計!$N$3:$N$33,0)),0),"")</f>
        <v/>
      </c>
      <c r="AB187" s="25" t="str">
        <f aca="false">IF(ISNUMBER(A187),IFERROR(INDEX(設定!$F$4:$F$27,MATCH(K187,設定!$E$4:$E$27,0)),""),"")</f>
        <v/>
      </c>
    </row>
    <row r="188" customFormat="false" ht="15" hidden="false" customHeight="false" outlineLevel="0" collapsed="false">
      <c r="Z188" s="25" t="str">
        <f aca="false">IF(ISNUMBER(A188),IF(COUNTIF(祝日!$A:$A,A188)&gt;0,"祝",CHOOSE(WEEKDAY(A188,2),"月","火","水","木","金","土","日")),"")</f>
        <v/>
      </c>
      <c r="AA188" s="25" t="str">
        <f aca="false">IF(ISNUMBER(A188),IFERROR(INDEX(集計!$V$3:$V$33,MATCH(A188,集計!$N$3:$N$33,0)),0),"")</f>
        <v/>
      </c>
      <c r="AB188" s="25" t="str">
        <f aca="false">IF(ISNUMBER(A188),IFERROR(INDEX(設定!$F$4:$F$27,MATCH(K188,設定!$E$4:$E$27,0)),""),"")</f>
        <v/>
      </c>
    </row>
    <row r="189" customFormat="false" ht="15" hidden="false" customHeight="false" outlineLevel="0" collapsed="false">
      <c r="Z189" s="25" t="str">
        <f aca="false">IF(ISNUMBER(A189),IF(COUNTIF(祝日!$A:$A,A189)&gt;0,"祝",CHOOSE(WEEKDAY(A189,2),"月","火","水","木","金","土","日")),"")</f>
        <v/>
      </c>
      <c r="AA189" s="25" t="str">
        <f aca="false">IF(ISNUMBER(A189),IFERROR(INDEX(集計!$V$3:$V$33,MATCH(A189,集計!$N$3:$N$33,0)),0),"")</f>
        <v/>
      </c>
      <c r="AB189" s="25" t="str">
        <f aca="false">IF(ISNUMBER(A189),IFERROR(INDEX(設定!$F$4:$F$27,MATCH(K189,設定!$E$4:$E$27,0)),""),"")</f>
        <v/>
      </c>
    </row>
    <row r="190" customFormat="false" ht="15" hidden="false" customHeight="false" outlineLevel="0" collapsed="false">
      <c r="Z190" s="25" t="str">
        <f aca="false">IF(ISNUMBER(A190),IF(COUNTIF(祝日!$A:$A,A190)&gt;0,"祝",CHOOSE(WEEKDAY(A190,2),"月","火","水","木","金","土","日")),"")</f>
        <v/>
      </c>
      <c r="AA190" s="25" t="str">
        <f aca="false">IF(ISNUMBER(A190),IFERROR(INDEX(集計!$V$3:$V$33,MATCH(A190,集計!$N$3:$N$33,0)),0),"")</f>
        <v/>
      </c>
      <c r="AB190" s="25" t="str">
        <f aca="false">IF(ISNUMBER(A190),IFERROR(INDEX(設定!$F$4:$F$27,MATCH(K190,設定!$E$4:$E$27,0)),""),"")</f>
        <v/>
      </c>
    </row>
    <row r="191" customFormat="false" ht="15" hidden="false" customHeight="false" outlineLevel="0" collapsed="false">
      <c r="Z191" s="25" t="str">
        <f aca="false">IF(ISNUMBER(A191),IF(COUNTIF(祝日!$A:$A,A191)&gt;0,"祝",CHOOSE(WEEKDAY(A191,2),"月","火","水","木","金","土","日")),"")</f>
        <v/>
      </c>
      <c r="AA191" s="25" t="str">
        <f aca="false">IF(ISNUMBER(A191),IFERROR(INDEX(集計!$V$3:$V$33,MATCH(A191,集計!$N$3:$N$33,0)),0),"")</f>
        <v/>
      </c>
      <c r="AB191" s="25" t="str">
        <f aca="false">IF(ISNUMBER(A191),IFERROR(INDEX(設定!$F$4:$F$27,MATCH(K191,設定!$E$4:$E$27,0)),""),"")</f>
        <v/>
      </c>
    </row>
    <row r="192" customFormat="false" ht="15" hidden="false" customHeight="false" outlineLevel="0" collapsed="false">
      <c r="Z192" s="25" t="str">
        <f aca="false">IF(ISNUMBER(A192),IF(COUNTIF(祝日!$A:$A,A192)&gt;0,"祝",CHOOSE(WEEKDAY(A192,2),"月","火","水","木","金","土","日")),"")</f>
        <v/>
      </c>
      <c r="AA192" s="25" t="str">
        <f aca="false">IF(ISNUMBER(A192),IFERROR(INDEX(集計!$V$3:$V$33,MATCH(A192,集計!$N$3:$N$33,0)),0),"")</f>
        <v/>
      </c>
      <c r="AB192" s="25" t="str">
        <f aca="false">IF(ISNUMBER(A192),IFERROR(INDEX(設定!$F$4:$F$27,MATCH(K192,設定!$E$4:$E$27,0)),""),"")</f>
        <v/>
      </c>
    </row>
    <row r="193" customFormat="false" ht="15" hidden="false" customHeight="false" outlineLevel="0" collapsed="false">
      <c r="Z193" s="25" t="str">
        <f aca="false">IF(ISNUMBER(A193),IF(COUNTIF(祝日!$A:$A,A193)&gt;0,"祝",CHOOSE(WEEKDAY(A193,2),"月","火","水","木","金","土","日")),"")</f>
        <v/>
      </c>
      <c r="AA193" s="25" t="str">
        <f aca="false">IF(ISNUMBER(A193),IFERROR(INDEX(集計!$V$3:$V$33,MATCH(A193,集計!$N$3:$N$33,0)),0),"")</f>
        <v/>
      </c>
      <c r="AB193" s="25" t="str">
        <f aca="false">IF(ISNUMBER(A193),IFERROR(INDEX(設定!$F$4:$F$27,MATCH(K193,設定!$E$4:$E$27,0)),""),"")</f>
        <v/>
      </c>
    </row>
    <row r="194" customFormat="false" ht="15" hidden="false" customHeight="false" outlineLevel="0" collapsed="false">
      <c r="Z194" s="25" t="str">
        <f aca="false">IF(ISNUMBER(A194),IF(COUNTIF(祝日!$A:$A,A194)&gt;0,"祝",CHOOSE(WEEKDAY(A194,2),"月","火","水","木","金","土","日")),"")</f>
        <v/>
      </c>
      <c r="AA194" s="25" t="str">
        <f aca="false">IF(ISNUMBER(A194),IFERROR(INDEX(集計!$V$3:$V$33,MATCH(A194,集計!$N$3:$N$33,0)),0),"")</f>
        <v/>
      </c>
      <c r="AB194" s="25" t="str">
        <f aca="false">IF(ISNUMBER(A194),IFERROR(INDEX(設定!$F$4:$F$27,MATCH(K194,設定!$E$4:$E$27,0)),""),"")</f>
        <v/>
      </c>
    </row>
    <row r="195" customFormat="false" ht="15" hidden="false" customHeight="false" outlineLevel="0" collapsed="false">
      <c r="Z195" s="25" t="str">
        <f aca="false">IF(ISNUMBER(A195),IF(COUNTIF(祝日!$A:$A,A195)&gt;0,"祝",CHOOSE(WEEKDAY(A195,2),"月","火","水","木","金","土","日")),"")</f>
        <v/>
      </c>
      <c r="AA195" s="25" t="str">
        <f aca="false">IF(ISNUMBER(A195),IFERROR(INDEX(集計!$V$3:$V$33,MATCH(A195,集計!$N$3:$N$33,0)),0),"")</f>
        <v/>
      </c>
      <c r="AB195" s="25" t="str">
        <f aca="false">IF(ISNUMBER(A195),IFERROR(INDEX(設定!$F$4:$F$27,MATCH(K195,設定!$E$4:$E$27,0)),""),"")</f>
        <v/>
      </c>
    </row>
    <row r="196" customFormat="false" ht="15" hidden="false" customHeight="false" outlineLevel="0" collapsed="false">
      <c r="Z196" s="25" t="str">
        <f aca="false">IF(ISNUMBER(A196),IF(COUNTIF(祝日!$A:$A,A196)&gt;0,"祝",CHOOSE(WEEKDAY(A196,2),"月","火","水","木","金","土","日")),"")</f>
        <v/>
      </c>
      <c r="AA196" s="25" t="str">
        <f aca="false">IF(ISNUMBER(A196),IFERROR(INDEX(集計!$V$3:$V$33,MATCH(A196,集計!$N$3:$N$33,0)),0),"")</f>
        <v/>
      </c>
      <c r="AB196" s="25" t="str">
        <f aca="false">IF(ISNUMBER(A196),IFERROR(INDEX(設定!$F$4:$F$27,MATCH(K196,設定!$E$4:$E$27,0)),""),"")</f>
        <v/>
      </c>
    </row>
    <row r="197" customFormat="false" ht="15" hidden="false" customHeight="false" outlineLevel="0" collapsed="false">
      <c r="Z197" s="25" t="str">
        <f aca="false">IF(ISNUMBER(A197),IF(COUNTIF(祝日!$A:$A,A197)&gt;0,"祝",CHOOSE(WEEKDAY(A197,2),"月","火","水","木","金","土","日")),"")</f>
        <v/>
      </c>
      <c r="AA197" s="25" t="str">
        <f aca="false">IF(ISNUMBER(A197),IFERROR(INDEX(集計!$V$3:$V$33,MATCH(A197,集計!$N$3:$N$33,0)),0),"")</f>
        <v/>
      </c>
      <c r="AB197" s="25" t="str">
        <f aca="false">IF(ISNUMBER(A197),IFERROR(INDEX(設定!$F$4:$F$27,MATCH(K197,設定!$E$4:$E$27,0)),""),"")</f>
        <v/>
      </c>
    </row>
    <row r="198" customFormat="false" ht="15" hidden="false" customHeight="false" outlineLevel="0" collapsed="false">
      <c r="Z198" s="25" t="str">
        <f aca="false">IF(ISNUMBER(A198),IF(COUNTIF(祝日!$A:$A,A198)&gt;0,"祝",CHOOSE(WEEKDAY(A198,2),"月","火","水","木","金","土","日")),"")</f>
        <v/>
      </c>
      <c r="AA198" s="25" t="str">
        <f aca="false">IF(ISNUMBER(A198),IFERROR(INDEX(集計!$V$3:$V$33,MATCH(A198,集計!$N$3:$N$33,0)),0),"")</f>
        <v/>
      </c>
      <c r="AB198" s="25" t="str">
        <f aca="false">IF(ISNUMBER(A198),IFERROR(INDEX(設定!$F$4:$F$27,MATCH(K198,設定!$E$4:$E$27,0)),""),"")</f>
        <v/>
      </c>
    </row>
    <row r="199" customFormat="false" ht="15" hidden="false" customHeight="false" outlineLevel="0" collapsed="false">
      <c r="Z199" s="25" t="str">
        <f aca="false">IF(ISNUMBER(A199),IF(COUNTIF(祝日!$A:$A,A199)&gt;0,"祝",CHOOSE(WEEKDAY(A199,2),"月","火","水","木","金","土","日")),"")</f>
        <v/>
      </c>
      <c r="AA199" s="25" t="str">
        <f aca="false">IF(ISNUMBER(A199),IFERROR(INDEX(集計!$V$3:$V$33,MATCH(A199,集計!$N$3:$N$33,0)),0),"")</f>
        <v/>
      </c>
      <c r="AB199" s="25" t="str">
        <f aca="false">IF(ISNUMBER(A199),IFERROR(INDEX(設定!$F$4:$F$27,MATCH(K199,設定!$E$4:$E$27,0)),""),"")</f>
        <v/>
      </c>
    </row>
    <row r="200" customFormat="false" ht="15" hidden="false" customHeight="false" outlineLevel="0" collapsed="false">
      <c r="Z200" s="25" t="str">
        <f aca="false">IF(ISNUMBER(A200),IF(COUNTIF(祝日!$A:$A,A200)&gt;0,"祝",CHOOSE(WEEKDAY(A200,2),"月","火","水","木","金","土","日")),"")</f>
        <v/>
      </c>
      <c r="AA200" s="25" t="str">
        <f aca="false">IF(ISNUMBER(A200),IFERROR(INDEX(集計!$V$3:$V$33,MATCH(A200,集計!$N$3:$N$33,0)),0),"")</f>
        <v/>
      </c>
      <c r="AB200" s="25" t="str">
        <f aca="false">IF(ISNUMBER(A200),IFERROR(INDEX(設定!$F$4:$F$27,MATCH(K200,設定!$E$4:$E$27,0)),""),"")</f>
        <v/>
      </c>
    </row>
    <row r="201" customFormat="false" ht="15" hidden="false" customHeight="false" outlineLevel="0" collapsed="false">
      <c r="Z201" s="25" t="str">
        <f aca="false">IF(ISNUMBER(A201),IF(COUNTIF(祝日!$A:$A,A201)&gt;0,"祝",CHOOSE(WEEKDAY(A201,2),"月","火","水","木","金","土","日")),"")</f>
        <v/>
      </c>
      <c r="AA201" s="25" t="str">
        <f aca="false">IF(ISNUMBER(A201),IFERROR(INDEX(集計!$V$3:$V$33,MATCH(A201,集計!$N$3:$N$33,0)),0),"")</f>
        <v/>
      </c>
      <c r="AB201" s="25" t="str">
        <f aca="false">IF(ISNUMBER(A201),IFERROR(INDEX(設定!$F$4:$F$27,MATCH(K201,設定!$E$4:$E$27,0)),""),"")</f>
        <v/>
      </c>
    </row>
    <row r="202" customFormat="false" ht="15" hidden="false" customHeight="false" outlineLevel="0" collapsed="false">
      <c r="Z202" s="25" t="str">
        <f aca="false">IF(ISNUMBER(A202),IF(COUNTIF(祝日!$A:$A,A202)&gt;0,"祝",CHOOSE(WEEKDAY(A202,2),"月","火","水","木","金","土","日")),"")</f>
        <v/>
      </c>
      <c r="AA202" s="25" t="str">
        <f aca="false">IF(ISNUMBER(A202),IFERROR(INDEX(集計!$V$3:$V$33,MATCH(A202,集計!$N$3:$N$33,0)),0),"")</f>
        <v/>
      </c>
      <c r="AB202" s="25" t="str">
        <f aca="false">IF(ISNUMBER(A202),IFERROR(INDEX(設定!$F$4:$F$27,MATCH(K202,設定!$E$4:$E$27,0)),""),"")</f>
        <v/>
      </c>
    </row>
    <row r="203" customFormat="false" ht="15" hidden="false" customHeight="false" outlineLevel="0" collapsed="false">
      <c r="Z203" s="25" t="str">
        <f aca="false">IF(ISNUMBER(A203),IF(COUNTIF(祝日!$A:$A,A203)&gt;0,"祝",CHOOSE(WEEKDAY(A203,2),"月","火","水","木","金","土","日")),"")</f>
        <v/>
      </c>
      <c r="AA203" s="25" t="str">
        <f aca="false">IF(ISNUMBER(A203),IFERROR(INDEX(集計!$V$3:$V$33,MATCH(A203,集計!$N$3:$N$33,0)),0),"")</f>
        <v/>
      </c>
      <c r="AB203" s="25" t="str">
        <f aca="false">IF(ISNUMBER(A203),IFERROR(INDEX(設定!$F$4:$F$27,MATCH(K203,設定!$E$4:$E$27,0)),""),"")</f>
        <v/>
      </c>
    </row>
    <row r="204" customFormat="false" ht="15" hidden="false" customHeight="false" outlineLevel="0" collapsed="false">
      <c r="Z204" s="25" t="str">
        <f aca="false">IF(ISNUMBER(A204),IF(COUNTIF(祝日!$A:$A,A204)&gt;0,"祝",CHOOSE(WEEKDAY(A204,2),"月","火","水","木","金","土","日")),"")</f>
        <v/>
      </c>
      <c r="AA204" s="25" t="str">
        <f aca="false">IF(ISNUMBER(A204),IFERROR(INDEX(集計!$V$3:$V$33,MATCH(A204,集計!$N$3:$N$33,0)),0),"")</f>
        <v/>
      </c>
      <c r="AB204" s="25" t="str">
        <f aca="false">IF(ISNUMBER(A204),IFERROR(INDEX(設定!$F$4:$F$27,MATCH(K204,設定!$E$4:$E$27,0)),""),"")</f>
        <v/>
      </c>
    </row>
    <row r="205" customFormat="false" ht="15" hidden="false" customHeight="false" outlineLevel="0" collapsed="false">
      <c r="Z205" s="25" t="str">
        <f aca="false">IF(ISNUMBER(A205),IF(COUNTIF(祝日!$A:$A,A205)&gt;0,"祝",CHOOSE(WEEKDAY(A205,2),"月","火","水","木","金","土","日")),"")</f>
        <v/>
      </c>
      <c r="AA205" s="25" t="str">
        <f aca="false">IF(ISNUMBER(A205),IFERROR(INDEX(集計!$V$3:$V$33,MATCH(A205,集計!$N$3:$N$33,0)),0),"")</f>
        <v/>
      </c>
      <c r="AB205" s="25" t="str">
        <f aca="false">IF(ISNUMBER(A205),IFERROR(INDEX(設定!$F$4:$F$27,MATCH(K205,設定!$E$4:$E$27,0)),""),"")</f>
        <v/>
      </c>
    </row>
    <row r="206" customFormat="false" ht="15" hidden="false" customHeight="false" outlineLevel="0" collapsed="false">
      <c r="Z206" s="25" t="str">
        <f aca="false">IF(ISNUMBER(A206),IF(COUNTIF(祝日!$A:$A,A206)&gt;0,"祝",CHOOSE(WEEKDAY(A206,2),"月","火","水","木","金","土","日")),"")</f>
        <v/>
      </c>
      <c r="AA206" s="25" t="str">
        <f aca="false">IF(ISNUMBER(A206),IFERROR(INDEX(集計!$V$3:$V$33,MATCH(A206,集計!$N$3:$N$33,0)),0),"")</f>
        <v/>
      </c>
      <c r="AB206" s="25" t="str">
        <f aca="false">IF(ISNUMBER(A206),IFERROR(INDEX(設定!$F$4:$F$27,MATCH(K206,設定!$E$4:$E$27,0)),""),"")</f>
        <v/>
      </c>
    </row>
    <row r="207" customFormat="false" ht="15" hidden="false" customHeight="false" outlineLevel="0" collapsed="false">
      <c r="Z207" s="25" t="str">
        <f aca="false">IF(ISNUMBER(A207),IF(COUNTIF(祝日!$A:$A,A207)&gt;0,"祝",CHOOSE(WEEKDAY(A207,2),"月","火","水","木","金","土","日")),"")</f>
        <v/>
      </c>
      <c r="AA207" s="25" t="str">
        <f aca="false">IF(ISNUMBER(A207),IFERROR(INDEX(集計!$V$3:$V$33,MATCH(A207,集計!$N$3:$N$33,0)),0),"")</f>
        <v/>
      </c>
      <c r="AB207" s="25" t="str">
        <f aca="false">IF(ISNUMBER(A207),IFERROR(INDEX(設定!$F$4:$F$27,MATCH(K207,設定!$E$4:$E$27,0)),""),"")</f>
        <v/>
      </c>
    </row>
    <row r="208" customFormat="false" ht="15" hidden="false" customHeight="false" outlineLevel="0" collapsed="false">
      <c r="Z208" s="25" t="str">
        <f aca="false">IF(ISNUMBER(A208),IF(COUNTIF(祝日!$A:$A,A208)&gt;0,"祝",CHOOSE(WEEKDAY(A208,2),"月","火","水","木","金","土","日")),"")</f>
        <v/>
      </c>
      <c r="AA208" s="25" t="str">
        <f aca="false">IF(ISNUMBER(A208),IFERROR(INDEX(集計!$V$3:$V$33,MATCH(A208,集計!$N$3:$N$33,0)),0),"")</f>
        <v/>
      </c>
      <c r="AB208" s="25" t="str">
        <f aca="false">IF(ISNUMBER(A208),IFERROR(INDEX(設定!$F$4:$F$27,MATCH(K208,設定!$E$4:$E$27,0)),""),"")</f>
        <v/>
      </c>
    </row>
    <row r="209" customFormat="false" ht="15" hidden="false" customHeight="false" outlineLevel="0" collapsed="false">
      <c r="Z209" s="25" t="str">
        <f aca="false">IF(ISNUMBER(A209),IF(COUNTIF(祝日!$A:$A,A209)&gt;0,"祝",CHOOSE(WEEKDAY(A209,2),"月","火","水","木","金","土","日")),"")</f>
        <v/>
      </c>
      <c r="AA209" s="25" t="str">
        <f aca="false">IF(ISNUMBER(A209),IFERROR(INDEX(集計!$V$3:$V$33,MATCH(A209,集計!$N$3:$N$33,0)),0),"")</f>
        <v/>
      </c>
      <c r="AB209" s="25" t="str">
        <f aca="false">IF(ISNUMBER(A209),IFERROR(INDEX(設定!$F$4:$F$27,MATCH(K209,設定!$E$4:$E$27,0)),""),"")</f>
        <v/>
      </c>
    </row>
    <row r="210" customFormat="false" ht="15" hidden="false" customHeight="false" outlineLevel="0" collapsed="false">
      <c r="Z210" s="25" t="str">
        <f aca="false">IF(ISNUMBER(A210),IF(COUNTIF(祝日!$A:$A,A210)&gt;0,"祝",CHOOSE(WEEKDAY(A210,2),"月","火","水","木","金","土","日")),"")</f>
        <v/>
      </c>
      <c r="AA210" s="25" t="str">
        <f aca="false">IF(ISNUMBER(A210),IFERROR(INDEX(集計!$V$3:$V$33,MATCH(A210,集計!$N$3:$N$33,0)),0),"")</f>
        <v/>
      </c>
      <c r="AB210" s="25" t="str">
        <f aca="false">IF(ISNUMBER(A210),IFERROR(INDEX(設定!$F$4:$F$27,MATCH(K210,設定!$E$4:$E$27,0)),""),"")</f>
        <v/>
      </c>
    </row>
    <row r="211" customFormat="false" ht="15" hidden="false" customHeight="false" outlineLevel="0" collapsed="false">
      <c r="Z211" s="25" t="str">
        <f aca="false">IF(ISNUMBER(A211),IF(COUNTIF(祝日!$A:$A,A211)&gt;0,"祝",CHOOSE(WEEKDAY(A211,2),"月","火","水","木","金","土","日")),"")</f>
        <v/>
      </c>
      <c r="AA211" s="25" t="str">
        <f aca="false">IF(ISNUMBER(A211),IFERROR(INDEX(集計!$V$3:$V$33,MATCH(A211,集計!$N$3:$N$33,0)),0),"")</f>
        <v/>
      </c>
      <c r="AB211" s="25" t="str">
        <f aca="false">IF(ISNUMBER(A211),IFERROR(INDEX(設定!$F$4:$F$27,MATCH(K211,設定!$E$4:$E$27,0)),""),"")</f>
        <v/>
      </c>
    </row>
    <row r="212" customFormat="false" ht="15" hidden="false" customHeight="false" outlineLevel="0" collapsed="false">
      <c r="Z212" s="25" t="str">
        <f aca="false">IF(ISNUMBER(A212),IF(COUNTIF(祝日!$A:$A,A212)&gt;0,"祝",CHOOSE(WEEKDAY(A212,2),"月","火","水","木","金","土","日")),"")</f>
        <v/>
      </c>
      <c r="AA212" s="25" t="str">
        <f aca="false">IF(ISNUMBER(A212),IFERROR(INDEX(集計!$V$3:$V$33,MATCH(A212,集計!$N$3:$N$33,0)),0),"")</f>
        <v/>
      </c>
      <c r="AB212" s="25" t="str">
        <f aca="false">IF(ISNUMBER(A212),IFERROR(INDEX(設定!$F$4:$F$27,MATCH(K212,設定!$E$4:$E$27,0)),""),"")</f>
        <v/>
      </c>
    </row>
    <row r="213" customFormat="false" ht="15" hidden="false" customHeight="false" outlineLevel="0" collapsed="false">
      <c r="Z213" s="25" t="str">
        <f aca="false">IF(ISNUMBER(A213),IF(COUNTIF(祝日!$A:$A,A213)&gt;0,"祝",CHOOSE(WEEKDAY(A213,2),"月","火","水","木","金","土","日")),"")</f>
        <v/>
      </c>
      <c r="AA213" s="25" t="str">
        <f aca="false">IF(ISNUMBER(A213),IFERROR(INDEX(集計!$V$3:$V$33,MATCH(A213,集計!$N$3:$N$33,0)),0),"")</f>
        <v/>
      </c>
      <c r="AB213" s="25" t="str">
        <f aca="false">IF(ISNUMBER(A213),IFERROR(INDEX(設定!$F$4:$F$27,MATCH(K213,設定!$E$4:$E$27,0)),""),"")</f>
        <v/>
      </c>
    </row>
    <row r="214" customFormat="false" ht="15" hidden="false" customHeight="false" outlineLevel="0" collapsed="false">
      <c r="Z214" s="25" t="str">
        <f aca="false">IF(ISNUMBER(A214),IF(COUNTIF(祝日!$A:$A,A214)&gt;0,"祝",CHOOSE(WEEKDAY(A214,2),"月","火","水","木","金","土","日")),"")</f>
        <v/>
      </c>
      <c r="AA214" s="25" t="str">
        <f aca="false">IF(ISNUMBER(A214),IFERROR(INDEX(集計!$V$3:$V$33,MATCH(A214,集計!$N$3:$N$33,0)),0),"")</f>
        <v/>
      </c>
      <c r="AB214" s="25" t="str">
        <f aca="false">IF(ISNUMBER(A214),IFERROR(INDEX(設定!$F$4:$F$27,MATCH(K214,設定!$E$4:$E$27,0)),""),"")</f>
        <v/>
      </c>
    </row>
    <row r="215" customFormat="false" ht="15" hidden="false" customHeight="false" outlineLevel="0" collapsed="false">
      <c r="Z215" s="25" t="str">
        <f aca="false">IF(ISNUMBER(A215),IF(COUNTIF(祝日!$A:$A,A215)&gt;0,"祝",CHOOSE(WEEKDAY(A215,2),"月","火","水","木","金","土","日")),"")</f>
        <v/>
      </c>
      <c r="AA215" s="25" t="str">
        <f aca="false">IF(ISNUMBER(A215),IFERROR(INDEX(集計!$V$3:$V$33,MATCH(A215,集計!$N$3:$N$33,0)),0),"")</f>
        <v/>
      </c>
      <c r="AB215" s="25" t="str">
        <f aca="false">IF(ISNUMBER(A215),IFERROR(INDEX(設定!$F$4:$F$27,MATCH(K215,設定!$E$4:$E$27,0)),""),"")</f>
        <v/>
      </c>
    </row>
    <row r="216" customFormat="false" ht="15" hidden="false" customHeight="false" outlineLevel="0" collapsed="false">
      <c r="Z216" s="25" t="str">
        <f aca="false">IF(ISNUMBER(A216),IF(COUNTIF(祝日!$A:$A,A216)&gt;0,"祝",CHOOSE(WEEKDAY(A216,2),"月","火","水","木","金","土","日")),"")</f>
        <v/>
      </c>
      <c r="AA216" s="25" t="str">
        <f aca="false">IF(ISNUMBER(A216),IFERROR(INDEX(集計!$V$3:$V$33,MATCH(A216,集計!$N$3:$N$33,0)),0),"")</f>
        <v/>
      </c>
      <c r="AB216" s="25" t="str">
        <f aca="false">IF(ISNUMBER(A216),IFERROR(INDEX(設定!$F$4:$F$27,MATCH(K216,設定!$E$4:$E$27,0)),""),"")</f>
        <v/>
      </c>
    </row>
    <row r="217" customFormat="false" ht="15" hidden="false" customHeight="false" outlineLevel="0" collapsed="false">
      <c r="Z217" s="25" t="str">
        <f aca="false">IF(ISNUMBER(A217),IF(COUNTIF(祝日!$A:$A,A217)&gt;0,"祝",CHOOSE(WEEKDAY(A217,2),"月","火","水","木","金","土","日")),"")</f>
        <v/>
      </c>
      <c r="AA217" s="25" t="str">
        <f aca="false">IF(ISNUMBER(A217),IFERROR(INDEX(集計!$V$3:$V$33,MATCH(A217,集計!$N$3:$N$33,0)),0),"")</f>
        <v/>
      </c>
      <c r="AB217" s="25" t="str">
        <f aca="false">IF(ISNUMBER(A217),IFERROR(INDEX(設定!$F$4:$F$27,MATCH(K217,設定!$E$4:$E$27,0)),""),"")</f>
        <v/>
      </c>
    </row>
    <row r="218" customFormat="false" ht="15" hidden="false" customHeight="false" outlineLevel="0" collapsed="false">
      <c r="Z218" s="25" t="str">
        <f aca="false">IF(ISNUMBER(A218),IF(COUNTIF(祝日!$A:$A,A218)&gt;0,"祝",CHOOSE(WEEKDAY(A218,2),"月","火","水","木","金","土","日")),"")</f>
        <v/>
      </c>
      <c r="AA218" s="25" t="str">
        <f aca="false">IF(ISNUMBER(A218),IFERROR(INDEX(集計!$V$3:$V$33,MATCH(A218,集計!$N$3:$N$33,0)),0),"")</f>
        <v/>
      </c>
      <c r="AB218" s="25" t="str">
        <f aca="false">IF(ISNUMBER(A218),IFERROR(INDEX(設定!$F$4:$F$27,MATCH(K218,設定!$E$4:$E$27,0)),""),"")</f>
        <v/>
      </c>
    </row>
    <row r="219" customFormat="false" ht="15" hidden="false" customHeight="false" outlineLevel="0" collapsed="false">
      <c r="Z219" s="25" t="str">
        <f aca="false">IF(ISNUMBER(A219),IF(COUNTIF(祝日!$A:$A,A219)&gt;0,"祝",CHOOSE(WEEKDAY(A219,2),"月","火","水","木","金","土","日")),"")</f>
        <v/>
      </c>
      <c r="AA219" s="25" t="str">
        <f aca="false">IF(ISNUMBER(A219),IFERROR(INDEX(集計!$V$3:$V$33,MATCH(A219,集計!$N$3:$N$33,0)),0),"")</f>
        <v/>
      </c>
      <c r="AB219" s="25" t="str">
        <f aca="false">IF(ISNUMBER(A219),IFERROR(INDEX(設定!$F$4:$F$27,MATCH(K219,設定!$E$4:$E$27,0)),""),"")</f>
        <v/>
      </c>
    </row>
    <row r="220" customFormat="false" ht="15" hidden="false" customHeight="false" outlineLevel="0" collapsed="false">
      <c r="Z220" s="25" t="str">
        <f aca="false">IF(ISNUMBER(A220),IF(COUNTIF(祝日!$A:$A,A220)&gt;0,"祝",CHOOSE(WEEKDAY(A220,2),"月","火","水","木","金","土","日")),"")</f>
        <v/>
      </c>
      <c r="AA220" s="25" t="str">
        <f aca="false">IF(ISNUMBER(A220),IFERROR(INDEX(集計!$V$3:$V$33,MATCH(A220,集計!$N$3:$N$33,0)),0),"")</f>
        <v/>
      </c>
      <c r="AB220" s="25" t="str">
        <f aca="false">IF(ISNUMBER(A220),IFERROR(INDEX(設定!$F$4:$F$27,MATCH(K220,設定!$E$4:$E$27,0)),""),"")</f>
        <v/>
      </c>
    </row>
    <row r="221" customFormat="false" ht="15" hidden="false" customHeight="false" outlineLevel="0" collapsed="false">
      <c r="Z221" s="25" t="str">
        <f aca="false">IF(ISNUMBER(A221),IF(COUNTIF(祝日!$A:$A,A221)&gt;0,"祝",CHOOSE(WEEKDAY(A221,2),"月","火","水","木","金","土","日")),"")</f>
        <v/>
      </c>
      <c r="AA221" s="25" t="str">
        <f aca="false">IF(ISNUMBER(A221),IFERROR(INDEX(集計!$V$3:$V$33,MATCH(A221,集計!$N$3:$N$33,0)),0),"")</f>
        <v/>
      </c>
      <c r="AB221" s="25" t="str">
        <f aca="false">IF(ISNUMBER(A221),IFERROR(INDEX(設定!$F$4:$F$27,MATCH(K221,設定!$E$4:$E$27,0)),""),"")</f>
        <v/>
      </c>
    </row>
    <row r="222" customFormat="false" ht="15" hidden="false" customHeight="false" outlineLevel="0" collapsed="false">
      <c r="Z222" s="25" t="str">
        <f aca="false">IF(ISNUMBER(A222),IF(COUNTIF(祝日!$A:$A,A222)&gt;0,"祝",CHOOSE(WEEKDAY(A222,2),"月","火","水","木","金","土","日")),"")</f>
        <v/>
      </c>
      <c r="AA222" s="25" t="str">
        <f aca="false">IF(ISNUMBER(A222),IFERROR(INDEX(集計!$V$3:$V$33,MATCH(A222,集計!$N$3:$N$33,0)),0),"")</f>
        <v/>
      </c>
      <c r="AB222" s="25" t="str">
        <f aca="false">IF(ISNUMBER(A222),IFERROR(INDEX(設定!$F$4:$F$27,MATCH(K222,設定!$E$4:$E$27,0)),""),"")</f>
        <v/>
      </c>
    </row>
    <row r="223" customFormat="false" ht="15" hidden="false" customHeight="false" outlineLevel="0" collapsed="false">
      <c r="Z223" s="25" t="str">
        <f aca="false">IF(ISNUMBER(A223),IF(COUNTIF(祝日!$A:$A,A223)&gt;0,"祝",CHOOSE(WEEKDAY(A223,2),"月","火","水","木","金","土","日")),"")</f>
        <v/>
      </c>
      <c r="AA223" s="25" t="str">
        <f aca="false">IF(ISNUMBER(A223),IFERROR(INDEX(集計!$V$3:$V$33,MATCH(A223,集計!$N$3:$N$33,0)),0),"")</f>
        <v/>
      </c>
      <c r="AB223" s="25" t="str">
        <f aca="false">IF(ISNUMBER(A223),IFERROR(INDEX(設定!$F$4:$F$27,MATCH(K223,設定!$E$4:$E$27,0)),""),"")</f>
        <v/>
      </c>
    </row>
    <row r="224" customFormat="false" ht="15" hidden="false" customHeight="false" outlineLevel="0" collapsed="false">
      <c r="Z224" s="25" t="str">
        <f aca="false">IF(ISNUMBER(A224),IF(COUNTIF(祝日!$A:$A,A224)&gt;0,"祝",CHOOSE(WEEKDAY(A224,2),"月","火","水","木","金","土","日")),"")</f>
        <v/>
      </c>
      <c r="AA224" s="25" t="str">
        <f aca="false">IF(ISNUMBER(A224),IFERROR(INDEX(集計!$V$3:$V$33,MATCH(A224,集計!$N$3:$N$33,0)),0),"")</f>
        <v/>
      </c>
      <c r="AB224" s="25" t="str">
        <f aca="false">IF(ISNUMBER(A224),IFERROR(INDEX(設定!$F$4:$F$27,MATCH(K224,設定!$E$4:$E$27,0)),""),"")</f>
        <v/>
      </c>
    </row>
    <row r="225" customFormat="false" ht="15" hidden="false" customHeight="false" outlineLevel="0" collapsed="false">
      <c r="Z225" s="25" t="str">
        <f aca="false">IF(ISNUMBER(A225),IF(COUNTIF(祝日!$A:$A,A225)&gt;0,"祝",CHOOSE(WEEKDAY(A225,2),"月","火","水","木","金","土","日")),"")</f>
        <v/>
      </c>
      <c r="AA225" s="25" t="str">
        <f aca="false">IF(ISNUMBER(A225),IFERROR(INDEX(集計!$V$3:$V$33,MATCH(A225,集計!$N$3:$N$33,0)),0),"")</f>
        <v/>
      </c>
      <c r="AB225" s="25" t="str">
        <f aca="false">IF(ISNUMBER(A225),IFERROR(INDEX(設定!$F$4:$F$27,MATCH(K225,設定!$E$4:$E$27,0)),""),"")</f>
        <v/>
      </c>
    </row>
    <row r="226" customFormat="false" ht="15" hidden="false" customHeight="false" outlineLevel="0" collapsed="false">
      <c r="Z226" s="25" t="str">
        <f aca="false">IF(ISNUMBER(A226),IF(COUNTIF(祝日!$A:$A,A226)&gt;0,"祝",CHOOSE(WEEKDAY(A226,2),"月","火","水","木","金","土","日")),"")</f>
        <v/>
      </c>
      <c r="AA226" s="25" t="str">
        <f aca="false">IF(ISNUMBER(A226),IFERROR(INDEX(集計!$V$3:$V$33,MATCH(A226,集計!$N$3:$N$33,0)),0),"")</f>
        <v/>
      </c>
      <c r="AB226" s="25" t="str">
        <f aca="false">IF(ISNUMBER(A226),IFERROR(INDEX(設定!$F$4:$F$27,MATCH(K226,設定!$E$4:$E$27,0)),""),"")</f>
        <v/>
      </c>
    </row>
    <row r="227" customFormat="false" ht="15" hidden="false" customHeight="false" outlineLevel="0" collapsed="false">
      <c r="Z227" s="25" t="str">
        <f aca="false">IF(ISNUMBER(A227),IF(COUNTIF(祝日!$A:$A,A227)&gt;0,"祝",CHOOSE(WEEKDAY(A227,2),"月","火","水","木","金","土","日")),"")</f>
        <v/>
      </c>
      <c r="AA227" s="25" t="str">
        <f aca="false">IF(ISNUMBER(A227),IFERROR(INDEX(集計!$V$3:$V$33,MATCH(A227,集計!$N$3:$N$33,0)),0),"")</f>
        <v/>
      </c>
      <c r="AB227" s="25" t="str">
        <f aca="false">IF(ISNUMBER(A227),IFERROR(INDEX(設定!$F$4:$F$27,MATCH(K227,設定!$E$4:$E$27,0)),""),"")</f>
        <v/>
      </c>
    </row>
    <row r="228" customFormat="false" ht="15" hidden="false" customHeight="false" outlineLevel="0" collapsed="false">
      <c r="Z228" s="25" t="str">
        <f aca="false">IF(ISNUMBER(A228),IF(COUNTIF(祝日!$A:$A,A228)&gt;0,"祝",CHOOSE(WEEKDAY(A228,2),"月","火","水","木","金","土","日")),"")</f>
        <v/>
      </c>
      <c r="AA228" s="25" t="str">
        <f aca="false">IF(ISNUMBER(A228),IFERROR(INDEX(集計!$V$3:$V$33,MATCH(A228,集計!$N$3:$N$33,0)),0),"")</f>
        <v/>
      </c>
      <c r="AB228" s="25" t="str">
        <f aca="false">IF(ISNUMBER(A228),IFERROR(INDEX(設定!$F$4:$F$27,MATCH(K228,設定!$E$4:$E$27,0)),""),"")</f>
        <v/>
      </c>
    </row>
    <row r="229" customFormat="false" ht="15" hidden="false" customHeight="false" outlineLevel="0" collapsed="false">
      <c r="Z229" s="25" t="str">
        <f aca="false">IF(ISNUMBER(A229),IF(COUNTIF(祝日!$A:$A,A229)&gt;0,"祝",CHOOSE(WEEKDAY(A229,2),"月","火","水","木","金","土","日")),"")</f>
        <v/>
      </c>
      <c r="AA229" s="25" t="str">
        <f aca="false">IF(ISNUMBER(A229),IFERROR(INDEX(集計!$V$3:$V$33,MATCH(A229,集計!$N$3:$N$33,0)),0),"")</f>
        <v/>
      </c>
      <c r="AB229" s="25" t="str">
        <f aca="false">IF(ISNUMBER(A229),IFERROR(INDEX(設定!$F$4:$F$27,MATCH(K229,設定!$E$4:$E$27,0)),""),"")</f>
        <v/>
      </c>
    </row>
    <row r="230" customFormat="false" ht="15" hidden="false" customHeight="false" outlineLevel="0" collapsed="false">
      <c r="Z230" s="25" t="str">
        <f aca="false">IF(ISNUMBER(A230),IF(COUNTIF(祝日!$A:$A,A230)&gt;0,"祝",CHOOSE(WEEKDAY(A230,2),"月","火","水","木","金","土","日")),"")</f>
        <v/>
      </c>
      <c r="AA230" s="25" t="str">
        <f aca="false">IF(ISNUMBER(A230),IFERROR(INDEX(集計!$V$3:$V$33,MATCH(A230,集計!$N$3:$N$33,0)),0),"")</f>
        <v/>
      </c>
      <c r="AB230" s="25" t="str">
        <f aca="false">IF(ISNUMBER(A230),IFERROR(INDEX(設定!$F$4:$F$27,MATCH(K230,設定!$E$4:$E$27,0)),""),"")</f>
        <v/>
      </c>
    </row>
    <row r="231" customFormat="false" ht="15" hidden="false" customHeight="false" outlineLevel="0" collapsed="false">
      <c r="Z231" s="25" t="str">
        <f aca="false">IF(ISNUMBER(A231),IF(COUNTIF(祝日!$A:$A,A231)&gt;0,"祝",CHOOSE(WEEKDAY(A231,2),"月","火","水","木","金","土","日")),"")</f>
        <v/>
      </c>
      <c r="AA231" s="25" t="str">
        <f aca="false">IF(ISNUMBER(A231),IFERROR(INDEX(集計!$V$3:$V$33,MATCH(A231,集計!$N$3:$N$33,0)),0),"")</f>
        <v/>
      </c>
      <c r="AB231" s="25" t="str">
        <f aca="false">IF(ISNUMBER(A231),IFERROR(INDEX(設定!$F$4:$F$27,MATCH(K231,設定!$E$4:$E$27,0)),""),"")</f>
        <v/>
      </c>
    </row>
    <row r="232" customFormat="false" ht="15" hidden="false" customHeight="false" outlineLevel="0" collapsed="false">
      <c r="Z232" s="25" t="str">
        <f aca="false">IF(ISNUMBER(A232),IF(COUNTIF(祝日!$A:$A,A232)&gt;0,"祝",CHOOSE(WEEKDAY(A232,2),"月","火","水","木","金","土","日")),"")</f>
        <v/>
      </c>
      <c r="AA232" s="25" t="str">
        <f aca="false">IF(ISNUMBER(A232),IFERROR(INDEX(集計!$V$3:$V$33,MATCH(A232,集計!$N$3:$N$33,0)),0),"")</f>
        <v/>
      </c>
      <c r="AB232" s="25" t="str">
        <f aca="false">IF(ISNUMBER(A232),IFERROR(INDEX(設定!$F$4:$F$27,MATCH(K232,設定!$E$4:$E$27,0)),""),"")</f>
        <v/>
      </c>
    </row>
    <row r="233" customFormat="false" ht="15" hidden="false" customHeight="false" outlineLevel="0" collapsed="false">
      <c r="Z233" s="25" t="str">
        <f aca="false">IF(ISNUMBER(A233),IF(COUNTIF(祝日!$A:$A,A233)&gt;0,"祝",CHOOSE(WEEKDAY(A233,2),"月","火","水","木","金","土","日")),"")</f>
        <v/>
      </c>
      <c r="AA233" s="25" t="str">
        <f aca="false">IF(ISNUMBER(A233),IFERROR(INDEX(集計!$V$3:$V$33,MATCH(A233,集計!$N$3:$N$33,0)),0),"")</f>
        <v/>
      </c>
      <c r="AB233" s="25" t="str">
        <f aca="false">IF(ISNUMBER(A233),IFERROR(INDEX(設定!$F$4:$F$27,MATCH(K233,設定!$E$4:$E$27,0)),""),"")</f>
        <v/>
      </c>
    </row>
    <row r="234" customFormat="false" ht="15" hidden="false" customHeight="false" outlineLevel="0" collapsed="false">
      <c r="Z234" s="25" t="str">
        <f aca="false">IF(ISNUMBER(A234),IF(COUNTIF(祝日!$A:$A,A234)&gt;0,"祝",CHOOSE(WEEKDAY(A234,2),"月","火","水","木","金","土","日")),"")</f>
        <v/>
      </c>
      <c r="AA234" s="25" t="str">
        <f aca="false">IF(ISNUMBER(A234),IFERROR(INDEX(集計!$V$3:$V$33,MATCH(A234,集計!$N$3:$N$33,0)),0),"")</f>
        <v/>
      </c>
      <c r="AB234" s="25" t="str">
        <f aca="false">IF(ISNUMBER(A234),IFERROR(INDEX(設定!$F$4:$F$27,MATCH(K234,設定!$E$4:$E$27,0)),""),"")</f>
        <v/>
      </c>
    </row>
    <row r="235" customFormat="false" ht="15" hidden="false" customHeight="false" outlineLevel="0" collapsed="false">
      <c r="Z235" s="25" t="str">
        <f aca="false">IF(ISNUMBER(A235),IF(COUNTIF(祝日!$A:$A,A235)&gt;0,"祝",CHOOSE(WEEKDAY(A235,2),"月","火","水","木","金","土","日")),"")</f>
        <v/>
      </c>
      <c r="AA235" s="25" t="str">
        <f aca="false">IF(ISNUMBER(A235),IFERROR(INDEX(集計!$V$3:$V$33,MATCH(A235,集計!$N$3:$N$33,0)),0),"")</f>
        <v/>
      </c>
      <c r="AB235" s="25" t="str">
        <f aca="false">IF(ISNUMBER(A235),IFERROR(INDEX(設定!$F$4:$F$27,MATCH(K235,設定!$E$4:$E$27,0)),""),"")</f>
        <v/>
      </c>
    </row>
    <row r="236" customFormat="false" ht="15" hidden="false" customHeight="false" outlineLevel="0" collapsed="false">
      <c r="Z236" s="25" t="str">
        <f aca="false">IF(ISNUMBER(A236),IF(COUNTIF(祝日!$A:$A,A236)&gt;0,"祝",CHOOSE(WEEKDAY(A236,2),"月","火","水","木","金","土","日")),"")</f>
        <v/>
      </c>
      <c r="AA236" s="25" t="str">
        <f aca="false">IF(ISNUMBER(A236),IFERROR(INDEX(集計!$V$3:$V$33,MATCH(A236,集計!$N$3:$N$33,0)),0),"")</f>
        <v/>
      </c>
      <c r="AB236" s="25" t="str">
        <f aca="false">IF(ISNUMBER(A236),IFERROR(INDEX(設定!$F$4:$F$27,MATCH(K236,設定!$E$4:$E$27,0)),""),"")</f>
        <v/>
      </c>
    </row>
    <row r="237" customFormat="false" ht="15" hidden="false" customHeight="false" outlineLevel="0" collapsed="false">
      <c r="Z237" s="25" t="str">
        <f aca="false">IF(ISNUMBER(A237),IF(COUNTIF(祝日!$A:$A,A237)&gt;0,"祝",CHOOSE(WEEKDAY(A237,2),"月","火","水","木","金","土","日")),"")</f>
        <v/>
      </c>
      <c r="AA237" s="25" t="str">
        <f aca="false">IF(ISNUMBER(A237),IFERROR(INDEX(集計!$V$3:$V$33,MATCH(A237,集計!$N$3:$N$33,0)),0),"")</f>
        <v/>
      </c>
      <c r="AB237" s="25" t="str">
        <f aca="false">IF(ISNUMBER(A237),IFERROR(INDEX(設定!$F$4:$F$27,MATCH(K237,設定!$E$4:$E$27,0)),""),"")</f>
        <v/>
      </c>
    </row>
    <row r="238" customFormat="false" ht="15" hidden="false" customHeight="false" outlineLevel="0" collapsed="false">
      <c r="Z238" s="25" t="str">
        <f aca="false">IF(ISNUMBER(A238),IF(COUNTIF(祝日!$A:$A,A238)&gt;0,"祝",CHOOSE(WEEKDAY(A238,2),"月","火","水","木","金","土","日")),"")</f>
        <v/>
      </c>
      <c r="AA238" s="25" t="str">
        <f aca="false">IF(ISNUMBER(A238),IFERROR(INDEX(集計!$V$3:$V$33,MATCH(A238,集計!$N$3:$N$33,0)),0),"")</f>
        <v/>
      </c>
      <c r="AB238" s="25" t="str">
        <f aca="false">IF(ISNUMBER(A238),IFERROR(INDEX(設定!$F$4:$F$27,MATCH(K238,設定!$E$4:$E$27,0)),""),"")</f>
        <v/>
      </c>
    </row>
    <row r="239" customFormat="false" ht="15" hidden="false" customHeight="false" outlineLevel="0" collapsed="false">
      <c r="Z239" s="25" t="str">
        <f aca="false">IF(ISNUMBER(A239),IF(COUNTIF(祝日!$A:$A,A239)&gt;0,"祝",CHOOSE(WEEKDAY(A239,2),"月","火","水","木","金","土","日")),"")</f>
        <v/>
      </c>
      <c r="AA239" s="25" t="str">
        <f aca="false">IF(ISNUMBER(A239),IFERROR(INDEX(集計!$V$3:$V$33,MATCH(A239,集計!$N$3:$N$33,0)),0),"")</f>
        <v/>
      </c>
      <c r="AB239" s="25" t="str">
        <f aca="false">IF(ISNUMBER(A239),IFERROR(INDEX(設定!$F$4:$F$27,MATCH(K239,設定!$E$4:$E$27,0)),""),"")</f>
        <v/>
      </c>
    </row>
    <row r="240" customFormat="false" ht="15" hidden="false" customHeight="false" outlineLevel="0" collapsed="false">
      <c r="Z240" s="25" t="str">
        <f aca="false">IF(ISNUMBER(A240),IF(COUNTIF(祝日!$A:$A,A240)&gt;0,"祝",CHOOSE(WEEKDAY(A240,2),"月","火","水","木","金","土","日")),"")</f>
        <v/>
      </c>
      <c r="AA240" s="25" t="str">
        <f aca="false">IF(ISNUMBER(A240),IFERROR(INDEX(集計!$V$3:$V$33,MATCH(A240,集計!$N$3:$N$33,0)),0),"")</f>
        <v/>
      </c>
      <c r="AB240" s="25" t="str">
        <f aca="false">IF(ISNUMBER(A240),IFERROR(INDEX(設定!$F$4:$F$27,MATCH(K240,設定!$E$4:$E$27,0)),""),"")</f>
        <v/>
      </c>
    </row>
    <row r="241" customFormat="false" ht="15" hidden="false" customHeight="false" outlineLevel="0" collapsed="false">
      <c r="Z241" s="25" t="str">
        <f aca="false">IF(ISNUMBER(A241),IF(COUNTIF(祝日!$A:$A,A241)&gt;0,"祝",CHOOSE(WEEKDAY(A241,2),"月","火","水","木","金","土","日")),"")</f>
        <v/>
      </c>
      <c r="AA241" s="25" t="str">
        <f aca="false">IF(ISNUMBER(A241),IFERROR(INDEX(集計!$V$3:$V$33,MATCH(A241,集計!$N$3:$N$33,0)),0),"")</f>
        <v/>
      </c>
      <c r="AB241" s="25" t="str">
        <f aca="false">IF(ISNUMBER(A241),IFERROR(INDEX(設定!$F$4:$F$27,MATCH(K241,設定!$E$4:$E$27,0)),""),"")</f>
        <v/>
      </c>
    </row>
    <row r="242" customFormat="false" ht="15" hidden="false" customHeight="false" outlineLevel="0" collapsed="false">
      <c r="Z242" s="25" t="str">
        <f aca="false">IF(ISNUMBER(A242),IF(COUNTIF(祝日!$A:$A,A242)&gt;0,"祝",CHOOSE(WEEKDAY(A242,2),"月","火","水","木","金","土","日")),"")</f>
        <v/>
      </c>
      <c r="AA242" s="25" t="str">
        <f aca="false">IF(ISNUMBER(A242),IFERROR(INDEX(集計!$V$3:$V$33,MATCH(A242,集計!$N$3:$N$33,0)),0),"")</f>
        <v/>
      </c>
      <c r="AB242" s="25" t="str">
        <f aca="false">IF(ISNUMBER(A242),IFERROR(INDEX(設定!$F$4:$F$27,MATCH(K242,設定!$E$4:$E$27,0)),""),"")</f>
        <v/>
      </c>
    </row>
    <row r="243" customFormat="false" ht="15" hidden="false" customHeight="false" outlineLevel="0" collapsed="false">
      <c r="Z243" s="25" t="str">
        <f aca="false">IF(ISNUMBER(A243),IF(COUNTIF(祝日!$A:$A,A243)&gt;0,"祝",CHOOSE(WEEKDAY(A243,2),"月","火","水","木","金","土","日")),"")</f>
        <v/>
      </c>
      <c r="AA243" s="25" t="str">
        <f aca="false">IF(ISNUMBER(A243),IFERROR(INDEX(集計!$V$3:$V$33,MATCH(A243,集計!$N$3:$N$33,0)),0),"")</f>
        <v/>
      </c>
      <c r="AB243" s="25" t="str">
        <f aca="false">IF(ISNUMBER(A243),IFERROR(INDEX(設定!$F$4:$F$27,MATCH(K243,設定!$E$4:$E$27,0)),""),"")</f>
        <v/>
      </c>
    </row>
    <row r="244" customFormat="false" ht="15" hidden="false" customHeight="false" outlineLevel="0" collapsed="false">
      <c r="Z244" s="25" t="str">
        <f aca="false">IF(ISNUMBER(A244),IF(COUNTIF(祝日!$A:$A,A244)&gt;0,"祝",CHOOSE(WEEKDAY(A244,2),"月","火","水","木","金","土","日")),"")</f>
        <v/>
      </c>
      <c r="AA244" s="25" t="str">
        <f aca="false">IF(ISNUMBER(A244),IFERROR(INDEX(集計!$V$3:$V$33,MATCH(A244,集計!$N$3:$N$33,0)),0),"")</f>
        <v/>
      </c>
      <c r="AB244" s="25" t="str">
        <f aca="false">IF(ISNUMBER(A244),IFERROR(INDEX(設定!$F$4:$F$27,MATCH(K244,設定!$E$4:$E$27,0)),""),"")</f>
        <v/>
      </c>
    </row>
    <row r="245" customFormat="false" ht="15" hidden="false" customHeight="false" outlineLevel="0" collapsed="false">
      <c r="Z245" s="25" t="str">
        <f aca="false">IF(ISNUMBER(A245),IF(COUNTIF(祝日!$A:$A,A245)&gt;0,"祝",CHOOSE(WEEKDAY(A245,2),"月","火","水","木","金","土","日")),"")</f>
        <v/>
      </c>
      <c r="AA245" s="25" t="str">
        <f aca="false">IF(ISNUMBER(A245),IFERROR(INDEX(集計!$V$3:$V$33,MATCH(A245,集計!$N$3:$N$33,0)),0),"")</f>
        <v/>
      </c>
      <c r="AB245" s="25" t="str">
        <f aca="false">IF(ISNUMBER(A245),IFERROR(INDEX(設定!$F$4:$F$27,MATCH(K245,設定!$E$4:$E$27,0)),""),"")</f>
        <v/>
      </c>
    </row>
    <row r="246" customFormat="false" ht="15" hidden="false" customHeight="false" outlineLevel="0" collapsed="false">
      <c r="Z246" s="25" t="str">
        <f aca="false">IF(ISNUMBER(A246),IF(COUNTIF(祝日!$A:$A,A246)&gt;0,"祝",CHOOSE(WEEKDAY(A246,2),"月","火","水","木","金","土","日")),"")</f>
        <v/>
      </c>
      <c r="AA246" s="25" t="str">
        <f aca="false">IF(ISNUMBER(A246),IFERROR(INDEX(集計!$V$3:$V$33,MATCH(A246,集計!$N$3:$N$33,0)),0),"")</f>
        <v/>
      </c>
      <c r="AB246" s="25" t="str">
        <f aca="false">IF(ISNUMBER(A246),IFERROR(INDEX(設定!$F$4:$F$27,MATCH(K246,設定!$E$4:$E$27,0)),""),"")</f>
        <v/>
      </c>
    </row>
    <row r="247" customFormat="false" ht="15" hidden="false" customHeight="false" outlineLevel="0" collapsed="false">
      <c r="Z247" s="25" t="str">
        <f aca="false">IF(ISNUMBER(A247),IF(COUNTIF(祝日!$A:$A,A247)&gt;0,"祝",CHOOSE(WEEKDAY(A247,2),"月","火","水","木","金","土","日")),"")</f>
        <v/>
      </c>
      <c r="AA247" s="25" t="str">
        <f aca="false">IF(ISNUMBER(A247),IFERROR(INDEX(集計!$V$3:$V$33,MATCH(A247,集計!$N$3:$N$33,0)),0),"")</f>
        <v/>
      </c>
      <c r="AB247" s="25" t="str">
        <f aca="false">IF(ISNUMBER(A247),IFERROR(INDEX(設定!$F$4:$F$27,MATCH(K247,設定!$E$4:$E$27,0)),""),"")</f>
        <v/>
      </c>
    </row>
    <row r="248" customFormat="false" ht="15" hidden="false" customHeight="false" outlineLevel="0" collapsed="false">
      <c r="Z248" s="25" t="str">
        <f aca="false">IF(ISNUMBER(A248),IF(COUNTIF(祝日!$A:$A,A248)&gt;0,"祝",CHOOSE(WEEKDAY(A248,2),"月","火","水","木","金","土","日")),"")</f>
        <v/>
      </c>
      <c r="AA248" s="25" t="str">
        <f aca="false">IF(ISNUMBER(A248),IFERROR(INDEX(集計!$V$3:$V$33,MATCH(A248,集計!$N$3:$N$33,0)),0),"")</f>
        <v/>
      </c>
      <c r="AB248" s="25" t="str">
        <f aca="false">IF(ISNUMBER(A248),IFERROR(INDEX(設定!$F$4:$F$27,MATCH(K248,設定!$E$4:$E$27,0)),""),"")</f>
        <v/>
      </c>
    </row>
    <row r="249" customFormat="false" ht="15" hidden="false" customHeight="false" outlineLevel="0" collapsed="false">
      <c r="Z249" s="25" t="str">
        <f aca="false">IF(ISNUMBER(A249),IF(COUNTIF(祝日!$A:$A,A249)&gt;0,"祝",CHOOSE(WEEKDAY(A249,2),"月","火","水","木","金","土","日")),"")</f>
        <v/>
      </c>
      <c r="AA249" s="25" t="str">
        <f aca="false">IF(ISNUMBER(A249),IFERROR(INDEX(集計!$V$3:$V$33,MATCH(A249,集計!$N$3:$N$33,0)),0),"")</f>
        <v/>
      </c>
      <c r="AB249" s="25" t="str">
        <f aca="false">IF(ISNUMBER(A249),IFERROR(INDEX(設定!$F$4:$F$27,MATCH(K249,設定!$E$4:$E$27,0)),""),"")</f>
        <v/>
      </c>
    </row>
    <row r="250" customFormat="false" ht="15" hidden="false" customHeight="false" outlineLevel="0" collapsed="false">
      <c r="Z250" s="25" t="str">
        <f aca="false">IF(ISNUMBER(A250),IF(COUNTIF(祝日!$A:$A,A250)&gt;0,"祝",CHOOSE(WEEKDAY(A250,2),"月","火","水","木","金","土","日")),"")</f>
        <v/>
      </c>
      <c r="AA250" s="25" t="str">
        <f aca="false">IF(ISNUMBER(A250),IFERROR(INDEX(集計!$V$3:$V$33,MATCH(A250,集計!$N$3:$N$33,0)),0),"")</f>
        <v/>
      </c>
      <c r="AB250" s="25" t="str">
        <f aca="false">IF(ISNUMBER(A250),IFERROR(INDEX(設定!$F$4:$F$27,MATCH(K250,設定!$E$4:$E$27,0)),""),"")</f>
        <v/>
      </c>
    </row>
    <row r="251" customFormat="false" ht="15" hidden="false" customHeight="false" outlineLevel="0" collapsed="false">
      <c r="Z251" s="25" t="str">
        <f aca="false">IF(ISNUMBER(A251),IF(COUNTIF(祝日!$A:$A,A251)&gt;0,"祝",CHOOSE(WEEKDAY(A251,2),"月","火","水","木","金","土","日")),"")</f>
        <v/>
      </c>
      <c r="AA251" s="25" t="str">
        <f aca="false">IF(ISNUMBER(A251),IFERROR(INDEX(集計!$V$3:$V$33,MATCH(A251,集計!$N$3:$N$33,0)),0),"")</f>
        <v/>
      </c>
      <c r="AB251" s="25" t="str">
        <f aca="false">IF(ISNUMBER(A251),IFERROR(INDEX(設定!$F$4:$F$27,MATCH(K251,設定!$E$4:$E$27,0)),""),"")</f>
        <v/>
      </c>
    </row>
    <row r="252" customFormat="false" ht="15" hidden="false" customHeight="false" outlineLevel="0" collapsed="false">
      <c r="Z252" s="25" t="str">
        <f aca="false">IF(ISNUMBER(A252),IF(COUNTIF(祝日!$A:$A,A252)&gt;0,"祝",CHOOSE(WEEKDAY(A252,2),"月","火","水","木","金","土","日")),"")</f>
        <v/>
      </c>
      <c r="AA252" s="25" t="str">
        <f aca="false">IF(ISNUMBER(A252),IFERROR(INDEX(集計!$V$3:$V$33,MATCH(A252,集計!$N$3:$N$33,0)),0),"")</f>
        <v/>
      </c>
      <c r="AB252" s="25" t="str">
        <f aca="false">IF(ISNUMBER(A252),IFERROR(INDEX(設定!$F$4:$F$27,MATCH(K252,設定!$E$4:$E$27,0)),""),"")</f>
        <v/>
      </c>
    </row>
    <row r="253" customFormat="false" ht="15" hidden="false" customHeight="false" outlineLevel="0" collapsed="false">
      <c r="Z253" s="25" t="str">
        <f aca="false">IF(ISNUMBER(A253),IF(COUNTIF(祝日!$A:$A,A253)&gt;0,"祝",CHOOSE(WEEKDAY(A253,2),"月","火","水","木","金","土","日")),"")</f>
        <v/>
      </c>
      <c r="AA253" s="25" t="str">
        <f aca="false">IF(ISNUMBER(A253),IFERROR(INDEX(集計!$V$3:$V$33,MATCH(A253,集計!$N$3:$N$33,0)),0),"")</f>
        <v/>
      </c>
      <c r="AB253" s="25" t="str">
        <f aca="false">IF(ISNUMBER(A253),IFERROR(INDEX(設定!$F$4:$F$27,MATCH(K253,設定!$E$4:$E$27,0)),""),"")</f>
        <v/>
      </c>
    </row>
    <row r="254" customFormat="false" ht="15" hidden="false" customHeight="false" outlineLevel="0" collapsed="false">
      <c r="Z254" s="25" t="str">
        <f aca="false">IF(ISNUMBER(A254),IF(COUNTIF(祝日!$A:$A,A254)&gt;0,"祝",CHOOSE(WEEKDAY(A254,2),"月","火","水","木","金","土","日")),"")</f>
        <v/>
      </c>
      <c r="AA254" s="25" t="str">
        <f aca="false">IF(ISNUMBER(A254),IFERROR(INDEX(集計!$V$3:$V$33,MATCH(A254,集計!$N$3:$N$33,0)),0),"")</f>
        <v/>
      </c>
      <c r="AB254" s="25" t="str">
        <f aca="false">IF(ISNUMBER(A254),IFERROR(INDEX(設定!$F$4:$F$27,MATCH(K254,設定!$E$4:$E$27,0)),""),"")</f>
        <v/>
      </c>
    </row>
    <row r="255" customFormat="false" ht="15" hidden="false" customHeight="false" outlineLevel="0" collapsed="false">
      <c r="Z255" s="25" t="str">
        <f aca="false">IF(ISNUMBER(A255),IF(COUNTIF(祝日!$A:$A,A255)&gt;0,"祝",CHOOSE(WEEKDAY(A255,2),"月","火","水","木","金","土","日")),"")</f>
        <v/>
      </c>
      <c r="AA255" s="25" t="str">
        <f aca="false">IF(ISNUMBER(A255),IFERROR(INDEX(集計!$V$3:$V$33,MATCH(A255,集計!$N$3:$N$33,0)),0),"")</f>
        <v/>
      </c>
      <c r="AB255" s="25" t="str">
        <f aca="false">IF(ISNUMBER(A255),IFERROR(INDEX(設定!$F$4:$F$27,MATCH(K255,設定!$E$4:$E$27,0)),""),"")</f>
        <v/>
      </c>
    </row>
    <row r="256" customFormat="false" ht="15" hidden="false" customHeight="false" outlineLevel="0" collapsed="false">
      <c r="Z256" s="25" t="str">
        <f aca="false">IF(ISNUMBER(A256),IF(COUNTIF(祝日!$A:$A,A256)&gt;0,"祝",CHOOSE(WEEKDAY(A256,2),"月","火","水","木","金","土","日")),"")</f>
        <v/>
      </c>
      <c r="AA256" s="25" t="str">
        <f aca="false">IF(ISNUMBER(A256),IFERROR(INDEX(集計!$V$3:$V$33,MATCH(A256,集計!$N$3:$N$33,0)),0),"")</f>
        <v/>
      </c>
      <c r="AB256" s="25" t="str">
        <f aca="false">IF(ISNUMBER(A256),IFERROR(INDEX(設定!$F$4:$F$27,MATCH(K256,設定!$E$4:$E$27,0)),""),"")</f>
        <v/>
      </c>
    </row>
    <row r="257" customFormat="false" ht="15" hidden="false" customHeight="false" outlineLevel="0" collapsed="false">
      <c r="Z257" s="25" t="str">
        <f aca="false">IF(ISNUMBER(A257),IF(COUNTIF(祝日!$A:$A,A257)&gt;0,"祝",CHOOSE(WEEKDAY(A257,2),"月","火","水","木","金","土","日")),"")</f>
        <v/>
      </c>
      <c r="AA257" s="25" t="str">
        <f aca="false">IF(ISNUMBER(A257),IFERROR(INDEX(集計!$V$3:$V$33,MATCH(A257,集計!$N$3:$N$33,0)),0),"")</f>
        <v/>
      </c>
      <c r="AB257" s="25" t="str">
        <f aca="false">IF(ISNUMBER(A257),IFERROR(INDEX(設定!$F$4:$F$27,MATCH(K257,設定!$E$4:$E$27,0)),""),"")</f>
        <v/>
      </c>
    </row>
    <row r="258" customFormat="false" ht="15" hidden="false" customHeight="false" outlineLevel="0" collapsed="false">
      <c r="Z258" s="25" t="str">
        <f aca="false">IF(ISNUMBER(A258),IF(COUNTIF(祝日!$A:$A,A258)&gt;0,"祝",CHOOSE(WEEKDAY(A258,2),"月","火","水","木","金","土","日")),"")</f>
        <v/>
      </c>
      <c r="AA258" s="25" t="str">
        <f aca="false">IF(ISNUMBER(A258),IFERROR(INDEX(集計!$V$3:$V$33,MATCH(A258,集計!$N$3:$N$33,0)),0),"")</f>
        <v/>
      </c>
      <c r="AB258" s="25" t="str">
        <f aca="false">IF(ISNUMBER(A258),IFERROR(INDEX(設定!$F$4:$F$27,MATCH(K258,設定!$E$4:$E$27,0)),""),"")</f>
        <v/>
      </c>
    </row>
    <row r="259" customFormat="false" ht="15" hidden="false" customHeight="false" outlineLevel="0" collapsed="false">
      <c r="Z259" s="25" t="str">
        <f aca="false">IF(ISNUMBER(A259),IF(COUNTIF(祝日!$A:$A,A259)&gt;0,"祝",CHOOSE(WEEKDAY(A259,2),"月","火","水","木","金","土","日")),"")</f>
        <v/>
      </c>
      <c r="AA259" s="25" t="str">
        <f aca="false">IF(ISNUMBER(A259),IFERROR(INDEX(集計!$V$3:$V$33,MATCH(A259,集計!$N$3:$N$33,0)),0),"")</f>
        <v/>
      </c>
      <c r="AB259" s="25" t="str">
        <f aca="false">IF(ISNUMBER(A259),IFERROR(INDEX(設定!$F$4:$F$27,MATCH(K259,設定!$E$4:$E$27,0)),""),"")</f>
        <v/>
      </c>
    </row>
    <row r="260" customFormat="false" ht="15" hidden="false" customHeight="false" outlineLevel="0" collapsed="false">
      <c r="Z260" s="25" t="str">
        <f aca="false">IF(ISNUMBER(A260),IF(COUNTIF(祝日!$A:$A,A260)&gt;0,"祝",CHOOSE(WEEKDAY(A260,2),"月","火","水","木","金","土","日")),"")</f>
        <v/>
      </c>
      <c r="AA260" s="25" t="str">
        <f aca="false">IF(ISNUMBER(A260),IFERROR(INDEX(集計!$V$3:$V$33,MATCH(A260,集計!$N$3:$N$33,0)),0),"")</f>
        <v/>
      </c>
      <c r="AB260" s="25" t="str">
        <f aca="false">IF(ISNUMBER(A260),IFERROR(INDEX(設定!$F$4:$F$27,MATCH(K260,設定!$E$4:$E$27,0)),""),"")</f>
        <v/>
      </c>
    </row>
    <row r="261" customFormat="false" ht="15" hidden="false" customHeight="false" outlineLevel="0" collapsed="false">
      <c r="Z261" s="25" t="str">
        <f aca="false">IF(ISNUMBER(A261),IF(COUNTIF(祝日!$A:$A,A261)&gt;0,"祝",CHOOSE(WEEKDAY(A261,2),"月","火","水","木","金","土","日")),"")</f>
        <v/>
      </c>
      <c r="AA261" s="25" t="str">
        <f aca="false">IF(ISNUMBER(A261),IFERROR(INDEX(集計!$V$3:$V$33,MATCH(A261,集計!$N$3:$N$33,0)),0),"")</f>
        <v/>
      </c>
      <c r="AB261" s="25" t="str">
        <f aca="false">IF(ISNUMBER(A261),IFERROR(INDEX(設定!$F$4:$F$27,MATCH(K261,設定!$E$4:$E$27,0)),""),"")</f>
        <v/>
      </c>
    </row>
    <row r="262" customFormat="false" ht="15" hidden="false" customHeight="false" outlineLevel="0" collapsed="false">
      <c r="Z262" s="25" t="str">
        <f aca="false">IF(ISNUMBER(A262),IF(COUNTIF(祝日!$A:$A,A262)&gt;0,"祝",CHOOSE(WEEKDAY(A262,2),"月","火","水","木","金","土","日")),"")</f>
        <v/>
      </c>
      <c r="AA262" s="25" t="str">
        <f aca="false">IF(ISNUMBER(A262),IFERROR(INDEX(集計!$V$3:$V$33,MATCH(A262,集計!$N$3:$N$33,0)),0),"")</f>
        <v/>
      </c>
      <c r="AB262" s="25" t="str">
        <f aca="false">IF(ISNUMBER(A262),IFERROR(INDEX(設定!$F$4:$F$27,MATCH(K262,設定!$E$4:$E$27,0)),""),"")</f>
        <v/>
      </c>
    </row>
    <row r="263" customFormat="false" ht="15" hidden="false" customHeight="false" outlineLevel="0" collapsed="false">
      <c r="Z263" s="25" t="str">
        <f aca="false">IF(ISNUMBER(A263),IF(COUNTIF(祝日!$A:$A,A263)&gt;0,"祝",CHOOSE(WEEKDAY(A263,2),"月","火","水","木","金","土","日")),"")</f>
        <v/>
      </c>
      <c r="AA263" s="25" t="str">
        <f aca="false">IF(ISNUMBER(A263),IFERROR(INDEX(集計!$V$3:$V$33,MATCH(A263,集計!$N$3:$N$33,0)),0),"")</f>
        <v/>
      </c>
      <c r="AB263" s="25" t="str">
        <f aca="false">IF(ISNUMBER(A263),IFERROR(INDEX(設定!$F$4:$F$27,MATCH(K263,設定!$E$4:$E$27,0)),""),"")</f>
        <v/>
      </c>
    </row>
    <row r="264" customFormat="false" ht="15" hidden="false" customHeight="false" outlineLevel="0" collapsed="false">
      <c r="Z264" s="25" t="str">
        <f aca="false">IF(ISNUMBER(A264),IF(COUNTIF(祝日!$A:$A,A264)&gt;0,"祝",CHOOSE(WEEKDAY(A264,2),"月","火","水","木","金","土","日")),"")</f>
        <v/>
      </c>
      <c r="AA264" s="25" t="str">
        <f aca="false">IF(ISNUMBER(A264),IFERROR(INDEX(集計!$V$3:$V$33,MATCH(A264,集計!$N$3:$N$33,0)),0),"")</f>
        <v/>
      </c>
      <c r="AB264" s="25" t="str">
        <f aca="false">IF(ISNUMBER(A264),IFERROR(INDEX(設定!$F$4:$F$27,MATCH(K264,設定!$E$4:$E$27,0)),""),"")</f>
        <v/>
      </c>
    </row>
    <row r="265" customFormat="false" ht="15" hidden="false" customHeight="false" outlineLevel="0" collapsed="false">
      <c r="Z265" s="25" t="str">
        <f aca="false">IF(ISNUMBER(A265),IF(COUNTIF(祝日!$A:$A,A265)&gt;0,"祝",CHOOSE(WEEKDAY(A265,2),"月","火","水","木","金","土","日")),"")</f>
        <v/>
      </c>
      <c r="AA265" s="25" t="str">
        <f aca="false">IF(ISNUMBER(A265),IFERROR(INDEX(集計!$V$3:$V$33,MATCH(A265,集計!$N$3:$N$33,0)),0),"")</f>
        <v/>
      </c>
      <c r="AB265" s="25" t="str">
        <f aca="false">IF(ISNUMBER(A265),IFERROR(INDEX(設定!$F$4:$F$27,MATCH(K265,設定!$E$4:$E$27,0)),""),"")</f>
        <v/>
      </c>
    </row>
    <row r="266" customFormat="false" ht="15" hidden="false" customHeight="false" outlineLevel="0" collapsed="false">
      <c r="Z266" s="25" t="str">
        <f aca="false">IF(ISNUMBER(A266),IF(COUNTIF(祝日!$A:$A,A266)&gt;0,"祝",CHOOSE(WEEKDAY(A266,2),"月","火","水","木","金","土","日")),"")</f>
        <v/>
      </c>
      <c r="AA266" s="25" t="str">
        <f aca="false">IF(ISNUMBER(A266),IFERROR(INDEX(集計!$V$3:$V$33,MATCH(A266,集計!$N$3:$N$33,0)),0),"")</f>
        <v/>
      </c>
      <c r="AB266" s="25" t="str">
        <f aca="false">IF(ISNUMBER(A266),IFERROR(INDEX(設定!$F$4:$F$27,MATCH(K266,設定!$E$4:$E$27,0)),""),"")</f>
        <v/>
      </c>
    </row>
    <row r="267" customFormat="false" ht="15" hidden="false" customHeight="false" outlineLevel="0" collapsed="false">
      <c r="Z267" s="25" t="str">
        <f aca="false">IF(ISNUMBER(A267),IF(COUNTIF(祝日!$A:$A,A267)&gt;0,"祝",CHOOSE(WEEKDAY(A267,2),"月","火","水","木","金","土","日")),"")</f>
        <v/>
      </c>
      <c r="AA267" s="25" t="str">
        <f aca="false">IF(ISNUMBER(A267),IFERROR(INDEX(集計!$V$3:$V$33,MATCH(A267,集計!$N$3:$N$33,0)),0),"")</f>
        <v/>
      </c>
      <c r="AB267" s="25" t="str">
        <f aca="false">IF(ISNUMBER(A267),IFERROR(INDEX(設定!$F$4:$F$27,MATCH(K267,設定!$E$4:$E$27,0)),""),"")</f>
        <v/>
      </c>
    </row>
    <row r="268" customFormat="false" ht="15" hidden="false" customHeight="false" outlineLevel="0" collapsed="false">
      <c r="Z268" s="25" t="str">
        <f aca="false">IF(ISNUMBER(A268),IF(COUNTIF(祝日!$A:$A,A268)&gt;0,"祝",CHOOSE(WEEKDAY(A268,2),"月","火","水","木","金","土","日")),"")</f>
        <v/>
      </c>
      <c r="AA268" s="25" t="str">
        <f aca="false">IF(ISNUMBER(A268),IFERROR(INDEX(集計!$V$3:$V$33,MATCH(A268,集計!$N$3:$N$33,0)),0),"")</f>
        <v/>
      </c>
      <c r="AB268" s="25" t="str">
        <f aca="false">IF(ISNUMBER(A268),IFERROR(INDEX(設定!$F$4:$F$27,MATCH(K268,設定!$E$4:$E$27,0)),""),"")</f>
        <v/>
      </c>
    </row>
    <row r="269" customFormat="false" ht="15" hidden="false" customHeight="false" outlineLevel="0" collapsed="false">
      <c r="Z269" s="25" t="str">
        <f aca="false">IF(ISNUMBER(A269),IF(COUNTIF(祝日!$A:$A,A269)&gt;0,"祝",CHOOSE(WEEKDAY(A269,2),"月","火","水","木","金","土","日")),"")</f>
        <v/>
      </c>
      <c r="AA269" s="25" t="str">
        <f aca="false">IF(ISNUMBER(A269),IFERROR(INDEX(集計!$V$3:$V$33,MATCH(A269,集計!$N$3:$N$33,0)),0),"")</f>
        <v/>
      </c>
      <c r="AB269" s="25" t="str">
        <f aca="false">IF(ISNUMBER(A269),IFERROR(INDEX(設定!$F$4:$F$27,MATCH(K269,設定!$E$4:$E$27,0)),""),"")</f>
        <v/>
      </c>
    </row>
    <row r="270" customFormat="false" ht="15" hidden="false" customHeight="false" outlineLevel="0" collapsed="false">
      <c r="Z270" s="25" t="str">
        <f aca="false">IF(ISNUMBER(A270),IF(COUNTIF(祝日!$A:$A,A270)&gt;0,"祝",CHOOSE(WEEKDAY(A270,2),"月","火","水","木","金","土","日")),"")</f>
        <v/>
      </c>
      <c r="AA270" s="25" t="str">
        <f aca="false">IF(ISNUMBER(A270),IFERROR(INDEX(集計!$V$3:$V$33,MATCH(A270,集計!$N$3:$N$33,0)),0),"")</f>
        <v/>
      </c>
      <c r="AB270" s="25" t="str">
        <f aca="false">IF(ISNUMBER(A270),IFERROR(INDEX(設定!$F$4:$F$27,MATCH(K270,設定!$E$4:$E$27,0)),""),"")</f>
        <v/>
      </c>
    </row>
    <row r="271" customFormat="false" ht="15" hidden="false" customHeight="false" outlineLevel="0" collapsed="false">
      <c r="Z271" s="25" t="str">
        <f aca="false">IF(ISNUMBER(A271),IF(COUNTIF(祝日!$A:$A,A271)&gt;0,"祝",CHOOSE(WEEKDAY(A271,2),"月","火","水","木","金","土","日")),"")</f>
        <v/>
      </c>
      <c r="AA271" s="25" t="str">
        <f aca="false">IF(ISNUMBER(A271),IFERROR(INDEX(集計!$V$3:$V$33,MATCH(A271,集計!$N$3:$N$33,0)),0),"")</f>
        <v/>
      </c>
      <c r="AB271" s="25" t="str">
        <f aca="false">IF(ISNUMBER(A271),IFERROR(INDEX(設定!$F$4:$F$27,MATCH(K271,設定!$E$4:$E$27,0)),""),"")</f>
        <v/>
      </c>
    </row>
    <row r="272" customFormat="false" ht="15" hidden="false" customHeight="false" outlineLevel="0" collapsed="false">
      <c r="Z272" s="25" t="str">
        <f aca="false">IF(ISNUMBER(A272),IF(COUNTIF(祝日!$A:$A,A272)&gt;0,"祝",CHOOSE(WEEKDAY(A272,2),"月","火","水","木","金","土","日")),"")</f>
        <v/>
      </c>
      <c r="AA272" s="25" t="str">
        <f aca="false">IF(ISNUMBER(A272),IFERROR(INDEX(集計!$V$3:$V$33,MATCH(A272,集計!$N$3:$N$33,0)),0),"")</f>
        <v/>
      </c>
      <c r="AB272" s="25" t="str">
        <f aca="false">IF(ISNUMBER(A272),IFERROR(INDEX(設定!$F$4:$F$27,MATCH(K272,設定!$E$4:$E$27,0)),""),"")</f>
        <v/>
      </c>
    </row>
    <row r="273" customFormat="false" ht="15" hidden="false" customHeight="false" outlineLevel="0" collapsed="false">
      <c r="Z273" s="25" t="str">
        <f aca="false">IF(ISNUMBER(A273),IF(COUNTIF(祝日!$A:$A,A273)&gt;0,"祝",CHOOSE(WEEKDAY(A273,2),"月","火","水","木","金","土","日")),"")</f>
        <v/>
      </c>
      <c r="AA273" s="25" t="str">
        <f aca="false">IF(ISNUMBER(A273),IFERROR(INDEX(集計!$V$3:$V$33,MATCH(A273,集計!$N$3:$N$33,0)),0),"")</f>
        <v/>
      </c>
      <c r="AB273" s="25" t="str">
        <f aca="false">IF(ISNUMBER(A273),IFERROR(INDEX(設定!$F$4:$F$27,MATCH(K273,設定!$E$4:$E$27,0)),""),"")</f>
        <v/>
      </c>
    </row>
    <row r="274" customFormat="false" ht="15" hidden="false" customHeight="false" outlineLevel="0" collapsed="false">
      <c r="Z274" s="25" t="str">
        <f aca="false">IF(ISNUMBER(A274),IF(COUNTIF(祝日!$A:$A,A274)&gt;0,"祝",CHOOSE(WEEKDAY(A274,2),"月","火","水","木","金","土","日")),"")</f>
        <v/>
      </c>
      <c r="AA274" s="25" t="str">
        <f aca="false">IF(ISNUMBER(A274),IFERROR(INDEX(集計!$V$3:$V$33,MATCH(A274,集計!$N$3:$N$33,0)),0),"")</f>
        <v/>
      </c>
      <c r="AB274" s="25" t="str">
        <f aca="false">IF(ISNUMBER(A274),IFERROR(INDEX(設定!$F$4:$F$27,MATCH(K274,設定!$E$4:$E$27,0)),""),"")</f>
        <v/>
      </c>
    </row>
    <row r="275" customFormat="false" ht="15" hidden="false" customHeight="false" outlineLevel="0" collapsed="false">
      <c r="Z275" s="25" t="str">
        <f aca="false">IF(ISNUMBER(A275),IF(COUNTIF(祝日!$A:$A,A275)&gt;0,"祝",CHOOSE(WEEKDAY(A275,2),"月","火","水","木","金","土","日")),"")</f>
        <v/>
      </c>
      <c r="AA275" s="25" t="str">
        <f aca="false">IF(ISNUMBER(A275),IFERROR(INDEX(集計!$V$3:$V$33,MATCH(A275,集計!$N$3:$N$33,0)),0),"")</f>
        <v/>
      </c>
      <c r="AB275" s="25" t="str">
        <f aca="false">IF(ISNUMBER(A275),IFERROR(INDEX(設定!$F$4:$F$27,MATCH(K275,設定!$E$4:$E$27,0)),""),"")</f>
        <v/>
      </c>
    </row>
    <row r="276" customFormat="false" ht="15" hidden="false" customHeight="false" outlineLevel="0" collapsed="false">
      <c r="Z276" s="25" t="str">
        <f aca="false">IF(ISNUMBER(A276),IF(COUNTIF(祝日!$A:$A,A276)&gt;0,"祝",CHOOSE(WEEKDAY(A276,2),"月","火","水","木","金","土","日")),"")</f>
        <v/>
      </c>
      <c r="AA276" s="25" t="str">
        <f aca="false">IF(ISNUMBER(A276),IFERROR(INDEX(集計!$V$3:$V$33,MATCH(A276,集計!$N$3:$N$33,0)),0),"")</f>
        <v/>
      </c>
      <c r="AB276" s="25" t="str">
        <f aca="false">IF(ISNUMBER(A276),IFERROR(INDEX(設定!$F$4:$F$27,MATCH(K276,設定!$E$4:$E$27,0)),""),"")</f>
        <v/>
      </c>
    </row>
    <row r="277" customFormat="false" ht="15" hidden="false" customHeight="false" outlineLevel="0" collapsed="false">
      <c r="Z277" s="25" t="str">
        <f aca="false">IF(ISNUMBER(A277),IF(COUNTIF(祝日!$A:$A,A277)&gt;0,"祝",CHOOSE(WEEKDAY(A277,2),"月","火","水","木","金","土","日")),"")</f>
        <v/>
      </c>
      <c r="AA277" s="25" t="str">
        <f aca="false">IF(ISNUMBER(A277),IFERROR(INDEX(集計!$V$3:$V$33,MATCH(A277,集計!$N$3:$N$33,0)),0),"")</f>
        <v/>
      </c>
      <c r="AB277" s="25" t="str">
        <f aca="false">IF(ISNUMBER(A277),IFERROR(INDEX(設定!$F$4:$F$27,MATCH(K277,設定!$E$4:$E$27,0)),""),"")</f>
        <v/>
      </c>
    </row>
    <row r="278" customFormat="false" ht="15" hidden="false" customHeight="false" outlineLevel="0" collapsed="false">
      <c r="Z278" s="25" t="str">
        <f aca="false">IF(ISNUMBER(A278),IF(COUNTIF(祝日!$A:$A,A278)&gt;0,"祝",CHOOSE(WEEKDAY(A278,2),"月","火","水","木","金","土","日")),"")</f>
        <v/>
      </c>
      <c r="AA278" s="25" t="str">
        <f aca="false">IF(ISNUMBER(A278),IFERROR(INDEX(集計!$V$3:$V$33,MATCH(A278,集計!$N$3:$N$33,0)),0),"")</f>
        <v/>
      </c>
      <c r="AB278" s="25" t="str">
        <f aca="false">IF(ISNUMBER(A278),IFERROR(INDEX(設定!$F$4:$F$27,MATCH(K278,設定!$E$4:$E$27,0)),""),"")</f>
        <v/>
      </c>
    </row>
    <row r="279" customFormat="false" ht="15" hidden="false" customHeight="false" outlineLevel="0" collapsed="false">
      <c r="Z279" s="25" t="str">
        <f aca="false">IF(ISNUMBER(A279),IF(COUNTIF(祝日!$A:$A,A279)&gt;0,"祝",CHOOSE(WEEKDAY(A279,2),"月","火","水","木","金","土","日")),"")</f>
        <v/>
      </c>
      <c r="AA279" s="25" t="str">
        <f aca="false">IF(ISNUMBER(A279),IFERROR(INDEX(集計!$V$3:$V$33,MATCH(A279,集計!$N$3:$N$33,0)),0),"")</f>
        <v/>
      </c>
      <c r="AB279" s="25" t="str">
        <f aca="false">IF(ISNUMBER(A279),IFERROR(INDEX(設定!$F$4:$F$27,MATCH(K279,設定!$E$4:$E$27,0)),""),"")</f>
        <v/>
      </c>
    </row>
    <row r="280" customFormat="false" ht="15" hidden="false" customHeight="false" outlineLevel="0" collapsed="false">
      <c r="Z280" s="25" t="str">
        <f aca="false">IF(ISNUMBER(A280),IF(COUNTIF(祝日!$A:$A,A280)&gt;0,"祝",CHOOSE(WEEKDAY(A280,2),"月","火","水","木","金","土","日")),"")</f>
        <v/>
      </c>
      <c r="AA280" s="25" t="str">
        <f aca="false">IF(ISNUMBER(A280),IFERROR(INDEX(集計!$V$3:$V$33,MATCH(A280,集計!$N$3:$N$33,0)),0),"")</f>
        <v/>
      </c>
      <c r="AB280" s="25" t="str">
        <f aca="false">IF(ISNUMBER(A280),IFERROR(INDEX(設定!$F$4:$F$27,MATCH(K280,設定!$E$4:$E$27,0)),""),"")</f>
        <v/>
      </c>
    </row>
    <row r="281" customFormat="false" ht="15" hidden="false" customHeight="false" outlineLevel="0" collapsed="false">
      <c r="Z281" s="25" t="str">
        <f aca="false">IF(ISNUMBER(A281),IF(COUNTIF(祝日!$A:$A,A281)&gt;0,"祝",CHOOSE(WEEKDAY(A281,2),"月","火","水","木","金","土","日")),"")</f>
        <v/>
      </c>
      <c r="AA281" s="25" t="str">
        <f aca="false">IF(ISNUMBER(A281),IFERROR(INDEX(集計!$V$3:$V$33,MATCH(A281,集計!$N$3:$N$33,0)),0),"")</f>
        <v/>
      </c>
      <c r="AB281" s="25" t="str">
        <f aca="false">IF(ISNUMBER(A281),IFERROR(INDEX(設定!$F$4:$F$27,MATCH(K281,設定!$E$4:$E$27,0)),""),"")</f>
        <v/>
      </c>
    </row>
    <row r="282" customFormat="false" ht="15" hidden="false" customHeight="false" outlineLevel="0" collapsed="false">
      <c r="Z282" s="25" t="str">
        <f aca="false">IF(ISNUMBER(A282),IF(COUNTIF(祝日!$A:$A,A282)&gt;0,"祝",CHOOSE(WEEKDAY(A282,2),"月","火","水","木","金","土","日")),"")</f>
        <v/>
      </c>
      <c r="AA282" s="25" t="str">
        <f aca="false">IF(ISNUMBER(A282),IFERROR(INDEX(集計!$V$3:$V$33,MATCH(A282,集計!$N$3:$N$33,0)),0),"")</f>
        <v/>
      </c>
      <c r="AB282" s="25" t="str">
        <f aca="false">IF(ISNUMBER(A282),IFERROR(INDEX(設定!$F$4:$F$27,MATCH(K282,設定!$E$4:$E$27,0)),""),"")</f>
        <v/>
      </c>
    </row>
    <row r="283" customFormat="false" ht="15" hidden="false" customHeight="false" outlineLevel="0" collapsed="false">
      <c r="Z283" s="25" t="str">
        <f aca="false">IF(ISNUMBER(A283),IF(COUNTIF(祝日!$A:$A,A283)&gt;0,"祝",CHOOSE(WEEKDAY(A283,2),"月","火","水","木","金","土","日")),"")</f>
        <v/>
      </c>
      <c r="AA283" s="25" t="str">
        <f aca="false">IF(ISNUMBER(A283),IFERROR(INDEX(集計!$V$3:$V$33,MATCH(A283,集計!$N$3:$N$33,0)),0),"")</f>
        <v/>
      </c>
      <c r="AB283" s="25" t="str">
        <f aca="false">IF(ISNUMBER(A283),IFERROR(INDEX(設定!$F$4:$F$27,MATCH(K283,設定!$E$4:$E$27,0)),""),"")</f>
        <v/>
      </c>
    </row>
    <row r="284" customFormat="false" ht="15" hidden="false" customHeight="false" outlineLevel="0" collapsed="false">
      <c r="Z284" s="25" t="str">
        <f aca="false">IF(ISNUMBER(A284),IF(COUNTIF(祝日!$A:$A,A284)&gt;0,"祝",CHOOSE(WEEKDAY(A284,2),"月","火","水","木","金","土","日")),"")</f>
        <v/>
      </c>
      <c r="AA284" s="25" t="str">
        <f aca="false">IF(ISNUMBER(A284),IFERROR(INDEX(集計!$V$3:$V$33,MATCH(A284,集計!$N$3:$N$33,0)),0),"")</f>
        <v/>
      </c>
      <c r="AB284" s="25" t="str">
        <f aca="false">IF(ISNUMBER(A284),IFERROR(INDEX(設定!$F$4:$F$27,MATCH(K284,設定!$E$4:$E$27,0)),""),"")</f>
        <v/>
      </c>
    </row>
    <row r="285" customFormat="false" ht="15" hidden="false" customHeight="false" outlineLevel="0" collapsed="false">
      <c r="Z285" s="25" t="str">
        <f aca="false">IF(ISNUMBER(A285),IF(COUNTIF(祝日!$A:$A,A285)&gt;0,"祝",CHOOSE(WEEKDAY(A285,2),"月","火","水","木","金","土","日")),"")</f>
        <v/>
      </c>
      <c r="AA285" s="25" t="str">
        <f aca="false">IF(ISNUMBER(A285),IFERROR(INDEX(集計!$V$3:$V$33,MATCH(A285,集計!$N$3:$N$33,0)),0),"")</f>
        <v/>
      </c>
      <c r="AB285" s="25" t="str">
        <f aca="false">IF(ISNUMBER(A285),IFERROR(INDEX(設定!$F$4:$F$27,MATCH(K285,設定!$E$4:$E$27,0)),""),"")</f>
        <v/>
      </c>
    </row>
    <row r="286" customFormat="false" ht="15" hidden="false" customHeight="false" outlineLevel="0" collapsed="false">
      <c r="Z286" s="25" t="str">
        <f aca="false">IF(ISNUMBER(A286),IF(COUNTIF(祝日!$A:$A,A286)&gt;0,"祝",CHOOSE(WEEKDAY(A286,2),"月","火","水","木","金","土","日")),"")</f>
        <v/>
      </c>
      <c r="AA286" s="25" t="str">
        <f aca="false">IF(ISNUMBER(A286),IFERROR(INDEX(集計!$V$3:$V$33,MATCH(A286,集計!$N$3:$N$33,0)),0),"")</f>
        <v/>
      </c>
      <c r="AB286" s="25" t="str">
        <f aca="false">IF(ISNUMBER(A286),IFERROR(INDEX(設定!$F$4:$F$27,MATCH(K286,設定!$E$4:$E$27,0)),""),"")</f>
        <v/>
      </c>
    </row>
    <row r="287" customFormat="false" ht="15" hidden="false" customHeight="false" outlineLevel="0" collapsed="false">
      <c r="Z287" s="25" t="str">
        <f aca="false">IF(ISNUMBER(A287),IF(COUNTIF(祝日!$A:$A,A287)&gt;0,"祝",CHOOSE(WEEKDAY(A287,2),"月","火","水","木","金","土","日")),"")</f>
        <v/>
      </c>
      <c r="AA287" s="25" t="str">
        <f aca="false">IF(ISNUMBER(A287),IFERROR(INDEX(集計!$V$3:$V$33,MATCH(A287,集計!$N$3:$N$33,0)),0),"")</f>
        <v/>
      </c>
      <c r="AB287" s="25" t="str">
        <f aca="false">IF(ISNUMBER(A287),IFERROR(INDEX(設定!$F$4:$F$27,MATCH(K287,設定!$E$4:$E$27,0)),""),"")</f>
        <v/>
      </c>
    </row>
    <row r="288" customFormat="false" ht="15" hidden="false" customHeight="false" outlineLevel="0" collapsed="false">
      <c r="Z288" s="25" t="str">
        <f aca="false">IF(ISNUMBER(A288),IF(COUNTIF(祝日!$A:$A,A288)&gt;0,"祝",CHOOSE(WEEKDAY(A288,2),"月","火","水","木","金","土","日")),"")</f>
        <v/>
      </c>
      <c r="AA288" s="25" t="str">
        <f aca="false">IF(ISNUMBER(A288),IFERROR(INDEX(集計!$V$3:$V$33,MATCH(A288,集計!$N$3:$N$33,0)),0),"")</f>
        <v/>
      </c>
      <c r="AB288" s="25" t="str">
        <f aca="false">IF(ISNUMBER(A288),IFERROR(INDEX(設定!$F$4:$F$27,MATCH(K288,設定!$E$4:$E$27,0)),""),"")</f>
        <v/>
      </c>
    </row>
    <row r="289" customFormat="false" ht="15" hidden="false" customHeight="false" outlineLevel="0" collapsed="false">
      <c r="Z289" s="25" t="str">
        <f aca="false">IF(ISNUMBER(A289),IF(COUNTIF(祝日!$A:$A,A289)&gt;0,"祝",CHOOSE(WEEKDAY(A289,2),"月","火","水","木","金","土","日")),"")</f>
        <v/>
      </c>
      <c r="AA289" s="25" t="str">
        <f aca="false">IF(ISNUMBER(A289),IFERROR(INDEX(集計!$V$3:$V$33,MATCH(A289,集計!$N$3:$N$33,0)),0),"")</f>
        <v/>
      </c>
      <c r="AB289" s="25" t="str">
        <f aca="false">IF(ISNUMBER(A289),IFERROR(INDEX(設定!$F$4:$F$27,MATCH(K289,設定!$E$4:$E$27,0)),""),"")</f>
        <v/>
      </c>
    </row>
    <row r="290" customFormat="false" ht="15" hidden="false" customHeight="false" outlineLevel="0" collapsed="false">
      <c r="Z290" s="25" t="str">
        <f aca="false">IF(ISNUMBER(A290),IF(COUNTIF(祝日!$A:$A,A290)&gt;0,"祝",CHOOSE(WEEKDAY(A290,2),"月","火","水","木","金","土","日")),"")</f>
        <v/>
      </c>
      <c r="AA290" s="25" t="str">
        <f aca="false">IF(ISNUMBER(A290),IFERROR(INDEX(集計!$V$3:$V$33,MATCH(A290,集計!$N$3:$N$33,0)),0),"")</f>
        <v/>
      </c>
      <c r="AB290" s="25" t="str">
        <f aca="false">IF(ISNUMBER(A290),IFERROR(INDEX(設定!$F$4:$F$27,MATCH(K290,設定!$E$4:$E$27,0)),""),"")</f>
        <v/>
      </c>
    </row>
    <row r="291" customFormat="false" ht="15" hidden="false" customHeight="false" outlineLevel="0" collapsed="false">
      <c r="Z291" s="25" t="str">
        <f aca="false">IF(ISNUMBER(A291),IF(COUNTIF(祝日!$A:$A,A291)&gt;0,"祝",CHOOSE(WEEKDAY(A291,2),"月","火","水","木","金","土","日")),"")</f>
        <v/>
      </c>
      <c r="AA291" s="25" t="str">
        <f aca="false">IF(ISNUMBER(A291),IFERROR(INDEX(集計!$V$3:$V$33,MATCH(A291,集計!$N$3:$N$33,0)),0),"")</f>
        <v/>
      </c>
      <c r="AB291" s="25" t="str">
        <f aca="false">IF(ISNUMBER(A291),IFERROR(INDEX(設定!$F$4:$F$27,MATCH(K291,設定!$E$4:$E$27,0)),""),"")</f>
        <v/>
      </c>
    </row>
    <row r="292" customFormat="false" ht="15" hidden="false" customHeight="false" outlineLevel="0" collapsed="false">
      <c r="Z292" s="25" t="str">
        <f aca="false">IF(ISNUMBER(A292),IF(COUNTIF(祝日!$A:$A,A292)&gt;0,"祝",CHOOSE(WEEKDAY(A292,2),"月","火","水","木","金","土","日")),"")</f>
        <v/>
      </c>
      <c r="AA292" s="25" t="str">
        <f aca="false">IF(ISNUMBER(A292),IFERROR(INDEX(集計!$V$3:$V$33,MATCH(A292,集計!$N$3:$N$33,0)),0),"")</f>
        <v/>
      </c>
      <c r="AB292" s="25" t="str">
        <f aca="false">IF(ISNUMBER(A292),IFERROR(INDEX(設定!$F$4:$F$27,MATCH(K292,設定!$E$4:$E$27,0)),""),"")</f>
        <v/>
      </c>
    </row>
    <row r="293" customFormat="false" ht="15" hidden="false" customHeight="false" outlineLevel="0" collapsed="false">
      <c r="Z293" s="25" t="str">
        <f aca="false">IF(ISNUMBER(A293),IF(COUNTIF(祝日!$A:$A,A293)&gt;0,"祝",CHOOSE(WEEKDAY(A293,2),"月","火","水","木","金","土","日")),"")</f>
        <v/>
      </c>
      <c r="AA293" s="25" t="str">
        <f aca="false">IF(ISNUMBER(A293),IFERROR(INDEX(集計!$V$3:$V$33,MATCH(A293,集計!$N$3:$N$33,0)),0),"")</f>
        <v/>
      </c>
      <c r="AB293" s="25" t="str">
        <f aca="false">IF(ISNUMBER(A293),IFERROR(INDEX(設定!$F$4:$F$27,MATCH(K293,設定!$E$4:$E$27,0)),""),"")</f>
        <v/>
      </c>
    </row>
    <row r="294" customFormat="false" ht="15" hidden="false" customHeight="false" outlineLevel="0" collapsed="false">
      <c r="Z294" s="25" t="str">
        <f aca="false">IF(ISNUMBER(A294),IF(COUNTIF(祝日!$A:$A,A294)&gt;0,"祝",CHOOSE(WEEKDAY(A294,2),"月","火","水","木","金","土","日")),"")</f>
        <v/>
      </c>
      <c r="AA294" s="25" t="str">
        <f aca="false">IF(ISNUMBER(A294),IFERROR(INDEX(集計!$V$3:$V$33,MATCH(A294,集計!$N$3:$N$33,0)),0),"")</f>
        <v/>
      </c>
      <c r="AB294" s="25" t="str">
        <f aca="false">IF(ISNUMBER(A294),IFERROR(INDEX(設定!$F$4:$F$27,MATCH(K294,設定!$E$4:$E$27,0)),""),"")</f>
        <v/>
      </c>
    </row>
    <row r="295" customFormat="false" ht="15" hidden="false" customHeight="false" outlineLevel="0" collapsed="false">
      <c r="Z295" s="25" t="str">
        <f aca="false">IF(ISNUMBER(A295),IF(COUNTIF(祝日!$A:$A,A295)&gt;0,"祝",CHOOSE(WEEKDAY(A295,2),"月","火","水","木","金","土","日")),"")</f>
        <v/>
      </c>
      <c r="AA295" s="25" t="str">
        <f aca="false">IF(ISNUMBER(A295),IFERROR(INDEX(集計!$V$3:$V$33,MATCH(A295,集計!$N$3:$N$33,0)),0),"")</f>
        <v/>
      </c>
      <c r="AB295" s="25" t="str">
        <f aca="false">IF(ISNUMBER(A295),IFERROR(INDEX(設定!$F$4:$F$27,MATCH(K295,設定!$E$4:$E$27,0)),""),"")</f>
        <v/>
      </c>
    </row>
    <row r="296" customFormat="false" ht="15" hidden="false" customHeight="false" outlineLevel="0" collapsed="false">
      <c r="Z296" s="25" t="str">
        <f aca="false">IF(ISNUMBER(A296),IF(COUNTIF(祝日!$A:$A,A296)&gt;0,"祝",CHOOSE(WEEKDAY(A296,2),"月","火","水","木","金","土","日")),"")</f>
        <v/>
      </c>
      <c r="AA296" s="25" t="str">
        <f aca="false">IF(ISNUMBER(A296),IFERROR(INDEX(集計!$V$3:$V$33,MATCH(A296,集計!$N$3:$N$33,0)),0),"")</f>
        <v/>
      </c>
      <c r="AB296" s="25" t="str">
        <f aca="false">IF(ISNUMBER(A296),IFERROR(INDEX(設定!$F$4:$F$27,MATCH(K296,設定!$E$4:$E$27,0)),""),"")</f>
        <v/>
      </c>
    </row>
    <row r="297" customFormat="false" ht="15" hidden="false" customHeight="false" outlineLevel="0" collapsed="false">
      <c r="Z297" s="25" t="str">
        <f aca="false">IF(ISNUMBER(A297),IF(COUNTIF(祝日!$A:$A,A297)&gt;0,"祝",CHOOSE(WEEKDAY(A297,2),"月","火","水","木","金","土","日")),"")</f>
        <v/>
      </c>
      <c r="AA297" s="25" t="str">
        <f aca="false">IF(ISNUMBER(A297),IFERROR(INDEX(集計!$V$3:$V$33,MATCH(A297,集計!$N$3:$N$33,0)),0),"")</f>
        <v/>
      </c>
      <c r="AB297" s="25" t="str">
        <f aca="false">IF(ISNUMBER(A297),IFERROR(INDEX(設定!$F$4:$F$27,MATCH(K297,設定!$E$4:$E$27,0)),""),"")</f>
        <v/>
      </c>
    </row>
    <row r="298" customFormat="false" ht="15" hidden="false" customHeight="false" outlineLevel="0" collapsed="false">
      <c r="Z298" s="25" t="str">
        <f aca="false">IF(ISNUMBER(A298),IF(COUNTIF(祝日!$A:$A,A298)&gt;0,"祝",CHOOSE(WEEKDAY(A298,2),"月","火","水","木","金","土","日")),"")</f>
        <v/>
      </c>
      <c r="AA298" s="25" t="str">
        <f aca="false">IF(ISNUMBER(A298),IFERROR(INDEX(集計!$V$3:$V$33,MATCH(A298,集計!$N$3:$N$33,0)),0),"")</f>
        <v/>
      </c>
      <c r="AB298" s="25" t="str">
        <f aca="false">IF(ISNUMBER(A298),IFERROR(INDEX(設定!$F$4:$F$27,MATCH(K298,設定!$E$4:$E$27,0)),""),"")</f>
        <v/>
      </c>
    </row>
    <row r="299" customFormat="false" ht="15" hidden="false" customHeight="false" outlineLevel="0" collapsed="false">
      <c r="Z299" s="25" t="str">
        <f aca="false">IF(ISNUMBER(A299),IF(COUNTIF(祝日!$A:$A,A299)&gt;0,"祝",CHOOSE(WEEKDAY(A299,2),"月","火","水","木","金","土","日")),"")</f>
        <v/>
      </c>
      <c r="AA299" s="25" t="str">
        <f aca="false">IF(ISNUMBER(A299),IFERROR(INDEX(集計!$V$3:$V$33,MATCH(A299,集計!$N$3:$N$33,0)),0),"")</f>
        <v/>
      </c>
      <c r="AB299" s="25" t="str">
        <f aca="false">IF(ISNUMBER(A299),IFERROR(INDEX(設定!$F$4:$F$27,MATCH(K299,設定!$E$4:$E$27,0)),""),"")</f>
        <v/>
      </c>
    </row>
    <row r="300" customFormat="false" ht="15" hidden="false" customHeight="false" outlineLevel="0" collapsed="false">
      <c r="Z300" s="25" t="str">
        <f aca="false">IF(ISNUMBER(A300),IF(COUNTIF(祝日!$A:$A,A300)&gt;0,"祝",CHOOSE(WEEKDAY(A300,2),"月","火","水","木","金","土","日")),"")</f>
        <v/>
      </c>
      <c r="AA300" s="25" t="str">
        <f aca="false">IF(ISNUMBER(A300),IFERROR(INDEX(集計!$V$3:$V$33,MATCH(A300,集計!$N$3:$N$33,0)),0),"")</f>
        <v/>
      </c>
      <c r="AB300" s="25" t="str">
        <f aca="false">IF(ISNUMBER(A300),IFERROR(INDEX(設定!$F$4:$F$27,MATCH(K300,設定!$E$4:$E$27,0)),""),"")</f>
        <v/>
      </c>
    </row>
    <row r="301" customFormat="false" ht="15" hidden="false" customHeight="false" outlineLevel="0" collapsed="false">
      <c r="Z301" s="25" t="str">
        <f aca="false">IF(ISNUMBER(A301),IF(COUNTIF(祝日!$A:$A,A301)&gt;0,"祝",CHOOSE(WEEKDAY(A301,2),"月","火","水","木","金","土","日")),"")</f>
        <v/>
      </c>
      <c r="AA301" s="25" t="str">
        <f aca="false">IF(ISNUMBER(A301),IFERROR(INDEX(集計!$V$3:$V$33,MATCH(A301,集計!$N$3:$N$33,0)),0),"")</f>
        <v/>
      </c>
      <c r="AB301" s="25" t="str">
        <f aca="false">IF(ISNUMBER(A301),IFERROR(INDEX(設定!$F$4:$F$27,MATCH(K301,設定!$E$4:$E$27,0)),""),"")</f>
        <v/>
      </c>
    </row>
    <row r="302" customFormat="false" ht="15" hidden="false" customHeight="false" outlineLevel="0" collapsed="false">
      <c r="Z302" s="25" t="str">
        <f aca="false">IF(ISNUMBER(A302),IF(COUNTIF(祝日!$A:$A,A302)&gt;0,"祝",CHOOSE(WEEKDAY(A302,2),"月","火","水","木","金","土","日")),"")</f>
        <v/>
      </c>
      <c r="AA302" s="25" t="str">
        <f aca="false">IF(ISNUMBER(A302),IFERROR(INDEX(集計!$V$3:$V$33,MATCH(A302,集計!$N$3:$N$33,0)),0),"")</f>
        <v/>
      </c>
      <c r="AB302" s="25" t="str">
        <f aca="false">IF(ISNUMBER(A302),IFERROR(INDEX(設定!$F$4:$F$27,MATCH(K302,設定!$E$4:$E$27,0)),""),"")</f>
        <v/>
      </c>
    </row>
    <row r="303" customFormat="false" ht="15" hidden="false" customHeight="false" outlineLevel="0" collapsed="false">
      <c r="Z303" s="25" t="str">
        <f aca="false">IF(ISNUMBER(A303),IF(COUNTIF(祝日!$A:$A,A303)&gt;0,"祝",CHOOSE(WEEKDAY(A303,2),"月","火","水","木","金","土","日")),"")</f>
        <v/>
      </c>
      <c r="AA303" s="25" t="str">
        <f aca="false">IF(ISNUMBER(A303),IFERROR(INDEX(集計!$V$3:$V$33,MATCH(A303,集計!$N$3:$N$33,0)),0),"")</f>
        <v/>
      </c>
      <c r="AB303" s="25" t="str">
        <f aca="false">IF(ISNUMBER(A303),IFERROR(INDEX(設定!$F$4:$F$27,MATCH(K303,設定!$E$4:$E$27,0)),""),"")</f>
        <v/>
      </c>
    </row>
    <row r="304" customFormat="false" ht="15" hidden="false" customHeight="false" outlineLevel="0" collapsed="false">
      <c r="Z304" s="25" t="str">
        <f aca="false">IF(ISNUMBER(A304),IF(COUNTIF(祝日!$A:$A,A304)&gt;0,"祝",CHOOSE(WEEKDAY(A304,2),"月","火","水","木","金","土","日")),"")</f>
        <v/>
      </c>
      <c r="AA304" s="25" t="str">
        <f aca="false">IF(ISNUMBER(A304),IFERROR(INDEX(集計!$V$3:$V$33,MATCH(A304,集計!$N$3:$N$33,0)),0),"")</f>
        <v/>
      </c>
      <c r="AB304" s="25" t="str">
        <f aca="false">IF(ISNUMBER(A304),IFERROR(INDEX(設定!$F$4:$F$27,MATCH(K304,設定!$E$4:$E$27,0)),""),"")</f>
        <v/>
      </c>
    </row>
    <row r="305" customFormat="false" ht="15" hidden="false" customHeight="false" outlineLevel="0" collapsed="false">
      <c r="Z305" s="25" t="str">
        <f aca="false">IF(ISNUMBER(A305),IF(COUNTIF(祝日!$A:$A,A305)&gt;0,"祝",CHOOSE(WEEKDAY(A305,2),"月","火","水","木","金","土","日")),"")</f>
        <v/>
      </c>
      <c r="AA305" s="25" t="str">
        <f aca="false">IF(ISNUMBER(A305),IFERROR(INDEX(集計!$V$3:$V$33,MATCH(A305,集計!$N$3:$N$33,0)),0),"")</f>
        <v/>
      </c>
      <c r="AB305" s="25" t="str">
        <f aca="false">IF(ISNUMBER(A305),IFERROR(INDEX(設定!$F$4:$F$27,MATCH(K305,設定!$E$4:$E$27,0)),""),"")</f>
        <v/>
      </c>
    </row>
    <row r="306" customFormat="false" ht="15" hidden="false" customHeight="false" outlineLevel="0" collapsed="false">
      <c r="Z306" s="25" t="str">
        <f aca="false">IF(ISNUMBER(A306),IF(COUNTIF(祝日!$A:$A,A306)&gt;0,"祝",CHOOSE(WEEKDAY(A306,2),"月","火","水","木","金","土","日")),"")</f>
        <v/>
      </c>
      <c r="AA306" s="25" t="str">
        <f aca="false">IF(ISNUMBER(A306),IFERROR(INDEX(集計!$V$3:$V$33,MATCH(A306,集計!$N$3:$N$33,0)),0),"")</f>
        <v/>
      </c>
      <c r="AB306" s="25" t="str">
        <f aca="false">IF(ISNUMBER(A306),IFERROR(INDEX(設定!$F$4:$F$27,MATCH(K306,設定!$E$4:$E$27,0)),""),"")</f>
        <v/>
      </c>
    </row>
    <row r="307" customFormat="false" ht="15" hidden="false" customHeight="false" outlineLevel="0" collapsed="false">
      <c r="Z307" s="25" t="str">
        <f aca="false">IF(ISNUMBER(A307),IF(COUNTIF(祝日!$A:$A,A307)&gt;0,"祝",CHOOSE(WEEKDAY(A307,2),"月","火","水","木","金","土","日")),"")</f>
        <v/>
      </c>
      <c r="AA307" s="25" t="str">
        <f aca="false">IF(ISNUMBER(A307),IFERROR(INDEX(集計!$V$3:$V$33,MATCH(A307,集計!$N$3:$N$33,0)),0),"")</f>
        <v/>
      </c>
      <c r="AB307" s="25" t="str">
        <f aca="false">IF(ISNUMBER(A307),IFERROR(INDEX(設定!$F$4:$F$27,MATCH(K307,設定!$E$4:$E$27,0)),""),"")</f>
        <v/>
      </c>
    </row>
    <row r="308" customFormat="false" ht="15" hidden="false" customHeight="false" outlineLevel="0" collapsed="false">
      <c r="Z308" s="25" t="str">
        <f aca="false">IF(ISNUMBER(A308),IF(COUNTIF(祝日!$A:$A,A308)&gt;0,"祝",CHOOSE(WEEKDAY(A308,2),"月","火","水","木","金","土","日")),"")</f>
        <v/>
      </c>
      <c r="AA308" s="25" t="str">
        <f aca="false">IF(ISNUMBER(A308),IFERROR(INDEX(集計!$V$3:$V$33,MATCH(A308,集計!$N$3:$N$33,0)),0),"")</f>
        <v/>
      </c>
      <c r="AB308" s="25" t="str">
        <f aca="false">IF(ISNUMBER(A308),IFERROR(INDEX(設定!$F$4:$F$27,MATCH(K308,設定!$E$4:$E$27,0)),""),"")</f>
        <v/>
      </c>
    </row>
    <row r="309" customFormat="false" ht="15" hidden="false" customHeight="false" outlineLevel="0" collapsed="false">
      <c r="Z309" s="25" t="str">
        <f aca="false">IF(ISNUMBER(A309),IF(COUNTIF(祝日!$A:$A,A309)&gt;0,"祝",CHOOSE(WEEKDAY(A309,2),"月","火","水","木","金","土","日")),"")</f>
        <v/>
      </c>
      <c r="AA309" s="25" t="str">
        <f aca="false">IF(ISNUMBER(A309),IFERROR(INDEX(集計!$V$3:$V$33,MATCH(A309,集計!$N$3:$N$33,0)),0),"")</f>
        <v/>
      </c>
      <c r="AB309" s="25" t="str">
        <f aca="false">IF(ISNUMBER(A309),IFERROR(INDEX(設定!$F$4:$F$27,MATCH(K309,設定!$E$4:$E$27,0)),""),"")</f>
        <v/>
      </c>
    </row>
    <row r="310" customFormat="false" ht="15" hidden="false" customHeight="false" outlineLevel="0" collapsed="false">
      <c r="Z310" s="25" t="str">
        <f aca="false">IF(ISNUMBER(A310),IF(COUNTIF(祝日!$A:$A,A310)&gt;0,"祝",CHOOSE(WEEKDAY(A310,2),"月","火","水","木","金","土","日")),"")</f>
        <v/>
      </c>
      <c r="AA310" s="25" t="str">
        <f aca="false">IF(ISNUMBER(A310),IFERROR(INDEX(集計!$V$3:$V$33,MATCH(A310,集計!$N$3:$N$33,0)),0),"")</f>
        <v/>
      </c>
      <c r="AB310" s="25" t="str">
        <f aca="false">IF(ISNUMBER(A310),IFERROR(INDEX(設定!$F$4:$F$27,MATCH(K310,設定!$E$4:$E$27,0)),""),"")</f>
        <v/>
      </c>
    </row>
    <row r="311" customFormat="false" ht="15" hidden="false" customHeight="false" outlineLevel="0" collapsed="false">
      <c r="Z311" s="25" t="str">
        <f aca="false">IF(ISNUMBER(A311),IF(COUNTIF(祝日!$A:$A,A311)&gt;0,"祝",CHOOSE(WEEKDAY(A311,2),"月","火","水","木","金","土","日")),"")</f>
        <v/>
      </c>
      <c r="AA311" s="25" t="str">
        <f aca="false">IF(ISNUMBER(A311),IFERROR(INDEX(集計!$V$3:$V$33,MATCH(A311,集計!$N$3:$N$33,0)),0),"")</f>
        <v/>
      </c>
      <c r="AB311" s="25" t="str">
        <f aca="false">IF(ISNUMBER(A311),IFERROR(INDEX(設定!$F$4:$F$27,MATCH(K311,設定!$E$4:$E$27,0)),""),"")</f>
        <v/>
      </c>
    </row>
    <row r="312" customFormat="false" ht="15" hidden="false" customHeight="false" outlineLevel="0" collapsed="false">
      <c r="Z312" s="25" t="str">
        <f aca="false">IF(ISNUMBER(A312),IF(COUNTIF(祝日!$A:$A,A312)&gt;0,"祝",CHOOSE(WEEKDAY(A312,2),"月","火","水","木","金","土","日")),"")</f>
        <v/>
      </c>
      <c r="AA312" s="25" t="str">
        <f aca="false">IF(ISNUMBER(A312),IFERROR(INDEX(集計!$V$3:$V$33,MATCH(A312,集計!$N$3:$N$33,0)),0),"")</f>
        <v/>
      </c>
      <c r="AB312" s="25" t="str">
        <f aca="false">IF(ISNUMBER(A312),IFERROR(INDEX(設定!$F$4:$F$27,MATCH(K312,設定!$E$4:$E$27,0)),""),"")</f>
        <v/>
      </c>
    </row>
    <row r="313" customFormat="false" ht="15" hidden="false" customHeight="false" outlineLevel="0" collapsed="false">
      <c r="Z313" s="25" t="str">
        <f aca="false">IF(ISNUMBER(A313),IF(COUNTIF(祝日!$A:$A,A313)&gt;0,"祝",CHOOSE(WEEKDAY(A313,2),"月","火","水","木","金","土","日")),"")</f>
        <v/>
      </c>
      <c r="AA313" s="25" t="str">
        <f aca="false">IF(ISNUMBER(A313),IFERROR(INDEX(集計!$V$3:$V$33,MATCH(A313,集計!$N$3:$N$33,0)),0),"")</f>
        <v/>
      </c>
      <c r="AB313" s="25" t="str">
        <f aca="false">IF(ISNUMBER(A313),IFERROR(INDEX(設定!$F$4:$F$27,MATCH(K313,設定!$E$4:$E$27,0)),""),"")</f>
        <v/>
      </c>
    </row>
    <row r="314" customFormat="false" ht="15" hidden="false" customHeight="false" outlineLevel="0" collapsed="false">
      <c r="Z314" s="25" t="str">
        <f aca="false">IF(ISNUMBER(A314),IF(COUNTIF(祝日!$A:$A,A314)&gt;0,"祝",CHOOSE(WEEKDAY(A314,2),"月","火","水","木","金","土","日")),"")</f>
        <v/>
      </c>
      <c r="AA314" s="25" t="str">
        <f aca="false">IF(ISNUMBER(A314),IFERROR(INDEX(集計!$V$3:$V$33,MATCH(A314,集計!$N$3:$N$33,0)),0),"")</f>
        <v/>
      </c>
      <c r="AB314" s="25" t="str">
        <f aca="false">IF(ISNUMBER(A314),IFERROR(INDEX(設定!$F$4:$F$27,MATCH(K314,設定!$E$4:$E$27,0)),""),"")</f>
        <v/>
      </c>
    </row>
    <row r="315" customFormat="false" ht="15" hidden="false" customHeight="false" outlineLevel="0" collapsed="false">
      <c r="Z315" s="25" t="str">
        <f aca="false">IF(ISNUMBER(A315),IF(COUNTIF(祝日!$A:$A,A315)&gt;0,"祝",CHOOSE(WEEKDAY(A315,2),"月","火","水","木","金","土","日")),"")</f>
        <v/>
      </c>
      <c r="AA315" s="25" t="str">
        <f aca="false">IF(ISNUMBER(A315),IFERROR(INDEX(集計!$V$3:$V$33,MATCH(A315,集計!$N$3:$N$33,0)),0),"")</f>
        <v/>
      </c>
      <c r="AB315" s="25" t="str">
        <f aca="false">IF(ISNUMBER(A315),IFERROR(INDEX(設定!$F$4:$F$27,MATCH(K315,設定!$E$4:$E$27,0)),""),"")</f>
        <v/>
      </c>
    </row>
    <row r="316" customFormat="false" ht="15" hidden="false" customHeight="false" outlineLevel="0" collapsed="false">
      <c r="Z316" s="25" t="str">
        <f aca="false">IF(ISNUMBER(A316),IF(COUNTIF(祝日!$A:$A,A316)&gt;0,"祝",CHOOSE(WEEKDAY(A316,2),"月","火","水","木","金","土","日")),"")</f>
        <v/>
      </c>
      <c r="AA316" s="25" t="str">
        <f aca="false">IF(ISNUMBER(A316),IFERROR(INDEX(集計!$V$3:$V$33,MATCH(A316,集計!$N$3:$N$33,0)),0),"")</f>
        <v/>
      </c>
      <c r="AB316" s="25" t="str">
        <f aca="false">IF(ISNUMBER(A316),IFERROR(INDEX(設定!$F$4:$F$27,MATCH(K316,設定!$E$4:$E$27,0)),""),"")</f>
        <v/>
      </c>
    </row>
    <row r="317" customFormat="false" ht="15" hidden="false" customHeight="false" outlineLevel="0" collapsed="false">
      <c r="Z317" s="25" t="str">
        <f aca="false">IF(ISNUMBER(A317),IF(COUNTIF(祝日!$A:$A,A317)&gt;0,"祝",CHOOSE(WEEKDAY(A317,2),"月","火","水","木","金","土","日")),"")</f>
        <v/>
      </c>
      <c r="AA317" s="25" t="str">
        <f aca="false">IF(ISNUMBER(A317),IFERROR(INDEX(集計!$V$3:$V$33,MATCH(A317,集計!$N$3:$N$33,0)),0),"")</f>
        <v/>
      </c>
      <c r="AB317" s="25" t="str">
        <f aca="false">IF(ISNUMBER(A317),IFERROR(INDEX(設定!$F$4:$F$27,MATCH(K317,設定!$E$4:$E$27,0)),""),"")</f>
        <v/>
      </c>
    </row>
    <row r="318" customFormat="false" ht="15" hidden="false" customHeight="false" outlineLevel="0" collapsed="false">
      <c r="Z318" s="25" t="str">
        <f aca="false">IF(ISNUMBER(A318),IF(COUNTIF(祝日!$A:$A,A318)&gt;0,"祝",CHOOSE(WEEKDAY(A318,2),"月","火","水","木","金","土","日")),"")</f>
        <v/>
      </c>
      <c r="AA318" s="25" t="str">
        <f aca="false">IF(ISNUMBER(A318),IFERROR(INDEX(集計!$V$3:$V$33,MATCH(A318,集計!$N$3:$N$33,0)),0),"")</f>
        <v/>
      </c>
      <c r="AB318" s="25" t="str">
        <f aca="false">IF(ISNUMBER(A318),IFERROR(INDEX(設定!$F$4:$F$27,MATCH(K318,設定!$E$4:$E$27,0)),""),"")</f>
        <v/>
      </c>
    </row>
    <row r="319" customFormat="false" ht="15" hidden="false" customHeight="false" outlineLevel="0" collapsed="false">
      <c r="Z319" s="25" t="str">
        <f aca="false">IF(ISNUMBER(A319),IF(COUNTIF(祝日!$A:$A,A319)&gt;0,"祝",CHOOSE(WEEKDAY(A319,2),"月","火","水","木","金","土","日")),"")</f>
        <v/>
      </c>
      <c r="AA319" s="25" t="str">
        <f aca="false">IF(ISNUMBER(A319),IFERROR(INDEX(集計!$V$3:$V$33,MATCH(A319,集計!$N$3:$N$33,0)),0),"")</f>
        <v/>
      </c>
      <c r="AB319" s="25" t="str">
        <f aca="false">IF(ISNUMBER(A319),IFERROR(INDEX(設定!$F$4:$F$27,MATCH(K319,設定!$E$4:$E$27,0)),""),"")</f>
        <v/>
      </c>
    </row>
    <row r="320" customFormat="false" ht="15" hidden="false" customHeight="false" outlineLevel="0" collapsed="false">
      <c r="Z320" s="25" t="str">
        <f aca="false">IF(ISNUMBER(A320),IF(COUNTIF(祝日!$A:$A,A320)&gt;0,"祝",CHOOSE(WEEKDAY(A320,2),"月","火","水","木","金","土","日")),"")</f>
        <v/>
      </c>
      <c r="AA320" s="25" t="str">
        <f aca="false">IF(ISNUMBER(A320),IFERROR(INDEX(集計!$V$3:$V$33,MATCH(A320,集計!$N$3:$N$33,0)),0),"")</f>
        <v/>
      </c>
      <c r="AB320" s="25" t="str">
        <f aca="false">IF(ISNUMBER(A320),IFERROR(INDEX(設定!$F$4:$F$27,MATCH(K320,設定!$E$4:$E$27,0)),""),"")</f>
        <v/>
      </c>
    </row>
    <row r="321" customFormat="false" ht="15" hidden="false" customHeight="false" outlineLevel="0" collapsed="false">
      <c r="Z321" s="25" t="str">
        <f aca="false">IF(ISNUMBER(A321),IF(COUNTIF(祝日!$A:$A,A321)&gt;0,"祝",CHOOSE(WEEKDAY(A321,2),"月","火","水","木","金","土","日")),"")</f>
        <v/>
      </c>
      <c r="AA321" s="25" t="str">
        <f aca="false">IF(ISNUMBER(A321),IFERROR(INDEX(集計!$V$3:$V$33,MATCH(A321,集計!$N$3:$N$33,0)),0),"")</f>
        <v/>
      </c>
      <c r="AB321" s="25" t="str">
        <f aca="false">IF(ISNUMBER(A321),IFERROR(INDEX(設定!$F$4:$F$27,MATCH(K321,設定!$E$4:$E$27,0)),""),"")</f>
        <v/>
      </c>
    </row>
    <row r="322" customFormat="false" ht="15" hidden="false" customHeight="false" outlineLevel="0" collapsed="false">
      <c r="Z322" s="25" t="str">
        <f aca="false">IF(ISNUMBER(A322),IF(COUNTIF(祝日!$A:$A,A322)&gt;0,"祝",CHOOSE(WEEKDAY(A322,2),"月","火","水","木","金","土","日")),"")</f>
        <v/>
      </c>
      <c r="AA322" s="25" t="str">
        <f aca="false">IF(ISNUMBER(A322),IFERROR(INDEX(集計!$V$3:$V$33,MATCH(A322,集計!$N$3:$N$33,0)),0),"")</f>
        <v/>
      </c>
      <c r="AB322" s="25" t="str">
        <f aca="false">IF(ISNUMBER(A322),IFERROR(INDEX(設定!$F$4:$F$27,MATCH(K322,設定!$E$4:$E$27,0)),""),"")</f>
        <v/>
      </c>
    </row>
    <row r="323" customFormat="false" ht="15" hidden="false" customHeight="false" outlineLevel="0" collapsed="false">
      <c r="Z323" s="25" t="str">
        <f aca="false">IF(ISNUMBER(A323),IF(COUNTIF(祝日!$A:$A,A323)&gt;0,"祝",CHOOSE(WEEKDAY(A323,2),"月","火","水","木","金","土","日")),"")</f>
        <v/>
      </c>
      <c r="AA323" s="25" t="str">
        <f aca="false">IF(ISNUMBER(A323),IFERROR(INDEX(集計!$V$3:$V$33,MATCH(A323,集計!$N$3:$N$33,0)),0),"")</f>
        <v/>
      </c>
      <c r="AB323" s="25" t="str">
        <f aca="false">IF(ISNUMBER(A323),IFERROR(INDEX(設定!$F$4:$F$27,MATCH(K323,設定!$E$4:$E$27,0)),""),"")</f>
        <v/>
      </c>
    </row>
    <row r="324" customFormat="false" ht="15" hidden="false" customHeight="false" outlineLevel="0" collapsed="false">
      <c r="Z324" s="25" t="str">
        <f aca="false">IF(ISNUMBER(A324),IF(COUNTIF(祝日!$A:$A,A324)&gt;0,"祝",CHOOSE(WEEKDAY(A324,2),"月","火","水","木","金","土","日")),"")</f>
        <v/>
      </c>
      <c r="AA324" s="25" t="str">
        <f aca="false">IF(ISNUMBER(A324),IFERROR(INDEX(集計!$V$3:$V$33,MATCH(A324,集計!$N$3:$N$33,0)),0),"")</f>
        <v/>
      </c>
      <c r="AB324" s="25" t="str">
        <f aca="false">IF(ISNUMBER(A324),IFERROR(INDEX(設定!$F$4:$F$27,MATCH(K324,設定!$E$4:$E$27,0)),""),"")</f>
        <v/>
      </c>
    </row>
    <row r="325" customFormat="false" ht="15" hidden="false" customHeight="false" outlineLevel="0" collapsed="false">
      <c r="Z325" s="25" t="str">
        <f aca="false">IF(ISNUMBER(A325),IF(COUNTIF(祝日!$A:$A,A325)&gt;0,"祝",CHOOSE(WEEKDAY(A325,2),"月","火","水","木","金","土","日")),"")</f>
        <v/>
      </c>
      <c r="AA325" s="25" t="str">
        <f aca="false">IF(ISNUMBER(A325),IFERROR(INDEX(集計!$V$3:$V$33,MATCH(A325,集計!$N$3:$N$33,0)),0),"")</f>
        <v/>
      </c>
      <c r="AB325" s="25" t="str">
        <f aca="false">IF(ISNUMBER(A325),IFERROR(INDEX(設定!$F$4:$F$27,MATCH(K325,設定!$E$4:$E$27,0)),""),"")</f>
        <v/>
      </c>
    </row>
    <row r="326" customFormat="false" ht="15" hidden="false" customHeight="false" outlineLevel="0" collapsed="false">
      <c r="Z326" s="25" t="str">
        <f aca="false">IF(ISNUMBER(A326),IF(COUNTIF(祝日!$A:$A,A326)&gt;0,"祝",CHOOSE(WEEKDAY(A326,2),"月","火","水","木","金","土","日")),"")</f>
        <v/>
      </c>
      <c r="AA326" s="25" t="str">
        <f aca="false">IF(ISNUMBER(A326),IFERROR(INDEX(集計!$V$3:$V$33,MATCH(A326,集計!$N$3:$N$33,0)),0),"")</f>
        <v/>
      </c>
      <c r="AB326" s="25" t="str">
        <f aca="false">IF(ISNUMBER(A326),IFERROR(INDEX(設定!$F$4:$F$27,MATCH(K326,設定!$E$4:$E$27,0)),""),"")</f>
        <v/>
      </c>
    </row>
    <row r="327" customFormat="false" ht="15" hidden="false" customHeight="false" outlineLevel="0" collapsed="false">
      <c r="Z327" s="25" t="str">
        <f aca="false">IF(ISNUMBER(A327),IF(COUNTIF(祝日!$A:$A,A327)&gt;0,"祝",CHOOSE(WEEKDAY(A327,2),"月","火","水","木","金","土","日")),"")</f>
        <v/>
      </c>
      <c r="AA327" s="25" t="str">
        <f aca="false">IF(ISNUMBER(A327),IFERROR(INDEX(集計!$V$3:$V$33,MATCH(A327,集計!$N$3:$N$33,0)),0),"")</f>
        <v/>
      </c>
      <c r="AB327" s="25" t="str">
        <f aca="false">IF(ISNUMBER(A327),IFERROR(INDEX(設定!$F$4:$F$27,MATCH(K327,設定!$E$4:$E$27,0)),""),"")</f>
        <v/>
      </c>
    </row>
    <row r="328" customFormat="false" ht="15" hidden="false" customHeight="false" outlineLevel="0" collapsed="false">
      <c r="Z328" s="25" t="str">
        <f aca="false">IF(ISNUMBER(A328),IF(COUNTIF(祝日!$A:$A,A328)&gt;0,"祝",CHOOSE(WEEKDAY(A328,2),"月","火","水","木","金","土","日")),"")</f>
        <v/>
      </c>
      <c r="AA328" s="25" t="str">
        <f aca="false">IF(ISNUMBER(A328),IFERROR(INDEX(集計!$V$3:$V$33,MATCH(A328,集計!$N$3:$N$33,0)),0),"")</f>
        <v/>
      </c>
      <c r="AB328" s="25" t="str">
        <f aca="false">IF(ISNUMBER(A328),IFERROR(INDEX(設定!$F$4:$F$27,MATCH(K328,設定!$E$4:$E$27,0)),""),"")</f>
        <v/>
      </c>
    </row>
    <row r="329" customFormat="false" ht="15" hidden="false" customHeight="false" outlineLevel="0" collapsed="false">
      <c r="Z329" s="25" t="str">
        <f aca="false">IF(ISNUMBER(A329),IF(COUNTIF(祝日!$A:$A,A329)&gt;0,"祝",CHOOSE(WEEKDAY(A329,2),"月","火","水","木","金","土","日")),"")</f>
        <v/>
      </c>
      <c r="AA329" s="25" t="str">
        <f aca="false">IF(ISNUMBER(A329),IFERROR(INDEX(集計!$V$3:$V$33,MATCH(A329,集計!$N$3:$N$33,0)),0),"")</f>
        <v/>
      </c>
      <c r="AB329" s="25" t="str">
        <f aca="false">IF(ISNUMBER(A329),IFERROR(INDEX(設定!$F$4:$F$27,MATCH(K329,設定!$E$4:$E$27,0)),""),"")</f>
        <v/>
      </c>
    </row>
    <row r="330" customFormat="false" ht="15" hidden="false" customHeight="false" outlineLevel="0" collapsed="false">
      <c r="Z330" s="25" t="str">
        <f aca="false">IF(ISNUMBER(A330),IF(COUNTIF(祝日!$A:$A,A330)&gt;0,"祝",CHOOSE(WEEKDAY(A330,2),"月","火","水","木","金","土","日")),"")</f>
        <v/>
      </c>
      <c r="AA330" s="25" t="str">
        <f aca="false">IF(ISNUMBER(A330),IFERROR(INDEX(集計!$V$3:$V$33,MATCH(A330,集計!$N$3:$N$33,0)),0),"")</f>
        <v/>
      </c>
      <c r="AB330" s="25" t="str">
        <f aca="false">IF(ISNUMBER(A330),IFERROR(INDEX(設定!$F$4:$F$27,MATCH(K330,設定!$E$4:$E$27,0)),""),"")</f>
        <v/>
      </c>
    </row>
    <row r="331" customFormat="false" ht="15" hidden="false" customHeight="false" outlineLevel="0" collapsed="false">
      <c r="Z331" s="25" t="str">
        <f aca="false">IF(ISNUMBER(A331),IF(COUNTIF(祝日!$A:$A,A331)&gt;0,"祝",CHOOSE(WEEKDAY(A331,2),"月","火","水","木","金","土","日")),"")</f>
        <v/>
      </c>
      <c r="AA331" s="25" t="str">
        <f aca="false">IF(ISNUMBER(A331),IFERROR(INDEX(集計!$V$3:$V$33,MATCH(A331,集計!$N$3:$N$33,0)),0),"")</f>
        <v/>
      </c>
      <c r="AB331" s="25" t="str">
        <f aca="false">IF(ISNUMBER(A331),IFERROR(INDEX(設定!$F$4:$F$27,MATCH(K331,設定!$E$4:$E$27,0)),""),"")</f>
        <v/>
      </c>
    </row>
    <row r="332" customFormat="false" ht="15" hidden="false" customHeight="false" outlineLevel="0" collapsed="false">
      <c r="Z332" s="25" t="str">
        <f aca="false">IF(ISNUMBER(A332),IF(COUNTIF(祝日!$A:$A,A332)&gt;0,"祝",CHOOSE(WEEKDAY(A332,2),"月","火","水","木","金","土","日")),"")</f>
        <v/>
      </c>
      <c r="AA332" s="25" t="str">
        <f aca="false">IF(ISNUMBER(A332),IFERROR(INDEX(集計!$V$3:$V$33,MATCH(A332,集計!$N$3:$N$33,0)),0),"")</f>
        <v/>
      </c>
      <c r="AB332" s="25" t="str">
        <f aca="false">IF(ISNUMBER(A332),IFERROR(INDEX(設定!$F$4:$F$27,MATCH(K332,設定!$E$4:$E$27,0)),""),"")</f>
        <v/>
      </c>
    </row>
    <row r="333" customFormat="false" ht="15" hidden="false" customHeight="false" outlineLevel="0" collapsed="false">
      <c r="Z333" s="25" t="str">
        <f aca="false">IF(ISNUMBER(A333),IF(COUNTIF(祝日!$A:$A,A333)&gt;0,"祝",CHOOSE(WEEKDAY(A333,2),"月","火","水","木","金","土","日")),"")</f>
        <v/>
      </c>
      <c r="AA333" s="25" t="str">
        <f aca="false">IF(ISNUMBER(A333),IFERROR(INDEX(集計!$V$3:$V$33,MATCH(A333,集計!$N$3:$N$33,0)),0),"")</f>
        <v/>
      </c>
      <c r="AB333" s="25" t="str">
        <f aca="false">IF(ISNUMBER(A333),IFERROR(INDEX(設定!$F$4:$F$27,MATCH(K333,設定!$E$4:$E$27,0)),""),"")</f>
        <v/>
      </c>
    </row>
    <row r="334" customFormat="false" ht="15" hidden="false" customHeight="false" outlineLevel="0" collapsed="false">
      <c r="Z334" s="25" t="str">
        <f aca="false">IF(ISNUMBER(A334),IF(COUNTIF(祝日!$A:$A,A334)&gt;0,"祝",CHOOSE(WEEKDAY(A334,2),"月","火","水","木","金","土","日")),"")</f>
        <v/>
      </c>
      <c r="AA334" s="25" t="str">
        <f aca="false">IF(ISNUMBER(A334),IFERROR(INDEX(集計!$V$3:$V$33,MATCH(A334,集計!$N$3:$N$33,0)),0),"")</f>
        <v/>
      </c>
      <c r="AB334" s="25" t="str">
        <f aca="false">IF(ISNUMBER(A334),IFERROR(INDEX(設定!$F$4:$F$27,MATCH(K334,設定!$E$4:$E$27,0)),""),"")</f>
        <v/>
      </c>
    </row>
    <row r="335" customFormat="false" ht="15" hidden="false" customHeight="false" outlineLevel="0" collapsed="false">
      <c r="Z335" s="25" t="str">
        <f aca="false">IF(ISNUMBER(A335),IF(COUNTIF(祝日!$A:$A,A335)&gt;0,"祝",CHOOSE(WEEKDAY(A335,2),"月","火","水","木","金","土","日")),"")</f>
        <v/>
      </c>
      <c r="AA335" s="25" t="str">
        <f aca="false">IF(ISNUMBER(A335),IFERROR(INDEX(集計!$V$3:$V$33,MATCH(A335,集計!$N$3:$N$33,0)),0),"")</f>
        <v/>
      </c>
      <c r="AB335" s="25" t="str">
        <f aca="false">IF(ISNUMBER(A335),IFERROR(INDEX(設定!$F$4:$F$27,MATCH(K335,設定!$E$4:$E$27,0)),""),"")</f>
        <v/>
      </c>
    </row>
    <row r="336" customFormat="false" ht="15" hidden="false" customHeight="false" outlineLevel="0" collapsed="false">
      <c r="Z336" s="25" t="str">
        <f aca="false">IF(ISNUMBER(A336),IF(COUNTIF(祝日!$A:$A,A336)&gt;0,"祝",CHOOSE(WEEKDAY(A336,2),"月","火","水","木","金","土","日")),"")</f>
        <v/>
      </c>
      <c r="AA336" s="25" t="str">
        <f aca="false">IF(ISNUMBER(A336),IFERROR(INDEX(集計!$V$3:$V$33,MATCH(A336,集計!$N$3:$N$33,0)),0),"")</f>
        <v/>
      </c>
      <c r="AB336" s="25" t="str">
        <f aca="false">IF(ISNUMBER(A336),IFERROR(INDEX(設定!$F$4:$F$27,MATCH(K336,設定!$E$4:$E$27,0)),""),"")</f>
        <v/>
      </c>
    </row>
    <row r="337" customFormat="false" ht="15" hidden="false" customHeight="false" outlineLevel="0" collapsed="false">
      <c r="Z337" s="25" t="str">
        <f aca="false">IF(ISNUMBER(A337),IF(COUNTIF(祝日!$A:$A,A337)&gt;0,"祝",CHOOSE(WEEKDAY(A337,2),"月","火","水","木","金","土","日")),"")</f>
        <v/>
      </c>
      <c r="AA337" s="25" t="str">
        <f aca="false">IF(ISNUMBER(A337),IFERROR(INDEX(集計!$V$3:$V$33,MATCH(A337,集計!$N$3:$N$33,0)),0),"")</f>
        <v/>
      </c>
      <c r="AB337" s="25" t="str">
        <f aca="false">IF(ISNUMBER(A337),IFERROR(INDEX(設定!$F$4:$F$27,MATCH(K337,設定!$E$4:$E$27,0)),""),"")</f>
        <v/>
      </c>
    </row>
    <row r="338" customFormat="false" ht="15" hidden="false" customHeight="false" outlineLevel="0" collapsed="false">
      <c r="Z338" s="25" t="str">
        <f aca="false">IF(ISNUMBER(A338),IF(COUNTIF(祝日!$A:$A,A338)&gt;0,"祝",CHOOSE(WEEKDAY(A338,2),"月","火","水","木","金","土","日")),"")</f>
        <v/>
      </c>
      <c r="AA338" s="25" t="str">
        <f aca="false">IF(ISNUMBER(A338),IFERROR(INDEX(集計!$V$3:$V$33,MATCH(A338,集計!$N$3:$N$33,0)),0),"")</f>
        <v/>
      </c>
      <c r="AB338" s="25" t="str">
        <f aca="false">IF(ISNUMBER(A338),IFERROR(INDEX(設定!$F$4:$F$27,MATCH(K338,設定!$E$4:$E$27,0)),""),"")</f>
        <v/>
      </c>
    </row>
    <row r="339" customFormat="false" ht="15" hidden="false" customHeight="false" outlineLevel="0" collapsed="false">
      <c r="Z339" s="25" t="str">
        <f aca="false">IF(ISNUMBER(A339),IF(COUNTIF(祝日!$A:$A,A339)&gt;0,"祝",CHOOSE(WEEKDAY(A339,2),"月","火","水","木","金","土","日")),"")</f>
        <v/>
      </c>
      <c r="AA339" s="25" t="str">
        <f aca="false">IF(ISNUMBER(A339),IFERROR(INDEX(集計!$V$3:$V$33,MATCH(A339,集計!$N$3:$N$33,0)),0),"")</f>
        <v/>
      </c>
      <c r="AB339" s="25" t="str">
        <f aca="false">IF(ISNUMBER(A339),IFERROR(INDEX(設定!$F$4:$F$27,MATCH(K339,設定!$E$4:$E$27,0)),""),"")</f>
        <v/>
      </c>
    </row>
    <row r="340" customFormat="false" ht="15" hidden="false" customHeight="false" outlineLevel="0" collapsed="false">
      <c r="Z340" s="25" t="str">
        <f aca="false">IF(ISNUMBER(A340),IF(COUNTIF(祝日!$A:$A,A340)&gt;0,"祝",CHOOSE(WEEKDAY(A340,2),"月","火","水","木","金","土","日")),"")</f>
        <v/>
      </c>
      <c r="AA340" s="25" t="str">
        <f aca="false">IF(ISNUMBER(A340),IFERROR(INDEX(集計!$V$3:$V$33,MATCH(A340,集計!$N$3:$N$33,0)),0),"")</f>
        <v/>
      </c>
      <c r="AB340" s="25" t="str">
        <f aca="false">IF(ISNUMBER(A340),IFERROR(INDEX(設定!$F$4:$F$27,MATCH(K340,設定!$E$4:$E$27,0)),""),"")</f>
        <v/>
      </c>
    </row>
    <row r="341" customFormat="false" ht="15" hidden="false" customHeight="false" outlineLevel="0" collapsed="false">
      <c r="Z341" s="25" t="str">
        <f aca="false">IF(ISNUMBER(A341),IF(COUNTIF(祝日!$A:$A,A341)&gt;0,"祝",CHOOSE(WEEKDAY(A341,2),"月","火","水","木","金","土","日")),"")</f>
        <v/>
      </c>
      <c r="AA341" s="25" t="str">
        <f aca="false">IF(ISNUMBER(A341),IFERROR(INDEX(集計!$V$3:$V$33,MATCH(A341,集計!$N$3:$N$33,0)),0),"")</f>
        <v/>
      </c>
      <c r="AB341" s="25" t="str">
        <f aca="false">IF(ISNUMBER(A341),IFERROR(INDEX(設定!$F$4:$F$27,MATCH(K341,設定!$E$4:$E$27,0)),""),"")</f>
        <v/>
      </c>
    </row>
    <row r="342" customFormat="false" ht="15" hidden="false" customHeight="false" outlineLevel="0" collapsed="false">
      <c r="Z342" s="25" t="str">
        <f aca="false">IF(ISNUMBER(A342),IF(COUNTIF(祝日!$A:$A,A342)&gt;0,"祝",CHOOSE(WEEKDAY(A342,2),"月","火","水","木","金","土","日")),"")</f>
        <v/>
      </c>
      <c r="AA342" s="25" t="str">
        <f aca="false">IF(ISNUMBER(A342),IFERROR(INDEX(集計!$V$3:$V$33,MATCH(A342,集計!$N$3:$N$33,0)),0),"")</f>
        <v/>
      </c>
      <c r="AB342" s="25" t="str">
        <f aca="false">IF(ISNUMBER(A342),IFERROR(INDEX(設定!$F$4:$F$27,MATCH(K342,設定!$E$4:$E$27,0)),""),"")</f>
        <v/>
      </c>
    </row>
    <row r="343" customFormat="false" ht="15" hidden="false" customHeight="false" outlineLevel="0" collapsed="false">
      <c r="Z343" s="25" t="str">
        <f aca="false">IF(ISNUMBER(A343),IF(COUNTIF(祝日!$A:$A,A343)&gt;0,"祝",CHOOSE(WEEKDAY(A343,2),"月","火","水","木","金","土","日")),"")</f>
        <v/>
      </c>
      <c r="AA343" s="25" t="str">
        <f aca="false">IF(ISNUMBER(A343),IFERROR(INDEX(集計!$V$3:$V$33,MATCH(A343,集計!$N$3:$N$33,0)),0),"")</f>
        <v/>
      </c>
      <c r="AB343" s="25" t="str">
        <f aca="false">IF(ISNUMBER(A343),IFERROR(INDEX(設定!$F$4:$F$27,MATCH(K343,設定!$E$4:$E$27,0)),""),"")</f>
        <v/>
      </c>
    </row>
    <row r="344" customFormat="false" ht="15" hidden="false" customHeight="false" outlineLevel="0" collapsed="false">
      <c r="Z344" s="25" t="str">
        <f aca="false">IF(ISNUMBER(A344),IF(COUNTIF(祝日!$A:$A,A344)&gt;0,"祝",CHOOSE(WEEKDAY(A344,2),"月","火","水","木","金","土","日")),"")</f>
        <v/>
      </c>
      <c r="AA344" s="25" t="str">
        <f aca="false">IF(ISNUMBER(A344),IFERROR(INDEX(集計!$V$3:$V$33,MATCH(A344,集計!$N$3:$N$33,0)),0),"")</f>
        <v/>
      </c>
      <c r="AB344" s="25" t="str">
        <f aca="false">IF(ISNUMBER(A344),IFERROR(INDEX(設定!$F$4:$F$27,MATCH(K344,設定!$E$4:$E$27,0)),""),"")</f>
        <v/>
      </c>
    </row>
    <row r="345" customFormat="false" ht="15" hidden="false" customHeight="false" outlineLevel="0" collapsed="false">
      <c r="Z345" s="25" t="str">
        <f aca="false">IF(ISNUMBER(A345),IF(COUNTIF(祝日!$A:$A,A345)&gt;0,"祝",CHOOSE(WEEKDAY(A345,2),"月","火","水","木","金","土","日")),"")</f>
        <v/>
      </c>
      <c r="AA345" s="25" t="str">
        <f aca="false">IF(ISNUMBER(A345),IFERROR(INDEX(集計!$V$3:$V$33,MATCH(A345,集計!$N$3:$N$33,0)),0),"")</f>
        <v/>
      </c>
      <c r="AB345" s="25" t="str">
        <f aca="false">IF(ISNUMBER(A345),IFERROR(INDEX(設定!$F$4:$F$27,MATCH(K345,設定!$E$4:$E$27,0)),""),"")</f>
        <v/>
      </c>
    </row>
    <row r="346" customFormat="false" ht="15" hidden="false" customHeight="false" outlineLevel="0" collapsed="false">
      <c r="Z346" s="25" t="str">
        <f aca="false">IF(ISNUMBER(A346),IF(COUNTIF(祝日!$A:$A,A346)&gt;0,"祝",CHOOSE(WEEKDAY(A346,2),"月","火","水","木","金","土","日")),"")</f>
        <v/>
      </c>
      <c r="AA346" s="25" t="str">
        <f aca="false">IF(ISNUMBER(A346),IFERROR(INDEX(集計!$V$3:$V$33,MATCH(A346,集計!$N$3:$N$33,0)),0),"")</f>
        <v/>
      </c>
      <c r="AB346" s="25" t="str">
        <f aca="false">IF(ISNUMBER(A346),IFERROR(INDEX(設定!$F$4:$F$27,MATCH(K346,設定!$E$4:$E$27,0)),""),"")</f>
        <v/>
      </c>
    </row>
    <row r="347" customFormat="false" ht="15" hidden="false" customHeight="false" outlineLevel="0" collapsed="false">
      <c r="Z347" s="25" t="str">
        <f aca="false">IF(ISNUMBER(A347),IF(COUNTIF(祝日!$A:$A,A347)&gt;0,"祝",CHOOSE(WEEKDAY(A347,2),"月","火","水","木","金","土","日")),"")</f>
        <v/>
      </c>
      <c r="AA347" s="25" t="str">
        <f aca="false">IF(ISNUMBER(A347),IFERROR(INDEX(集計!$V$3:$V$33,MATCH(A347,集計!$N$3:$N$33,0)),0),"")</f>
        <v/>
      </c>
      <c r="AB347" s="25" t="str">
        <f aca="false">IF(ISNUMBER(A347),IFERROR(INDEX(設定!$F$4:$F$27,MATCH(K347,設定!$E$4:$E$27,0)),""),"")</f>
        <v/>
      </c>
    </row>
    <row r="348" customFormat="false" ht="15" hidden="false" customHeight="false" outlineLevel="0" collapsed="false">
      <c r="Z348" s="25" t="str">
        <f aca="false">IF(ISNUMBER(A348),IF(COUNTIF(祝日!$A:$A,A348)&gt;0,"祝",CHOOSE(WEEKDAY(A348,2),"月","火","水","木","金","土","日")),"")</f>
        <v/>
      </c>
      <c r="AA348" s="25" t="str">
        <f aca="false">IF(ISNUMBER(A348),IFERROR(INDEX(集計!$V$3:$V$33,MATCH(A348,集計!$N$3:$N$33,0)),0),"")</f>
        <v/>
      </c>
      <c r="AB348" s="25" t="str">
        <f aca="false">IF(ISNUMBER(A348),IFERROR(INDEX(設定!$F$4:$F$27,MATCH(K348,設定!$E$4:$E$27,0)),""),"")</f>
        <v/>
      </c>
    </row>
    <row r="349" customFormat="false" ht="15" hidden="false" customHeight="false" outlineLevel="0" collapsed="false">
      <c r="Z349" s="25" t="str">
        <f aca="false">IF(ISNUMBER(A349),IF(COUNTIF(祝日!$A:$A,A349)&gt;0,"祝",CHOOSE(WEEKDAY(A349,2),"月","火","水","木","金","土","日")),"")</f>
        <v/>
      </c>
      <c r="AA349" s="25" t="str">
        <f aca="false">IF(ISNUMBER(A349),IFERROR(INDEX(集計!$V$3:$V$33,MATCH(A349,集計!$N$3:$N$33,0)),0),"")</f>
        <v/>
      </c>
      <c r="AB349" s="25" t="str">
        <f aca="false">IF(ISNUMBER(A349),IFERROR(INDEX(設定!$F$4:$F$27,MATCH(K349,設定!$E$4:$E$27,0)),""),"")</f>
        <v/>
      </c>
    </row>
    <row r="350" customFormat="false" ht="15" hidden="false" customHeight="false" outlineLevel="0" collapsed="false">
      <c r="Z350" s="25" t="str">
        <f aca="false">IF(ISNUMBER(A350),IF(COUNTIF(祝日!$A:$A,A350)&gt;0,"祝",CHOOSE(WEEKDAY(A350,2),"月","火","水","木","金","土","日")),"")</f>
        <v/>
      </c>
      <c r="AA350" s="25" t="str">
        <f aca="false">IF(ISNUMBER(A350),IFERROR(INDEX(集計!$V$3:$V$33,MATCH(A350,集計!$N$3:$N$33,0)),0),"")</f>
        <v/>
      </c>
      <c r="AB350" s="25" t="str">
        <f aca="false">IF(ISNUMBER(A350),IFERROR(INDEX(設定!$F$4:$F$27,MATCH(K350,設定!$E$4:$E$27,0)),""),"")</f>
        <v/>
      </c>
    </row>
    <row r="351" customFormat="false" ht="15" hidden="false" customHeight="false" outlineLevel="0" collapsed="false">
      <c r="Z351" s="25" t="str">
        <f aca="false">IF(ISNUMBER(A351),IF(COUNTIF(祝日!$A:$A,A351)&gt;0,"祝",CHOOSE(WEEKDAY(A351,2),"月","火","水","木","金","土","日")),"")</f>
        <v/>
      </c>
      <c r="AA351" s="25" t="str">
        <f aca="false">IF(ISNUMBER(A351),IFERROR(INDEX(集計!$V$3:$V$33,MATCH(A351,集計!$N$3:$N$33,0)),0),"")</f>
        <v/>
      </c>
      <c r="AB351" s="25" t="str">
        <f aca="false">IF(ISNUMBER(A351),IFERROR(INDEX(設定!$F$4:$F$27,MATCH(K351,設定!$E$4:$E$27,0)),""),"")</f>
        <v/>
      </c>
    </row>
    <row r="352" customFormat="false" ht="15" hidden="false" customHeight="false" outlineLevel="0" collapsed="false">
      <c r="Z352" s="25" t="str">
        <f aca="false">IF(ISNUMBER(A352),IF(COUNTIF(祝日!$A:$A,A352)&gt;0,"祝",CHOOSE(WEEKDAY(A352,2),"月","火","水","木","金","土","日")),"")</f>
        <v/>
      </c>
      <c r="AA352" s="25" t="str">
        <f aca="false">IF(ISNUMBER(A352),IFERROR(INDEX(集計!$V$3:$V$33,MATCH(A352,集計!$N$3:$N$33,0)),0),"")</f>
        <v/>
      </c>
      <c r="AB352" s="25" t="str">
        <f aca="false">IF(ISNUMBER(A352),IFERROR(INDEX(設定!$F$4:$F$27,MATCH(K352,設定!$E$4:$E$27,0)),""),"")</f>
        <v/>
      </c>
    </row>
    <row r="353" customFormat="false" ht="15" hidden="false" customHeight="false" outlineLevel="0" collapsed="false">
      <c r="Z353" s="25" t="str">
        <f aca="false">IF(ISNUMBER(A353),IF(COUNTIF(祝日!$A:$A,A353)&gt;0,"祝",CHOOSE(WEEKDAY(A353,2),"月","火","水","木","金","土","日")),"")</f>
        <v/>
      </c>
      <c r="AA353" s="25" t="str">
        <f aca="false">IF(ISNUMBER(A353),IFERROR(INDEX(集計!$V$3:$V$33,MATCH(A353,集計!$N$3:$N$33,0)),0),"")</f>
        <v/>
      </c>
      <c r="AB353" s="25" t="str">
        <f aca="false">IF(ISNUMBER(A353),IFERROR(INDEX(設定!$F$4:$F$27,MATCH(K353,設定!$E$4:$E$27,0)),""),"")</f>
        <v/>
      </c>
    </row>
    <row r="354" customFormat="false" ht="15" hidden="false" customHeight="false" outlineLevel="0" collapsed="false">
      <c r="Z354" s="25" t="str">
        <f aca="false">IF(ISNUMBER(A354),IF(COUNTIF(祝日!$A:$A,A354)&gt;0,"祝",CHOOSE(WEEKDAY(A354,2),"月","火","水","木","金","土","日")),"")</f>
        <v/>
      </c>
      <c r="AA354" s="25" t="str">
        <f aca="false">IF(ISNUMBER(A354),IFERROR(INDEX(集計!$V$3:$V$33,MATCH(A354,集計!$N$3:$N$33,0)),0),"")</f>
        <v/>
      </c>
      <c r="AB354" s="25" t="str">
        <f aca="false">IF(ISNUMBER(A354),IFERROR(INDEX(設定!$F$4:$F$27,MATCH(K354,設定!$E$4:$E$27,0)),""),"")</f>
        <v/>
      </c>
    </row>
    <row r="355" customFormat="false" ht="15" hidden="false" customHeight="false" outlineLevel="0" collapsed="false">
      <c r="Z355" s="25" t="str">
        <f aca="false">IF(ISNUMBER(A355),IF(COUNTIF(祝日!$A:$A,A355)&gt;0,"祝",CHOOSE(WEEKDAY(A355,2),"月","火","水","木","金","土","日")),"")</f>
        <v/>
      </c>
      <c r="AA355" s="25" t="str">
        <f aca="false">IF(ISNUMBER(A355),IFERROR(INDEX(集計!$V$3:$V$33,MATCH(A355,集計!$N$3:$N$33,0)),0),"")</f>
        <v/>
      </c>
      <c r="AB355" s="25" t="str">
        <f aca="false">IF(ISNUMBER(A355),IFERROR(INDEX(設定!$F$4:$F$27,MATCH(K355,設定!$E$4:$E$27,0)),""),"")</f>
        <v/>
      </c>
    </row>
    <row r="356" customFormat="false" ht="15" hidden="false" customHeight="false" outlineLevel="0" collapsed="false">
      <c r="Z356" s="25" t="str">
        <f aca="false">IF(ISNUMBER(A356),IF(COUNTIF(祝日!$A:$A,A356)&gt;0,"祝",CHOOSE(WEEKDAY(A356,2),"月","火","水","木","金","土","日")),"")</f>
        <v/>
      </c>
      <c r="AA356" s="25" t="str">
        <f aca="false">IF(ISNUMBER(A356),IFERROR(INDEX(集計!$V$3:$V$33,MATCH(A356,集計!$N$3:$N$33,0)),0),"")</f>
        <v/>
      </c>
      <c r="AB356" s="25" t="str">
        <f aca="false">IF(ISNUMBER(A356),IFERROR(INDEX(設定!$F$4:$F$27,MATCH(K356,設定!$E$4:$E$27,0)),""),"")</f>
        <v/>
      </c>
    </row>
    <row r="357" customFormat="false" ht="15" hidden="false" customHeight="false" outlineLevel="0" collapsed="false">
      <c r="Z357" s="25" t="str">
        <f aca="false">IF(ISNUMBER(A357),IF(COUNTIF(祝日!$A:$A,A357)&gt;0,"祝",CHOOSE(WEEKDAY(A357,2),"月","火","水","木","金","土","日")),"")</f>
        <v/>
      </c>
      <c r="AA357" s="25" t="str">
        <f aca="false">IF(ISNUMBER(A357),IFERROR(INDEX(集計!$V$3:$V$33,MATCH(A357,集計!$N$3:$N$33,0)),0),"")</f>
        <v/>
      </c>
      <c r="AB357" s="25" t="str">
        <f aca="false">IF(ISNUMBER(A357),IFERROR(INDEX(設定!$F$4:$F$27,MATCH(K357,設定!$E$4:$E$27,0)),""),"")</f>
        <v/>
      </c>
    </row>
    <row r="358" customFormat="false" ht="15" hidden="false" customHeight="false" outlineLevel="0" collapsed="false">
      <c r="Z358" s="25" t="str">
        <f aca="false">IF(ISNUMBER(A358),IF(COUNTIF(祝日!$A:$A,A358)&gt;0,"祝",CHOOSE(WEEKDAY(A358,2),"月","火","水","木","金","土","日")),"")</f>
        <v/>
      </c>
      <c r="AA358" s="25" t="str">
        <f aca="false">IF(ISNUMBER(A358),IFERROR(INDEX(集計!$V$3:$V$33,MATCH(A358,集計!$N$3:$N$33,0)),0),"")</f>
        <v/>
      </c>
      <c r="AB358" s="25" t="str">
        <f aca="false">IF(ISNUMBER(A358),IFERROR(INDEX(設定!$F$4:$F$27,MATCH(K358,設定!$E$4:$E$27,0)),""),"")</f>
        <v/>
      </c>
    </row>
    <row r="359" customFormat="false" ht="15" hidden="false" customHeight="false" outlineLevel="0" collapsed="false">
      <c r="Z359" s="25" t="str">
        <f aca="false">IF(ISNUMBER(A359),IF(COUNTIF(祝日!$A:$A,A359)&gt;0,"祝",CHOOSE(WEEKDAY(A359,2),"月","火","水","木","金","土","日")),"")</f>
        <v/>
      </c>
      <c r="AA359" s="25" t="str">
        <f aca="false">IF(ISNUMBER(A359),IFERROR(INDEX(集計!$V$3:$V$33,MATCH(A359,集計!$N$3:$N$33,0)),0),"")</f>
        <v/>
      </c>
      <c r="AB359" s="25" t="str">
        <f aca="false">IF(ISNUMBER(A359),IFERROR(INDEX(設定!$F$4:$F$27,MATCH(K359,設定!$E$4:$E$27,0)),""),"")</f>
        <v/>
      </c>
    </row>
    <row r="360" customFormat="false" ht="15" hidden="false" customHeight="false" outlineLevel="0" collapsed="false">
      <c r="Z360" s="25" t="str">
        <f aca="false">IF(ISNUMBER(A360),IF(COUNTIF(祝日!$A:$A,A360)&gt;0,"祝",CHOOSE(WEEKDAY(A360,2),"月","火","水","木","金","土","日")),"")</f>
        <v/>
      </c>
      <c r="AA360" s="25" t="str">
        <f aca="false">IF(ISNUMBER(A360),IFERROR(INDEX(集計!$V$3:$V$33,MATCH(A360,集計!$N$3:$N$33,0)),0),"")</f>
        <v/>
      </c>
      <c r="AB360" s="25" t="str">
        <f aca="false">IF(ISNUMBER(A360),IFERROR(INDEX(設定!$F$4:$F$27,MATCH(K360,設定!$E$4:$E$27,0)),""),"")</f>
        <v/>
      </c>
    </row>
    <row r="361" customFormat="false" ht="15" hidden="false" customHeight="false" outlineLevel="0" collapsed="false">
      <c r="Z361" s="25" t="str">
        <f aca="false">IF(ISNUMBER(A361),IF(COUNTIF(祝日!$A:$A,A361)&gt;0,"祝",CHOOSE(WEEKDAY(A361,2),"月","火","水","木","金","土","日")),"")</f>
        <v/>
      </c>
      <c r="AA361" s="25" t="str">
        <f aca="false">IF(ISNUMBER(A361),IFERROR(INDEX(集計!$V$3:$V$33,MATCH(A361,集計!$N$3:$N$33,0)),0),"")</f>
        <v/>
      </c>
      <c r="AB361" s="25" t="str">
        <f aca="false">IF(ISNUMBER(A361),IFERROR(INDEX(設定!$F$4:$F$27,MATCH(K361,設定!$E$4:$E$27,0)),""),"")</f>
        <v/>
      </c>
    </row>
    <row r="362" customFormat="false" ht="15" hidden="false" customHeight="false" outlineLevel="0" collapsed="false">
      <c r="Z362" s="25" t="str">
        <f aca="false">IF(ISNUMBER(A362),IF(COUNTIF(祝日!$A:$A,A362)&gt;0,"祝",CHOOSE(WEEKDAY(A362,2),"月","火","水","木","金","土","日")),"")</f>
        <v/>
      </c>
      <c r="AA362" s="25" t="str">
        <f aca="false">IF(ISNUMBER(A362),IFERROR(INDEX(集計!$V$3:$V$33,MATCH(A362,集計!$N$3:$N$33,0)),0),"")</f>
        <v/>
      </c>
      <c r="AB362" s="25" t="str">
        <f aca="false">IF(ISNUMBER(A362),IFERROR(INDEX(設定!$F$4:$F$27,MATCH(K362,設定!$E$4:$E$27,0)),""),"")</f>
        <v/>
      </c>
    </row>
    <row r="363" customFormat="false" ht="15" hidden="false" customHeight="false" outlineLevel="0" collapsed="false">
      <c r="Z363" s="25" t="str">
        <f aca="false">IF(ISNUMBER(A363),IF(COUNTIF(祝日!$A:$A,A363)&gt;0,"祝",CHOOSE(WEEKDAY(A363,2),"月","火","水","木","金","土","日")),"")</f>
        <v/>
      </c>
      <c r="AA363" s="25" t="str">
        <f aca="false">IF(ISNUMBER(A363),IFERROR(INDEX(集計!$V$3:$V$33,MATCH(A363,集計!$N$3:$N$33,0)),0),"")</f>
        <v/>
      </c>
      <c r="AB363" s="25" t="str">
        <f aca="false">IF(ISNUMBER(A363),IFERROR(INDEX(設定!$F$4:$F$27,MATCH(K363,設定!$E$4:$E$27,0)),""),"")</f>
        <v/>
      </c>
    </row>
    <row r="364" customFormat="false" ht="15" hidden="false" customHeight="false" outlineLevel="0" collapsed="false">
      <c r="Z364" s="25" t="str">
        <f aca="false">IF(ISNUMBER(A364),IF(COUNTIF(祝日!$A:$A,A364)&gt;0,"祝",CHOOSE(WEEKDAY(A364,2),"月","火","水","木","金","土","日")),"")</f>
        <v/>
      </c>
      <c r="AA364" s="25" t="str">
        <f aca="false">IF(ISNUMBER(A364),IFERROR(INDEX(集計!$V$3:$V$33,MATCH(A364,集計!$N$3:$N$33,0)),0),"")</f>
        <v/>
      </c>
      <c r="AB364" s="25" t="str">
        <f aca="false">IF(ISNUMBER(A364),IFERROR(INDEX(設定!$F$4:$F$27,MATCH(K364,設定!$E$4:$E$27,0)),""),"")</f>
        <v/>
      </c>
    </row>
    <row r="365" customFormat="false" ht="15" hidden="false" customHeight="false" outlineLevel="0" collapsed="false">
      <c r="Z365" s="25" t="str">
        <f aca="false">IF(ISNUMBER(A365),IF(COUNTIF(祝日!$A:$A,A365)&gt;0,"祝",CHOOSE(WEEKDAY(A365,2),"月","火","水","木","金","土","日")),"")</f>
        <v/>
      </c>
      <c r="AA365" s="25" t="str">
        <f aca="false">IF(ISNUMBER(A365),IFERROR(INDEX(集計!$V$3:$V$33,MATCH(A365,集計!$N$3:$N$33,0)),0),"")</f>
        <v/>
      </c>
      <c r="AB365" s="25" t="str">
        <f aca="false">IF(ISNUMBER(A365),IFERROR(INDEX(設定!$F$4:$F$27,MATCH(K365,設定!$E$4:$E$27,0)),""),"")</f>
        <v/>
      </c>
    </row>
    <row r="366" customFormat="false" ht="15" hidden="false" customHeight="false" outlineLevel="0" collapsed="false">
      <c r="Z366" s="25" t="str">
        <f aca="false">IF(ISNUMBER(A366),IF(COUNTIF(祝日!$A:$A,A366)&gt;0,"祝",CHOOSE(WEEKDAY(A366,2),"月","火","水","木","金","土","日")),"")</f>
        <v/>
      </c>
      <c r="AA366" s="25" t="str">
        <f aca="false">IF(ISNUMBER(A366),IFERROR(INDEX(集計!$V$3:$V$33,MATCH(A366,集計!$N$3:$N$33,0)),0),"")</f>
        <v/>
      </c>
      <c r="AB366" s="25" t="str">
        <f aca="false">IF(ISNUMBER(A366),IFERROR(INDEX(設定!$F$4:$F$27,MATCH(K366,設定!$E$4:$E$27,0)),""),"")</f>
        <v/>
      </c>
    </row>
    <row r="367" customFormat="false" ht="15" hidden="false" customHeight="false" outlineLevel="0" collapsed="false">
      <c r="Z367" s="25" t="str">
        <f aca="false">IF(ISNUMBER(A367),IF(COUNTIF(祝日!$A:$A,A367)&gt;0,"祝",CHOOSE(WEEKDAY(A367,2),"月","火","水","木","金","土","日")),"")</f>
        <v/>
      </c>
      <c r="AA367" s="25" t="str">
        <f aca="false">IF(ISNUMBER(A367),IFERROR(INDEX(集計!$V$3:$V$33,MATCH(A367,集計!$N$3:$N$33,0)),0),"")</f>
        <v/>
      </c>
      <c r="AB367" s="25" t="str">
        <f aca="false">IF(ISNUMBER(A367),IFERROR(INDEX(設定!$F$4:$F$27,MATCH(K367,設定!$E$4:$E$27,0)),""),"")</f>
        <v/>
      </c>
    </row>
    <row r="368" customFormat="false" ht="15" hidden="false" customHeight="false" outlineLevel="0" collapsed="false">
      <c r="Z368" s="25" t="str">
        <f aca="false">IF(ISNUMBER(A368),IF(COUNTIF(祝日!$A:$A,A368)&gt;0,"祝",CHOOSE(WEEKDAY(A368,2),"月","火","水","木","金","土","日")),"")</f>
        <v/>
      </c>
      <c r="AA368" s="25" t="str">
        <f aca="false">IF(ISNUMBER(A368),IFERROR(INDEX(集計!$V$3:$V$33,MATCH(A368,集計!$N$3:$N$33,0)),0),"")</f>
        <v/>
      </c>
      <c r="AB368" s="25" t="str">
        <f aca="false">IF(ISNUMBER(A368),IFERROR(INDEX(設定!$F$4:$F$27,MATCH(K368,設定!$E$4:$E$27,0)),""),"")</f>
        <v/>
      </c>
    </row>
    <row r="369" customFormat="false" ht="15" hidden="false" customHeight="false" outlineLevel="0" collapsed="false">
      <c r="Z369" s="25" t="str">
        <f aca="false">IF(ISNUMBER(A369),IF(COUNTIF(祝日!$A:$A,A369)&gt;0,"祝",CHOOSE(WEEKDAY(A369,2),"月","火","水","木","金","土","日")),"")</f>
        <v/>
      </c>
      <c r="AA369" s="25" t="str">
        <f aca="false">IF(ISNUMBER(A369),IFERROR(INDEX(集計!$V$3:$V$33,MATCH(A369,集計!$N$3:$N$33,0)),0),"")</f>
        <v/>
      </c>
      <c r="AB369" s="25" t="str">
        <f aca="false">IF(ISNUMBER(A369),IFERROR(INDEX(設定!$F$4:$F$27,MATCH(K369,設定!$E$4:$E$27,0)),""),"")</f>
        <v/>
      </c>
    </row>
    <row r="370" customFormat="false" ht="15" hidden="false" customHeight="false" outlineLevel="0" collapsed="false">
      <c r="Z370" s="25" t="str">
        <f aca="false">IF(ISNUMBER(A370),IF(COUNTIF(祝日!$A:$A,A370)&gt;0,"祝",CHOOSE(WEEKDAY(A370,2),"月","火","水","木","金","土","日")),"")</f>
        <v/>
      </c>
      <c r="AA370" s="25" t="str">
        <f aca="false">IF(ISNUMBER(A370),IFERROR(INDEX(集計!$V$3:$V$33,MATCH(A370,集計!$N$3:$N$33,0)),0),"")</f>
        <v/>
      </c>
      <c r="AB370" s="25" t="str">
        <f aca="false">IF(ISNUMBER(A370),IFERROR(INDEX(設定!$F$4:$F$27,MATCH(K370,設定!$E$4:$E$27,0)),""),"")</f>
        <v/>
      </c>
    </row>
    <row r="371" customFormat="false" ht="15" hidden="false" customHeight="false" outlineLevel="0" collapsed="false">
      <c r="Z371" s="25" t="str">
        <f aca="false">IF(ISNUMBER(A371),IF(COUNTIF(祝日!$A:$A,A371)&gt;0,"祝",CHOOSE(WEEKDAY(A371,2),"月","火","水","木","金","土","日")),"")</f>
        <v/>
      </c>
      <c r="AA371" s="25" t="str">
        <f aca="false">IF(ISNUMBER(A371),IFERROR(INDEX(集計!$V$3:$V$33,MATCH(A371,集計!$N$3:$N$33,0)),0),"")</f>
        <v/>
      </c>
      <c r="AB371" s="25" t="str">
        <f aca="false">IF(ISNUMBER(A371),IFERROR(INDEX(設定!$F$4:$F$27,MATCH(K371,設定!$E$4:$E$27,0)),""),"")</f>
        <v/>
      </c>
    </row>
    <row r="372" customFormat="false" ht="15" hidden="false" customHeight="false" outlineLevel="0" collapsed="false">
      <c r="Z372" s="25" t="str">
        <f aca="false">IF(ISNUMBER(A372),IF(COUNTIF(祝日!$A:$A,A372)&gt;0,"祝",CHOOSE(WEEKDAY(A372,2),"月","火","水","木","金","土","日")),"")</f>
        <v/>
      </c>
      <c r="AA372" s="25" t="str">
        <f aca="false">IF(ISNUMBER(A372),IFERROR(INDEX(集計!$V$3:$V$33,MATCH(A372,集計!$N$3:$N$33,0)),0),"")</f>
        <v/>
      </c>
      <c r="AB372" s="25" t="str">
        <f aca="false">IF(ISNUMBER(A372),IFERROR(INDEX(設定!$F$4:$F$27,MATCH(K372,設定!$E$4:$E$27,0)),""),"")</f>
        <v/>
      </c>
    </row>
    <row r="373" customFormat="false" ht="15" hidden="false" customHeight="false" outlineLevel="0" collapsed="false">
      <c r="Z373" s="25" t="str">
        <f aca="false">IF(ISNUMBER(A373),IF(COUNTIF(祝日!$A:$A,A373)&gt;0,"祝",CHOOSE(WEEKDAY(A373,2),"月","火","水","木","金","土","日")),"")</f>
        <v/>
      </c>
      <c r="AA373" s="25" t="str">
        <f aca="false">IF(ISNUMBER(A373),IFERROR(INDEX(集計!$V$3:$V$33,MATCH(A373,集計!$N$3:$N$33,0)),0),"")</f>
        <v/>
      </c>
      <c r="AB373" s="25" t="str">
        <f aca="false">IF(ISNUMBER(A373),IFERROR(INDEX(設定!$F$4:$F$27,MATCH(K373,設定!$E$4:$E$27,0)),""),"")</f>
        <v/>
      </c>
    </row>
    <row r="374" customFormat="false" ht="15" hidden="false" customHeight="false" outlineLevel="0" collapsed="false">
      <c r="Z374" s="25" t="str">
        <f aca="false">IF(ISNUMBER(A374),IF(COUNTIF(祝日!$A:$A,A374)&gt;0,"祝",CHOOSE(WEEKDAY(A374,2),"月","火","水","木","金","土","日")),"")</f>
        <v/>
      </c>
      <c r="AA374" s="25" t="str">
        <f aca="false">IF(ISNUMBER(A374),IFERROR(INDEX(集計!$V$3:$V$33,MATCH(A374,集計!$N$3:$N$33,0)),0),"")</f>
        <v/>
      </c>
      <c r="AB374" s="25" t="str">
        <f aca="false">IF(ISNUMBER(A374),IFERROR(INDEX(設定!$F$4:$F$27,MATCH(K374,設定!$E$4:$E$27,0)),""),"")</f>
        <v/>
      </c>
    </row>
    <row r="375" customFormat="false" ht="15" hidden="false" customHeight="false" outlineLevel="0" collapsed="false">
      <c r="Z375" s="25" t="str">
        <f aca="false">IF(ISNUMBER(A375),IF(COUNTIF(祝日!$A:$A,A375)&gt;0,"祝",CHOOSE(WEEKDAY(A375,2),"月","火","水","木","金","土","日")),"")</f>
        <v/>
      </c>
      <c r="AA375" s="25" t="str">
        <f aca="false">IF(ISNUMBER(A375),IFERROR(INDEX(集計!$V$3:$V$33,MATCH(A375,集計!$N$3:$N$33,0)),0),"")</f>
        <v/>
      </c>
      <c r="AB375" s="25" t="str">
        <f aca="false">IF(ISNUMBER(A375),IFERROR(INDEX(設定!$F$4:$F$27,MATCH(K375,設定!$E$4:$E$27,0)),""),"")</f>
        <v/>
      </c>
    </row>
    <row r="376" customFormat="false" ht="15" hidden="false" customHeight="false" outlineLevel="0" collapsed="false">
      <c r="Z376" s="25" t="str">
        <f aca="false">IF(ISNUMBER(A376),IF(COUNTIF(祝日!$A:$A,A376)&gt;0,"祝",CHOOSE(WEEKDAY(A376,2),"月","火","水","木","金","土","日")),"")</f>
        <v/>
      </c>
      <c r="AA376" s="25" t="str">
        <f aca="false">IF(ISNUMBER(A376),IFERROR(INDEX(集計!$V$3:$V$33,MATCH(A376,集計!$N$3:$N$33,0)),0),"")</f>
        <v/>
      </c>
      <c r="AB376" s="25" t="str">
        <f aca="false">IF(ISNUMBER(A376),IFERROR(INDEX(設定!$F$4:$F$27,MATCH(K376,設定!$E$4:$E$27,0)),""),"")</f>
        <v/>
      </c>
    </row>
    <row r="377" customFormat="false" ht="15" hidden="false" customHeight="false" outlineLevel="0" collapsed="false">
      <c r="Z377" s="25" t="str">
        <f aca="false">IF(ISNUMBER(A377),IF(COUNTIF(祝日!$A:$A,A377)&gt;0,"祝",CHOOSE(WEEKDAY(A377,2),"月","火","水","木","金","土","日")),"")</f>
        <v/>
      </c>
      <c r="AA377" s="25" t="str">
        <f aca="false">IF(ISNUMBER(A377),IFERROR(INDEX(集計!$V$3:$V$33,MATCH(A377,集計!$N$3:$N$33,0)),0),"")</f>
        <v/>
      </c>
      <c r="AB377" s="25" t="str">
        <f aca="false">IF(ISNUMBER(A377),IFERROR(INDEX(設定!$F$4:$F$27,MATCH(K377,設定!$E$4:$E$27,0)),""),"")</f>
        <v/>
      </c>
    </row>
    <row r="378" customFormat="false" ht="15" hidden="false" customHeight="false" outlineLevel="0" collapsed="false">
      <c r="Z378" s="25" t="str">
        <f aca="false">IF(ISNUMBER(A378),IF(COUNTIF(祝日!$A:$A,A378)&gt;0,"祝",CHOOSE(WEEKDAY(A378,2),"月","火","水","木","金","土","日")),"")</f>
        <v/>
      </c>
      <c r="AA378" s="25" t="str">
        <f aca="false">IF(ISNUMBER(A378),IFERROR(INDEX(集計!$V$3:$V$33,MATCH(A378,集計!$N$3:$N$33,0)),0),"")</f>
        <v/>
      </c>
      <c r="AB378" s="25" t="str">
        <f aca="false">IF(ISNUMBER(A378),IFERROR(INDEX(設定!$F$4:$F$27,MATCH(K378,設定!$E$4:$E$27,0)),""),"")</f>
        <v/>
      </c>
    </row>
    <row r="379" customFormat="false" ht="15" hidden="false" customHeight="false" outlineLevel="0" collapsed="false">
      <c r="Z379" s="25" t="str">
        <f aca="false">IF(ISNUMBER(A379),IF(COUNTIF(祝日!$A:$A,A379)&gt;0,"祝",CHOOSE(WEEKDAY(A379,2),"月","火","水","木","金","土","日")),"")</f>
        <v/>
      </c>
      <c r="AA379" s="25" t="str">
        <f aca="false">IF(ISNUMBER(A379),IFERROR(INDEX(集計!$V$3:$V$33,MATCH(A379,集計!$N$3:$N$33,0)),0),"")</f>
        <v/>
      </c>
      <c r="AB379" s="25" t="str">
        <f aca="false">IF(ISNUMBER(A379),IFERROR(INDEX(設定!$F$4:$F$27,MATCH(K379,設定!$E$4:$E$27,0)),""),"")</f>
        <v/>
      </c>
    </row>
    <row r="380" customFormat="false" ht="15" hidden="false" customHeight="false" outlineLevel="0" collapsed="false">
      <c r="Z380" s="25" t="str">
        <f aca="false">IF(ISNUMBER(A380),IF(COUNTIF(祝日!$A:$A,A380)&gt;0,"祝",CHOOSE(WEEKDAY(A380,2),"月","火","水","木","金","土","日")),"")</f>
        <v/>
      </c>
      <c r="AA380" s="25" t="str">
        <f aca="false">IF(ISNUMBER(A380),IFERROR(INDEX(集計!$V$3:$V$33,MATCH(A380,集計!$N$3:$N$33,0)),0),"")</f>
        <v/>
      </c>
      <c r="AB380" s="25" t="str">
        <f aca="false">IF(ISNUMBER(A380),IFERROR(INDEX(設定!$F$4:$F$27,MATCH(K380,設定!$E$4:$E$27,0)),""),"")</f>
        <v/>
      </c>
    </row>
    <row r="381" customFormat="false" ht="15" hidden="false" customHeight="false" outlineLevel="0" collapsed="false">
      <c r="Z381" s="25" t="str">
        <f aca="false">IF(ISNUMBER(A381),IF(COUNTIF(祝日!$A:$A,A381)&gt;0,"祝",CHOOSE(WEEKDAY(A381,2),"月","火","水","木","金","土","日")),"")</f>
        <v/>
      </c>
      <c r="AA381" s="25" t="str">
        <f aca="false">IF(ISNUMBER(A381),IFERROR(INDEX(集計!$V$3:$V$33,MATCH(A381,集計!$N$3:$N$33,0)),0),"")</f>
        <v/>
      </c>
      <c r="AB381" s="25" t="str">
        <f aca="false">IF(ISNUMBER(A381),IFERROR(INDEX(設定!$F$4:$F$27,MATCH(K381,設定!$E$4:$E$27,0)),""),"")</f>
        <v/>
      </c>
    </row>
    <row r="382" customFormat="false" ht="15" hidden="false" customHeight="false" outlineLevel="0" collapsed="false">
      <c r="Z382" s="25" t="str">
        <f aca="false">IF(ISNUMBER(A382),IF(COUNTIF(祝日!$A:$A,A382)&gt;0,"祝",CHOOSE(WEEKDAY(A382,2),"月","火","水","木","金","土","日")),"")</f>
        <v/>
      </c>
      <c r="AA382" s="25" t="str">
        <f aca="false">IF(ISNUMBER(A382),IFERROR(INDEX(集計!$V$3:$V$33,MATCH(A382,集計!$N$3:$N$33,0)),0),"")</f>
        <v/>
      </c>
      <c r="AB382" s="25" t="str">
        <f aca="false">IF(ISNUMBER(A382),IFERROR(INDEX(設定!$F$4:$F$27,MATCH(K382,設定!$E$4:$E$27,0)),""),"")</f>
        <v/>
      </c>
    </row>
    <row r="383" customFormat="false" ht="15" hidden="false" customHeight="false" outlineLevel="0" collapsed="false">
      <c r="Z383" s="25" t="str">
        <f aca="false">IF(ISNUMBER(A383),IF(COUNTIF(祝日!$A:$A,A383)&gt;0,"祝",CHOOSE(WEEKDAY(A383,2),"月","火","水","木","金","土","日")),"")</f>
        <v/>
      </c>
      <c r="AA383" s="25" t="str">
        <f aca="false">IF(ISNUMBER(A383),IFERROR(INDEX(集計!$V$3:$V$33,MATCH(A383,集計!$N$3:$N$33,0)),0),"")</f>
        <v/>
      </c>
      <c r="AB383" s="25" t="str">
        <f aca="false">IF(ISNUMBER(A383),IFERROR(INDEX(設定!$F$4:$F$27,MATCH(K383,設定!$E$4:$E$27,0)),""),"")</f>
        <v/>
      </c>
    </row>
    <row r="384" customFormat="false" ht="15" hidden="false" customHeight="false" outlineLevel="0" collapsed="false">
      <c r="Z384" s="25" t="str">
        <f aca="false">IF(ISNUMBER(A384),IF(COUNTIF(祝日!$A:$A,A384)&gt;0,"祝",CHOOSE(WEEKDAY(A384,2),"月","火","水","木","金","土","日")),"")</f>
        <v/>
      </c>
      <c r="AA384" s="25" t="str">
        <f aca="false">IF(ISNUMBER(A384),IFERROR(INDEX(集計!$V$3:$V$33,MATCH(A384,集計!$N$3:$N$33,0)),0),"")</f>
        <v/>
      </c>
      <c r="AB384" s="25" t="str">
        <f aca="false">IF(ISNUMBER(A384),IFERROR(INDEX(設定!$F$4:$F$27,MATCH(K384,設定!$E$4:$E$27,0)),""),"")</f>
        <v/>
      </c>
    </row>
    <row r="385" customFormat="false" ht="15" hidden="false" customHeight="false" outlineLevel="0" collapsed="false">
      <c r="Z385" s="25" t="str">
        <f aca="false">IF(ISNUMBER(A385),IF(COUNTIF(祝日!$A:$A,A385)&gt;0,"祝",CHOOSE(WEEKDAY(A385,2),"月","火","水","木","金","土","日")),"")</f>
        <v/>
      </c>
      <c r="AA385" s="25" t="str">
        <f aca="false">IF(ISNUMBER(A385),IFERROR(INDEX(集計!$V$3:$V$33,MATCH(A385,集計!$N$3:$N$33,0)),0),"")</f>
        <v/>
      </c>
      <c r="AB385" s="25" t="str">
        <f aca="false">IF(ISNUMBER(A385),IFERROR(INDEX(設定!$F$4:$F$27,MATCH(K385,設定!$E$4:$E$27,0)),""),"")</f>
        <v/>
      </c>
    </row>
    <row r="386" customFormat="false" ht="15" hidden="false" customHeight="false" outlineLevel="0" collapsed="false">
      <c r="Z386" s="25" t="str">
        <f aca="false">IF(ISNUMBER(A386),IF(COUNTIF(祝日!$A:$A,A386)&gt;0,"祝",CHOOSE(WEEKDAY(A386,2),"月","火","水","木","金","土","日")),"")</f>
        <v/>
      </c>
      <c r="AA386" s="25" t="str">
        <f aca="false">IF(ISNUMBER(A386),IFERROR(INDEX(集計!$V$3:$V$33,MATCH(A386,集計!$N$3:$N$33,0)),0),"")</f>
        <v/>
      </c>
      <c r="AB386" s="25" t="str">
        <f aca="false">IF(ISNUMBER(A386),IFERROR(INDEX(設定!$F$4:$F$27,MATCH(K386,設定!$E$4:$E$27,0)),""),"")</f>
        <v/>
      </c>
    </row>
    <row r="387" customFormat="false" ht="15" hidden="false" customHeight="false" outlineLevel="0" collapsed="false">
      <c r="Z387" s="25" t="str">
        <f aca="false">IF(ISNUMBER(A387),IF(COUNTIF(祝日!$A:$A,A387)&gt;0,"祝",CHOOSE(WEEKDAY(A387,2),"月","火","水","木","金","土","日")),"")</f>
        <v/>
      </c>
      <c r="AA387" s="25" t="str">
        <f aca="false">IF(ISNUMBER(A387),IFERROR(INDEX(集計!$V$3:$V$33,MATCH(A387,集計!$N$3:$N$33,0)),0),"")</f>
        <v/>
      </c>
      <c r="AB387" s="25" t="str">
        <f aca="false">IF(ISNUMBER(A387),IFERROR(INDEX(設定!$F$4:$F$27,MATCH(K387,設定!$E$4:$E$27,0)),""),"")</f>
        <v/>
      </c>
    </row>
    <row r="388" customFormat="false" ht="15" hidden="false" customHeight="false" outlineLevel="0" collapsed="false">
      <c r="Z388" s="25" t="str">
        <f aca="false">IF(ISNUMBER(A388),IF(COUNTIF(祝日!$A:$A,A388)&gt;0,"祝",CHOOSE(WEEKDAY(A388,2),"月","火","水","木","金","土","日")),"")</f>
        <v/>
      </c>
      <c r="AA388" s="25" t="str">
        <f aca="false">IF(ISNUMBER(A388),IFERROR(INDEX(集計!$V$3:$V$33,MATCH(A388,集計!$N$3:$N$33,0)),0),"")</f>
        <v/>
      </c>
      <c r="AB388" s="25" t="str">
        <f aca="false">IF(ISNUMBER(A388),IFERROR(INDEX(設定!$F$4:$F$27,MATCH(K388,設定!$E$4:$E$27,0)),""),"")</f>
        <v/>
      </c>
    </row>
    <row r="389" customFormat="false" ht="15" hidden="false" customHeight="false" outlineLevel="0" collapsed="false">
      <c r="Z389" s="25" t="str">
        <f aca="false">IF(ISNUMBER(A389),IF(COUNTIF(祝日!$A:$A,A389)&gt;0,"祝",CHOOSE(WEEKDAY(A389,2),"月","火","水","木","金","土","日")),"")</f>
        <v/>
      </c>
      <c r="AA389" s="25" t="str">
        <f aca="false">IF(ISNUMBER(A389),IFERROR(INDEX(集計!$V$3:$V$33,MATCH(A389,集計!$N$3:$N$33,0)),0),"")</f>
        <v/>
      </c>
      <c r="AB389" s="25" t="str">
        <f aca="false">IF(ISNUMBER(A389),IFERROR(INDEX(設定!$F$4:$F$27,MATCH(K389,設定!$E$4:$E$27,0)),""),"")</f>
        <v/>
      </c>
    </row>
    <row r="390" customFormat="false" ht="15" hidden="false" customHeight="false" outlineLevel="0" collapsed="false">
      <c r="Z390" s="25" t="str">
        <f aca="false">IF(ISNUMBER(A390),IF(COUNTIF(祝日!$A:$A,A390)&gt;0,"祝",CHOOSE(WEEKDAY(A390,2),"月","火","水","木","金","土","日")),"")</f>
        <v/>
      </c>
      <c r="AA390" s="25" t="str">
        <f aca="false">IF(ISNUMBER(A390),IFERROR(INDEX(集計!$V$3:$V$33,MATCH(A390,集計!$N$3:$N$33,0)),0),"")</f>
        <v/>
      </c>
      <c r="AB390" s="25" t="str">
        <f aca="false">IF(ISNUMBER(A390),IFERROR(INDEX(設定!$F$4:$F$27,MATCH(K390,設定!$E$4:$E$27,0)),""),"")</f>
        <v/>
      </c>
    </row>
    <row r="391" customFormat="false" ht="15" hidden="false" customHeight="false" outlineLevel="0" collapsed="false">
      <c r="Z391" s="25" t="str">
        <f aca="false">IF(ISNUMBER(A391),IF(COUNTIF(祝日!$A:$A,A391)&gt;0,"祝",CHOOSE(WEEKDAY(A391,2),"月","火","水","木","金","土","日")),"")</f>
        <v/>
      </c>
      <c r="AA391" s="25" t="str">
        <f aca="false">IF(ISNUMBER(A391),IFERROR(INDEX(集計!$V$3:$V$33,MATCH(A391,集計!$N$3:$N$33,0)),0),"")</f>
        <v/>
      </c>
      <c r="AB391" s="25" t="str">
        <f aca="false">IF(ISNUMBER(A391),IFERROR(INDEX(設定!$F$4:$F$27,MATCH(K391,設定!$E$4:$E$27,0)),""),"")</f>
        <v/>
      </c>
    </row>
    <row r="392" customFormat="false" ht="15" hidden="false" customHeight="false" outlineLevel="0" collapsed="false">
      <c r="Z392" s="25" t="str">
        <f aca="false">IF(ISNUMBER(A392),IF(COUNTIF(祝日!$A:$A,A392)&gt;0,"祝",CHOOSE(WEEKDAY(A392,2),"月","火","水","木","金","土","日")),"")</f>
        <v/>
      </c>
      <c r="AA392" s="25" t="str">
        <f aca="false">IF(ISNUMBER(A392),IFERROR(INDEX(集計!$V$3:$V$33,MATCH(A392,集計!$N$3:$N$33,0)),0),"")</f>
        <v/>
      </c>
      <c r="AB392" s="25" t="str">
        <f aca="false">IF(ISNUMBER(A392),IFERROR(INDEX(設定!$F$4:$F$27,MATCH(K392,設定!$E$4:$E$27,0)),""),"")</f>
        <v/>
      </c>
    </row>
    <row r="393" customFormat="false" ht="15" hidden="false" customHeight="false" outlineLevel="0" collapsed="false">
      <c r="Z393" s="25" t="str">
        <f aca="false">IF(ISNUMBER(A393),IF(COUNTIF(祝日!$A:$A,A393)&gt;0,"祝",CHOOSE(WEEKDAY(A393,2),"月","火","水","木","金","土","日")),"")</f>
        <v/>
      </c>
      <c r="AA393" s="25" t="str">
        <f aca="false">IF(ISNUMBER(A393),IFERROR(INDEX(集計!$V$3:$V$33,MATCH(A393,集計!$N$3:$N$33,0)),0),"")</f>
        <v/>
      </c>
      <c r="AB393" s="25" t="str">
        <f aca="false">IF(ISNUMBER(A393),IFERROR(INDEX(設定!$F$4:$F$27,MATCH(K393,設定!$E$4:$E$27,0)),""),"")</f>
        <v/>
      </c>
    </row>
    <row r="394" customFormat="false" ht="15" hidden="false" customHeight="false" outlineLevel="0" collapsed="false">
      <c r="Z394" s="25" t="str">
        <f aca="false">IF(ISNUMBER(A394),IF(COUNTIF(祝日!$A:$A,A394)&gt;0,"祝",CHOOSE(WEEKDAY(A394,2),"月","火","水","木","金","土","日")),"")</f>
        <v/>
      </c>
      <c r="AA394" s="25" t="str">
        <f aca="false">IF(ISNUMBER(A394),IFERROR(INDEX(集計!$V$3:$V$33,MATCH(A394,集計!$N$3:$N$33,0)),0),"")</f>
        <v/>
      </c>
      <c r="AB394" s="25" t="str">
        <f aca="false">IF(ISNUMBER(A394),IFERROR(INDEX(設定!$F$4:$F$27,MATCH(K394,設定!$E$4:$E$27,0)),""),"")</f>
        <v/>
      </c>
    </row>
    <row r="395" customFormat="false" ht="15" hidden="false" customHeight="false" outlineLevel="0" collapsed="false">
      <c r="Z395" s="25" t="str">
        <f aca="false">IF(ISNUMBER(A395),IF(COUNTIF(祝日!$A:$A,A395)&gt;0,"祝",CHOOSE(WEEKDAY(A395,2),"月","火","水","木","金","土","日")),"")</f>
        <v/>
      </c>
      <c r="AA395" s="25" t="str">
        <f aca="false">IF(ISNUMBER(A395),IFERROR(INDEX(集計!$V$3:$V$33,MATCH(A395,集計!$N$3:$N$33,0)),0),"")</f>
        <v/>
      </c>
      <c r="AB395" s="25" t="str">
        <f aca="false">IF(ISNUMBER(A395),IFERROR(INDEX(設定!$F$4:$F$27,MATCH(K395,設定!$E$4:$E$27,0)),""),"")</f>
        <v/>
      </c>
    </row>
    <row r="396" customFormat="false" ht="15" hidden="false" customHeight="false" outlineLevel="0" collapsed="false">
      <c r="Z396" s="25" t="str">
        <f aca="false">IF(ISNUMBER(A396),IF(COUNTIF(祝日!$A:$A,A396)&gt;0,"祝",CHOOSE(WEEKDAY(A396,2),"月","火","水","木","金","土","日")),"")</f>
        <v/>
      </c>
      <c r="AA396" s="25" t="str">
        <f aca="false">IF(ISNUMBER(A396),IFERROR(INDEX(集計!$V$3:$V$33,MATCH(A396,集計!$N$3:$N$33,0)),0),"")</f>
        <v/>
      </c>
      <c r="AB396" s="25" t="str">
        <f aca="false">IF(ISNUMBER(A396),IFERROR(INDEX(設定!$F$4:$F$27,MATCH(K396,設定!$E$4:$E$27,0)),""),"")</f>
        <v/>
      </c>
    </row>
    <row r="397" customFormat="false" ht="15" hidden="false" customHeight="false" outlineLevel="0" collapsed="false">
      <c r="Z397" s="25" t="str">
        <f aca="false">IF(ISNUMBER(A397),IF(COUNTIF(祝日!$A:$A,A397)&gt;0,"祝",CHOOSE(WEEKDAY(A397,2),"月","火","水","木","金","土","日")),"")</f>
        <v/>
      </c>
      <c r="AA397" s="25" t="str">
        <f aca="false">IF(ISNUMBER(A397),IFERROR(INDEX(集計!$V$3:$V$33,MATCH(A397,集計!$N$3:$N$33,0)),0),"")</f>
        <v/>
      </c>
      <c r="AB397" s="25" t="str">
        <f aca="false">IF(ISNUMBER(A397),IFERROR(INDEX(設定!$F$4:$F$27,MATCH(K397,設定!$E$4:$E$27,0)),""),"")</f>
        <v/>
      </c>
    </row>
    <row r="398" customFormat="false" ht="15" hidden="false" customHeight="false" outlineLevel="0" collapsed="false">
      <c r="Z398" s="25" t="str">
        <f aca="false">IF(ISNUMBER(A398),IF(COUNTIF(祝日!$A:$A,A398)&gt;0,"祝",CHOOSE(WEEKDAY(A398,2),"月","火","水","木","金","土","日")),"")</f>
        <v/>
      </c>
      <c r="AA398" s="25" t="str">
        <f aca="false">IF(ISNUMBER(A398),IFERROR(INDEX(集計!$V$3:$V$33,MATCH(A398,集計!$N$3:$N$33,0)),0),"")</f>
        <v/>
      </c>
      <c r="AB398" s="25" t="str">
        <f aca="false">IF(ISNUMBER(A398),IFERROR(INDEX(設定!$F$4:$F$27,MATCH(K398,設定!$E$4:$E$27,0)),""),"")</f>
        <v/>
      </c>
    </row>
    <row r="399" customFormat="false" ht="15" hidden="false" customHeight="false" outlineLevel="0" collapsed="false">
      <c r="Z399" s="25" t="str">
        <f aca="false">IF(ISNUMBER(A399),IF(COUNTIF(祝日!$A:$A,A399)&gt;0,"祝",CHOOSE(WEEKDAY(A399,2),"月","火","水","木","金","土","日")),"")</f>
        <v/>
      </c>
      <c r="AA399" s="25" t="str">
        <f aca="false">IF(ISNUMBER(A399),IFERROR(INDEX(集計!$V$3:$V$33,MATCH(A399,集計!$N$3:$N$33,0)),0),"")</f>
        <v/>
      </c>
      <c r="AB399" s="25" t="str">
        <f aca="false">IF(ISNUMBER(A399),IFERROR(INDEX(設定!$F$4:$F$27,MATCH(K399,設定!$E$4:$E$27,0)),""),"")</f>
        <v/>
      </c>
    </row>
    <row r="400" customFormat="false" ht="15" hidden="false" customHeight="false" outlineLevel="0" collapsed="false">
      <c r="Z400" s="25" t="str">
        <f aca="false">IF(ISNUMBER(A400),IF(COUNTIF(祝日!$A:$A,A400)&gt;0,"祝",CHOOSE(WEEKDAY(A400,2),"月","火","水","木","金","土","日")),"")</f>
        <v/>
      </c>
      <c r="AA400" s="25" t="str">
        <f aca="false">IF(ISNUMBER(A400),IFERROR(INDEX(集計!$V$3:$V$33,MATCH(A400,集計!$N$3:$N$33,0)),0),"")</f>
        <v/>
      </c>
      <c r="AB400" s="25" t="str">
        <f aca="false">IF(ISNUMBER(A400),IFERROR(INDEX(設定!$F$4:$F$27,MATCH(K400,設定!$E$4:$E$27,0)),""),"")</f>
        <v/>
      </c>
    </row>
    <row r="401" customFormat="false" ht="15" hidden="false" customHeight="false" outlineLevel="0" collapsed="false">
      <c r="Z401" s="25" t="str">
        <f aca="false">IF(ISNUMBER(A401),IF(COUNTIF(祝日!$A:$A,A401)&gt;0,"祝",CHOOSE(WEEKDAY(A401,2),"月","火","水","木","金","土","日")),"")</f>
        <v/>
      </c>
      <c r="AA401" s="25" t="str">
        <f aca="false">IF(ISNUMBER(A401),IFERROR(INDEX(集計!$V$3:$V$33,MATCH(A401,集計!$N$3:$N$33,0)),0),"")</f>
        <v/>
      </c>
      <c r="AB401" s="25" t="str">
        <f aca="false">IF(ISNUMBER(A401),IFERROR(INDEX(設定!$F$4:$F$27,MATCH(K401,設定!$E$4:$E$27,0)),""),"")</f>
        <v/>
      </c>
    </row>
    <row r="402" customFormat="false" ht="15" hidden="false" customHeight="false" outlineLevel="0" collapsed="false">
      <c r="Z402" s="25" t="str">
        <f aca="false">IF(ISNUMBER(A402),IF(COUNTIF(祝日!$A:$A,A402)&gt;0,"祝",CHOOSE(WEEKDAY(A402,2),"月","火","水","木","金","土","日")),"")</f>
        <v/>
      </c>
      <c r="AA402" s="25" t="str">
        <f aca="false">IF(ISNUMBER(A402),IFERROR(INDEX(集計!$V$3:$V$33,MATCH(A402,集計!$N$3:$N$33,0)),0),"")</f>
        <v/>
      </c>
      <c r="AB402" s="25" t="str">
        <f aca="false">IF(ISNUMBER(A402),IFERROR(INDEX(設定!$F$4:$F$27,MATCH(K402,設定!$E$4:$E$27,0)),""),"")</f>
        <v/>
      </c>
    </row>
    <row r="403" customFormat="false" ht="15" hidden="false" customHeight="false" outlineLevel="0" collapsed="false">
      <c r="Z403" s="25" t="str">
        <f aca="false">IF(ISNUMBER(A403),IF(COUNTIF(祝日!$A:$A,A403)&gt;0,"祝",CHOOSE(WEEKDAY(A403,2),"月","火","水","木","金","土","日")),"")</f>
        <v/>
      </c>
      <c r="AA403" s="25" t="str">
        <f aca="false">IF(ISNUMBER(A403),IFERROR(INDEX(集計!$V$3:$V$33,MATCH(A403,集計!$N$3:$N$33,0)),0),"")</f>
        <v/>
      </c>
      <c r="AB403" s="25" t="str">
        <f aca="false">IF(ISNUMBER(A403),IFERROR(INDEX(設定!$F$4:$F$27,MATCH(K403,設定!$E$4:$E$27,0)),""),"")</f>
        <v/>
      </c>
    </row>
    <row r="404" customFormat="false" ht="15" hidden="false" customHeight="false" outlineLevel="0" collapsed="false">
      <c r="Z404" s="25" t="str">
        <f aca="false">IF(ISNUMBER(A404),IF(COUNTIF(祝日!$A:$A,A404)&gt;0,"祝",CHOOSE(WEEKDAY(A404,2),"月","火","水","木","金","土","日")),"")</f>
        <v/>
      </c>
      <c r="AA404" s="25" t="str">
        <f aca="false">IF(ISNUMBER(A404),IFERROR(INDEX(集計!$V$3:$V$33,MATCH(A404,集計!$N$3:$N$33,0)),0),"")</f>
        <v/>
      </c>
      <c r="AB404" s="25" t="str">
        <f aca="false">IF(ISNUMBER(A404),IFERROR(INDEX(設定!$F$4:$F$27,MATCH(K404,設定!$E$4:$E$27,0)),""),"")</f>
        <v/>
      </c>
    </row>
    <row r="405" customFormat="false" ht="15" hidden="false" customHeight="false" outlineLevel="0" collapsed="false">
      <c r="Z405" s="25" t="str">
        <f aca="false">IF(ISNUMBER(A405),IF(COUNTIF(祝日!$A:$A,A405)&gt;0,"祝",CHOOSE(WEEKDAY(A405,2),"月","火","水","木","金","土","日")),"")</f>
        <v/>
      </c>
      <c r="AA405" s="25" t="str">
        <f aca="false">IF(ISNUMBER(A405),IFERROR(INDEX(集計!$V$3:$V$33,MATCH(A405,集計!$N$3:$N$33,0)),0),"")</f>
        <v/>
      </c>
      <c r="AB405" s="25" t="str">
        <f aca="false">IF(ISNUMBER(A405),IFERROR(INDEX(設定!$F$4:$F$27,MATCH(K405,設定!$E$4:$E$27,0)),""),"")</f>
        <v/>
      </c>
    </row>
    <row r="406" customFormat="false" ht="15" hidden="false" customHeight="false" outlineLevel="0" collapsed="false">
      <c r="Z406" s="25" t="str">
        <f aca="false">IF(ISNUMBER(A406),IF(COUNTIF(祝日!$A:$A,A406)&gt;0,"祝",CHOOSE(WEEKDAY(A406,2),"月","火","水","木","金","土","日")),"")</f>
        <v/>
      </c>
      <c r="AA406" s="25" t="str">
        <f aca="false">IF(ISNUMBER(A406),IFERROR(INDEX(集計!$V$3:$V$33,MATCH(A406,集計!$N$3:$N$33,0)),0),"")</f>
        <v/>
      </c>
      <c r="AB406" s="25" t="str">
        <f aca="false">IF(ISNUMBER(A406),IFERROR(INDEX(設定!$F$4:$F$27,MATCH(K406,設定!$E$4:$E$27,0)),""),"")</f>
        <v/>
      </c>
    </row>
    <row r="407" customFormat="false" ht="15" hidden="false" customHeight="false" outlineLevel="0" collapsed="false">
      <c r="Z407" s="25" t="str">
        <f aca="false">IF(ISNUMBER(A407),IF(COUNTIF(祝日!$A:$A,A407)&gt;0,"祝",CHOOSE(WEEKDAY(A407,2),"月","火","水","木","金","土","日")),"")</f>
        <v/>
      </c>
      <c r="AA407" s="25" t="str">
        <f aca="false">IF(ISNUMBER(A407),IFERROR(INDEX(集計!$V$3:$V$33,MATCH(A407,集計!$N$3:$N$33,0)),0),"")</f>
        <v/>
      </c>
      <c r="AB407" s="25" t="str">
        <f aca="false">IF(ISNUMBER(A407),IFERROR(INDEX(設定!$F$4:$F$27,MATCH(K407,設定!$E$4:$E$27,0)),""),"")</f>
        <v/>
      </c>
    </row>
    <row r="408" customFormat="false" ht="15" hidden="false" customHeight="false" outlineLevel="0" collapsed="false">
      <c r="Z408" s="25" t="str">
        <f aca="false">IF(ISNUMBER(A408),IF(COUNTIF(祝日!$A:$A,A408)&gt;0,"祝",CHOOSE(WEEKDAY(A408,2),"月","火","水","木","金","土","日")),"")</f>
        <v/>
      </c>
      <c r="AA408" s="25" t="str">
        <f aca="false">IF(ISNUMBER(A408),IFERROR(INDEX(集計!$V$3:$V$33,MATCH(A408,集計!$N$3:$N$33,0)),0),"")</f>
        <v/>
      </c>
      <c r="AB408" s="25" t="str">
        <f aca="false">IF(ISNUMBER(A408),IFERROR(INDEX(設定!$F$4:$F$27,MATCH(K408,設定!$E$4:$E$27,0)),""),"")</f>
        <v/>
      </c>
    </row>
    <row r="409" customFormat="false" ht="15" hidden="false" customHeight="false" outlineLevel="0" collapsed="false">
      <c r="Z409" s="25" t="str">
        <f aca="false">IF(ISNUMBER(A409),IF(COUNTIF(祝日!$A:$A,A409)&gt;0,"祝",CHOOSE(WEEKDAY(A409,2),"月","火","水","木","金","土","日")),"")</f>
        <v/>
      </c>
      <c r="AA409" s="25" t="str">
        <f aca="false">IF(ISNUMBER(A409),IFERROR(INDEX(集計!$V$3:$V$33,MATCH(A409,集計!$N$3:$N$33,0)),0),"")</f>
        <v/>
      </c>
      <c r="AB409" s="25" t="str">
        <f aca="false">IF(ISNUMBER(A409),IFERROR(INDEX(設定!$F$4:$F$27,MATCH(K409,設定!$E$4:$E$27,0)),""),"")</f>
        <v/>
      </c>
    </row>
    <row r="410" customFormat="false" ht="15" hidden="false" customHeight="false" outlineLevel="0" collapsed="false">
      <c r="Z410" s="25" t="str">
        <f aca="false">IF(ISNUMBER(A410),IF(COUNTIF(祝日!$A:$A,A410)&gt;0,"祝",CHOOSE(WEEKDAY(A410,2),"月","火","水","木","金","土","日")),"")</f>
        <v/>
      </c>
      <c r="AA410" s="25" t="str">
        <f aca="false">IF(ISNUMBER(A410),IFERROR(INDEX(集計!$V$3:$V$33,MATCH(A410,集計!$N$3:$N$33,0)),0),"")</f>
        <v/>
      </c>
      <c r="AB410" s="25" t="str">
        <f aca="false">IF(ISNUMBER(A410),IFERROR(INDEX(設定!$F$4:$F$27,MATCH(K410,設定!$E$4:$E$27,0)),""),"")</f>
        <v/>
      </c>
    </row>
    <row r="411" customFormat="false" ht="15" hidden="false" customHeight="false" outlineLevel="0" collapsed="false">
      <c r="Z411" s="25" t="str">
        <f aca="false">IF(ISNUMBER(A411),IF(COUNTIF(祝日!$A:$A,A411)&gt;0,"祝",CHOOSE(WEEKDAY(A411,2),"月","火","水","木","金","土","日")),"")</f>
        <v/>
      </c>
      <c r="AA411" s="25" t="str">
        <f aca="false">IF(ISNUMBER(A411),IFERROR(INDEX(集計!$V$3:$V$33,MATCH(A411,集計!$N$3:$N$33,0)),0),"")</f>
        <v/>
      </c>
      <c r="AB411" s="25" t="str">
        <f aca="false">IF(ISNUMBER(A411),IFERROR(INDEX(設定!$F$4:$F$27,MATCH(K411,設定!$E$4:$E$27,0)),""),"")</f>
        <v/>
      </c>
    </row>
    <row r="412" customFormat="false" ht="15" hidden="false" customHeight="false" outlineLevel="0" collapsed="false">
      <c r="Z412" s="25" t="str">
        <f aca="false">IF(ISNUMBER(A412),IF(COUNTIF(祝日!$A:$A,A412)&gt;0,"祝",CHOOSE(WEEKDAY(A412,2),"月","火","水","木","金","土","日")),"")</f>
        <v/>
      </c>
      <c r="AA412" s="25" t="str">
        <f aca="false">IF(ISNUMBER(A412),IFERROR(INDEX(集計!$V$3:$V$33,MATCH(A412,集計!$N$3:$N$33,0)),0),"")</f>
        <v/>
      </c>
      <c r="AB412" s="25" t="str">
        <f aca="false">IF(ISNUMBER(A412),IFERROR(INDEX(設定!$F$4:$F$27,MATCH(K412,設定!$E$4:$E$27,0)),""),"")</f>
        <v/>
      </c>
    </row>
    <row r="413" customFormat="false" ht="15" hidden="false" customHeight="false" outlineLevel="0" collapsed="false">
      <c r="Z413" s="25" t="str">
        <f aca="false">IF(ISNUMBER(A413),IF(COUNTIF(祝日!$A:$A,A413)&gt;0,"祝",CHOOSE(WEEKDAY(A413,2),"月","火","水","木","金","土","日")),"")</f>
        <v/>
      </c>
      <c r="AA413" s="25" t="str">
        <f aca="false">IF(ISNUMBER(A413),IFERROR(INDEX(集計!$V$3:$V$33,MATCH(A413,集計!$N$3:$N$33,0)),0),"")</f>
        <v/>
      </c>
      <c r="AB413" s="25" t="str">
        <f aca="false">IF(ISNUMBER(A413),IFERROR(INDEX(設定!$F$4:$F$27,MATCH(K413,設定!$E$4:$E$27,0)),""),"")</f>
        <v/>
      </c>
    </row>
    <row r="414" customFormat="false" ht="15" hidden="false" customHeight="false" outlineLevel="0" collapsed="false">
      <c r="Z414" s="25" t="str">
        <f aca="false">IF(ISNUMBER(A414),IF(COUNTIF(祝日!$A:$A,A414)&gt;0,"祝",CHOOSE(WEEKDAY(A414,2),"月","火","水","木","金","土","日")),"")</f>
        <v/>
      </c>
      <c r="AA414" s="25" t="str">
        <f aca="false">IF(ISNUMBER(A414),IFERROR(INDEX(集計!$V$3:$V$33,MATCH(A414,集計!$N$3:$N$33,0)),0),"")</f>
        <v/>
      </c>
      <c r="AB414" s="25" t="str">
        <f aca="false">IF(ISNUMBER(A414),IFERROR(INDEX(設定!$F$4:$F$27,MATCH(K414,設定!$E$4:$E$27,0)),""),"")</f>
        <v/>
      </c>
    </row>
    <row r="415" customFormat="false" ht="15" hidden="false" customHeight="false" outlineLevel="0" collapsed="false">
      <c r="Z415" s="25" t="str">
        <f aca="false">IF(ISNUMBER(A415),IF(COUNTIF(祝日!$A:$A,A415)&gt;0,"祝",CHOOSE(WEEKDAY(A415,2),"月","火","水","木","金","土","日")),"")</f>
        <v/>
      </c>
      <c r="AA415" s="25" t="str">
        <f aca="false">IF(ISNUMBER(A415),IFERROR(INDEX(集計!$V$3:$V$33,MATCH(A415,集計!$N$3:$N$33,0)),0),"")</f>
        <v/>
      </c>
      <c r="AB415" s="25" t="str">
        <f aca="false">IF(ISNUMBER(A415),IFERROR(INDEX(設定!$F$4:$F$27,MATCH(K415,設定!$E$4:$E$27,0)),""),"")</f>
        <v/>
      </c>
    </row>
    <row r="416" customFormat="false" ht="15" hidden="false" customHeight="false" outlineLevel="0" collapsed="false">
      <c r="Z416" s="25" t="str">
        <f aca="false">IF(ISNUMBER(A416),IF(COUNTIF(祝日!$A:$A,A416)&gt;0,"祝",CHOOSE(WEEKDAY(A416,2),"月","火","水","木","金","土","日")),"")</f>
        <v/>
      </c>
      <c r="AA416" s="25" t="str">
        <f aca="false">IF(ISNUMBER(A416),IFERROR(INDEX(集計!$V$3:$V$33,MATCH(A416,集計!$N$3:$N$33,0)),0),"")</f>
        <v/>
      </c>
      <c r="AB416" s="25" t="str">
        <f aca="false">IF(ISNUMBER(A416),IFERROR(INDEX(設定!$F$4:$F$27,MATCH(K416,設定!$E$4:$E$27,0)),""),"")</f>
        <v/>
      </c>
    </row>
    <row r="417" customFormat="false" ht="15" hidden="false" customHeight="false" outlineLevel="0" collapsed="false">
      <c r="Z417" s="25" t="str">
        <f aca="false">IF(ISNUMBER(A417),IF(COUNTIF(祝日!$A:$A,A417)&gt;0,"祝",CHOOSE(WEEKDAY(A417,2),"月","火","水","木","金","土","日")),"")</f>
        <v/>
      </c>
      <c r="AA417" s="25" t="str">
        <f aca="false">IF(ISNUMBER(A417),IFERROR(INDEX(集計!$V$3:$V$33,MATCH(A417,集計!$N$3:$N$33,0)),0),"")</f>
        <v/>
      </c>
      <c r="AB417" s="25" t="str">
        <f aca="false">IF(ISNUMBER(A417),IFERROR(INDEX(設定!$F$4:$F$27,MATCH(K417,設定!$E$4:$E$27,0)),""),"")</f>
        <v/>
      </c>
    </row>
    <row r="418" customFormat="false" ht="15" hidden="false" customHeight="false" outlineLevel="0" collapsed="false">
      <c r="Z418" s="25" t="str">
        <f aca="false">IF(ISNUMBER(A418),IF(COUNTIF(祝日!$A:$A,A418)&gt;0,"祝",CHOOSE(WEEKDAY(A418,2),"月","火","水","木","金","土","日")),"")</f>
        <v/>
      </c>
      <c r="AA418" s="25" t="str">
        <f aca="false">IF(ISNUMBER(A418),IFERROR(INDEX(集計!$V$3:$V$33,MATCH(A418,集計!$N$3:$N$33,0)),0),"")</f>
        <v/>
      </c>
      <c r="AB418" s="25" t="str">
        <f aca="false">IF(ISNUMBER(A418),IFERROR(INDEX(設定!$F$4:$F$27,MATCH(K418,設定!$E$4:$E$27,0)),""),"")</f>
        <v/>
      </c>
    </row>
    <row r="419" customFormat="false" ht="15" hidden="false" customHeight="false" outlineLevel="0" collapsed="false">
      <c r="Z419" s="25" t="str">
        <f aca="false">IF(ISNUMBER(A419),IF(COUNTIF(祝日!$A:$A,A419)&gt;0,"祝",CHOOSE(WEEKDAY(A419,2),"月","火","水","木","金","土","日")),"")</f>
        <v/>
      </c>
      <c r="AA419" s="25" t="str">
        <f aca="false">IF(ISNUMBER(A419),IFERROR(INDEX(集計!$V$3:$V$33,MATCH(A419,集計!$N$3:$N$33,0)),0),"")</f>
        <v/>
      </c>
      <c r="AB419" s="25" t="str">
        <f aca="false">IF(ISNUMBER(A419),IFERROR(INDEX(設定!$F$4:$F$27,MATCH(K419,設定!$E$4:$E$27,0)),""),"")</f>
        <v/>
      </c>
    </row>
    <row r="420" customFormat="false" ht="15" hidden="false" customHeight="false" outlineLevel="0" collapsed="false">
      <c r="Z420" s="25" t="str">
        <f aca="false">IF(ISNUMBER(A420),IF(COUNTIF(祝日!$A:$A,A420)&gt;0,"祝",CHOOSE(WEEKDAY(A420,2),"月","火","水","木","金","土","日")),"")</f>
        <v/>
      </c>
      <c r="AA420" s="25" t="str">
        <f aca="false">IF(ISNUMBER(A420),IFERROR(INDEX(集計!$V$3:$V$33,MATCH(A420,集計!$N$3:$N$33,0)),0),"")</f>
        <v/>
      </c>
      <c r="AB420" s="25" t="str">
        <f aca="false">IF(ISNUMBER(A420),IFERROR(INDEX(設定!$F$4:$F$27,MATCH(K420,設定!$E$4:$E$27,0)),""),"")</f>
        <v/>
      </c>
    </row>
    <row r="421" customFormat="false" ht="15" hidden="false" customHeight="false" outlineLevel="0" collapsed="false">
      <c r="Z421" s="25" t="str">
        <f aca="false">IF(ISNUMBER(A421),IF(COUNTIF(祝日!$A:$A,A421)&gt;0,"祝",CHOOSE(WEEKDAY(A421,2),"月","火","水","木","金","土","日")),"")</f>
        <v/>
      </c>
      <c r="AA421" s="25" t="str">
        <f aca="false">IF(ISNUMBER(A421),IFERROR(INDEX(集計!$V$3:$V$33,MATCH(A421,集計!$N$3:$N$33,0)),0),"")</f>
        <v/>
      </c>
      <c r="AB421" s="25" t="str">
        <f aca="false">IF(ISNUMBER(A421),IFERROR(INDEX(設定!$F$4:$F$27,MATCH(K421,設定!$E$4:$E$27,0)),""),"")</f>
        <v/>
      </c>
    </row>
    <row r="422" customFormat="false" ht="15" hidden="false" customHeight="false" outlineLevel="0" collapsed="false">
      <c r="Z422" s="25" t="str">
        <f aca="false">IF(ISNUMBER(A422),IF(COUNTIF(祝日!$A:$A,A422)&gt;0,"祝",CHOOSE(WEEKDAY(A422,2),"月","火","水","木","金","土","日")),"")</f>
        <v/>
      </c>
      <c r="AA422" s="25" t="str">
        <f aca="false">IF(ISNUMBER(A422),IFERROR(INDEX(集計!$V$3:$V$33,MATCH(A422,集計!$N$3:$N$33,0)),0),"")</f>
        <v/>
      </c>
      <c r="AB422" s="25" t="str">
        <f aca="false">IF(ISNUMBER(A422),IFERROR(INDEX(設定!$F$4:$F$27,MATCH(K422,設定!$E$4:$E$27,0)),""),"")</f>
        <v/>
      </c>
    </row>
    <row r="423" customFormat="false" ht="15" hidden="false" customHeight="false" outlineLevel="0" collapsed="false">
      <c r="Z423" s="25" t="str">
        <f aca="false">IF(ISNUMBER(A423),IF(COUNTIF(祝日!$A:$A,A423)&gt;0,"祝",CHOOSE(WEEKDAY(A423,2),"月","火","水","木","金","土","日")),"")</f>
        <v/>
      </c>
      <c r="AA423" s="25" t="str">
        <f aca="false">IF(ISNUMBER(A423),IFERROR(INDEX(集計!$V$3:$V$33,MATCH(A423,集計!$N$3:$N$33,0)),0),"")</f>
        <v/>
      </c>
      <c r="AB423" s="25" t="str">
        <f aca="false">IF(ISNUMBER(A423),IFERROR(INDEX(設定!$F$4:$F$27,MATCH(K423,設定!$E$4:$E$27,0)),""),"")</f>
        <v/>
      </c>
    </row>
    <row r="424" customFormat="false" ht="15" hidden="false" customHeight="false" outlineLevel="0" collapsed="false">
      <c r="Z424" s="25" t="str">
        <f aca="false">IF(ISNUMBER(A424),IF(COUNTIF(祝日!$A:$A,A424)&gt;0,"祝",CHOOSE(WEEKDAY(A424,2),"月","火","水","木","金","土","日")),"")</f>
        <v/>
      </c>
      <c r="AA424" s="25" t="str">
        <f aca="false">IF(ISNUMBER(A424),IFERROR(INDEX(集計!$V$3:$V$33,MATCH(A424,集計!$N$3:$N$33,0)),0),"")</f>
        <v/>
      </c>
      <c r="AB424" s="25" t="str">
        <f aca="false">IF(ISNUMBER(A424),IFERROR(INDEX(設定!$F$4:$F$27,MATCH(K424,設定!$E$4:$E$27,0)),""),"")</f>
        <v/>
      </c>
    </row>
    <row r="425" customFormat="false" ht="15" hidden="false" customHeight="false" outlineLevel="0" collapsed="false">
      <c r="Z425" s="25" t="str">
        <f aca="false">IF(ISNUMBER(A425),IF(COUNTIF(祝日!$A:$A,A425)&gt;0,"祝",CHOOSE(WEEKDAY(A425,2),"月","火","水","木","金","土","日")),"")</f>
        <v/>
      </c>
      <c r="AA425" s="25" t="str">
        <f aca="false">IF(ISNUMBER(A425),IFERROR(INDEX(集計!$V$3:$V$33,MATCH(A425,集計!$N$3:$N$33,0)),0),"")</f>
        <v/>
      </c>
      <c r="AB425" s="25" t="str">
        <f aca="false">IF(ISNUMBER(A425),IFERROR(INDEX(設定!$F$4:$F$27,MATCH(K425,設定!$E$4:$E$27,0)),""),"")</f>
        <v/>
      </c>
    </row>
    <row r="426" customFormat="false" ht="15" hidden="false" customHeight="false" outlineLevel="0" collapsed="false">
      <c r="Z426" s="25" t="str">
        <f aca="false">IF(ISNUMBER(A426),IF(COUNTIF(祝日!$A:$A,A426)&gt;0,"祝",CHOOSE(WEEKDAY(A426,2),"月","火","水","木","金","土","日")),"")</f>
        <v/>
      </c>
      <c r="AA426" s="25" t="str">
        <f aca="false">IF(ISNUMBER(A426),IFERROR(INDEX(集計!$V$3:$V$33,MATCH(A426,集計!$N$3:$N$33,0)),0),"")</f>
        <v/>
      </c>
      <c r="AB426" s="25" t="str">
        <f aca="false">IF(ISNUMBER(A426),IFERROR(INDEX(設定!$F$4:$F$27,MATCH(K426,設定!$E$4:$E$27,0)),""),"")</f>
        <v/>
      </c>
    </row>
    <row r="427" customFormat="false" ht="15" hidden="false" customHeight="false" outlineLevel="0" collapsed="false">
      <c r="Z427" s="25" t="str">
        <f aca="false">IF(ISNUMBER(A427),IF(COUNTIF(祝日!$A:$A,A427)&gt;0,"祝",CHOOSE(WEEKDAY(A427,2),"月","火","水","木","金","土","日")),"")</f>
        <v/>
      </c>
      <c r="AA427" s="25" t="str">
        <f aca="false">IF(ISNUMBER(A427),IFERROR(INDEX(集計!$V$3:$V$33,MATCH(A427,集計!$N$3:$N$33,0)),0),"")</f>
        <v/>
      </c>
      <c r="AB427" s="25" t="str">
        <f aca="false">IF(ISNUMBER(A427),IFERROR(INDEX(設定!$F$4:$F$27,MATCH(K427,設定!$E$4:$E$27,0)),""),"")</f>
        <v/>
      </c>
    </row>
    <row r="428" customFormat="false" ht="15" hidden="false" customHeight="false" outlineLevel="0" collapsed="false">
      <c r="Z428" s="25" t="str">
        <f aca="false">IF(ISNUMBER(A428),IF(COUNTIF(祝日!$A:$A,A428)&gt;0,"祝",CHOOSE(WEEKDAY(A428,2),"月","火","水","木","金","土","日")),"")</f>
        <v/>
      </c>
      <c r="AA428" s="25" t="str">
        <f aca="false">IF(ISNUMBER(A428),IFERROR(INDEX(集計!$V$3:$V$33,MATCH(A428,集計!$N$3:$N$33,0)),0),"")</f>
        <v/>
      </c>
      <c r="AB428" s="25" t="str">
        <f aca="false">IF(ISNUMBER(A428),IFERROR(INDEX(設定!$F$4:$F$27,MATCH(K428,設定!$E$4:$E$27,0)),""),"")</f>
        <v/>
      </c>
    </row>
    <row r="429" customFormat="false" ht="15" hidden="false" customHeight="false" outlineLevel="0" collapsed="false">
      <c r="Z429" s="25" t="str">
        <f aca="false">IF(ISNUMBER(A429),IF(COUNTIF(祝日!$A:$A,A429)&gt;0,"祝",CHOOSE(WEEKDAY(A429,2),"月","火","水","木","金","土","日")),"")</f>
        <v/>
      </c>
      <c r="AA429" s="25" t="str">
        <f aca="false">IF(ISNUMBER(A429),IFERROR(INDEX(集計!$V$3:$V$33,MATCH(A429,集計!$N$3:$N$33,0)),0),"")</f>
        <v/>
      </c>
      <c r="AB429" s="25" t="str">
        <f aca="false">IF(ISNUMBER(A429),IFERROR(INDEX(設定!$F$4:$F$27,MATCH(K429,設定!$E$4:$E$27,0)),""),"")</f>
        <v/>
      </c>
    </row>
    <row r="430" customFormat="false" ht="15" hidden="false" customHeight="false" outlineLevel="0" collapsed="false">
      <c r="Z430" s="25" t="str">
        <f aca="false">IF(ISNUMBER(A430),IF(COUNTIF(祝日!$A:$A,A430)&gt;0,"祝",CHOOSE(WEEKDAY(A430,2),"月","火","水","木","金","土","日")),"")</f>
        <v/>
      </c>
      <c r="AA430" s="25" t="str">
        <f aca="false">IF(ISNUMBER(A430),IFERROR(INDEX(集計!$V$3:$V$33,MATCH(A430,集計!$N$3:$N$33,0)),0),"")</f>
        <v/>
      </c>
      <c r="AB430" s="25" t="str">
        <f aca="false">IF(ISNUMBER(A430),IFERROR(INDEX(設定!$F$4:$F$27,MATCH(K430,設定!$E$4:$E$27,0)),""),"")</f>
        <v/>
      </c>
    </row>
    <row r="431" customFormat="false" ht="15" hidden="false" customHeight="false" outlineLevel="0" collapsed="false">
      <c r="Z431" s="25" t="str">
        <f aca="false">IF(ISNUMBER(A431),IF(COUNTIF(祝日!$A:$A,A431)&gt;0,"祝",CHOOSE(WEEKDAY(A431,2),"月","火","水","木","金","土","日")),"")</f>
        <v/>
      </c>
      <c r="AA431" s="25" t="str">
        <f aca="false">IF(ISNUMBER(A431),IFERROR(INDEX(集計!$V$3:$V$33,MATCH(A431,集計!$N$3:$N$33,0)),0),"")</f>
        <v/>
      </c>
      <c r="AB431" s="25" t="str">
        <f aca="false">IF(ISNUMBER(A431),IFERROR(INDEX(設定!$F$4:$F$27,MATCH(K431,設定!$E$4:$E$27,0)),""),"")</f>
        <v/>
      </c>
    </row>
    <row r="432" customFormat="false" ht="15" hidden="false" customHeight="false" outlineLevel="0" collapsed="false">
      <c r="Z432" s="25" t="str">
        <f aca="false">IF(ISNUMBER(A432),IF(COUNTIF(祝日!$A:$A,A432)&gt;0,"祝",CHOOSE(WEEKDAY(A432,2),"月","火","水","木","金","土","日")),"")</f>
        <v/>
      </c>
      <c r="AA432" s="25" t="str">
        <f aca="false">IF(ISNUMBER(A432),IFERROR(INDEX(集計!$V$3:$V$33,MATCH(A432,集計!$N$3:$N$33,0)),0),"")</f>
        <v/>
      </c>
      <c r="AB432" s="25" t="str">
        <f aca="false">IF(ISNUMBER(A432),IFERROR(INDEX(設定!$F$4:$F$27,MATCH(K432,設定!$E$4:$E$27,0)),""),"")</f>
        <v/>
      </c>
    </row>
    <row r="433" customFormat="false" ht="15" hidden="false" customHeight="false" outlineLevel="0" collapsed="false">
      <c r="Z433" s="25" t="str">
        <f aca="false">IF(ISNUMBER(A433),IF(COUNTIF(祝日!$A:$A,A433)&gt;0,"祝",CHOOSE(WEEKDAY(A433,2),"月","火","水","木","金","土","日")),"")</f>
        <v/>
      </c>
      <c r="AA433" s="25" t="str">
        <f aca="false">IF(ISNUMBER(A433),IFERROR(INDEX(集計!$V$3:$V$33,MATCH(A433,集計!$N$3:$N$33,0)),0),"")</f>
        <v/>
      </c>
      <c r="AB433" s="25" t="str">
        <f aca="false">IF(ISNUMBER(A433),IFERROR(INDEX(設定!$F$4:$F$27,MATCH(K433,設定!$E$4:$E$27,0)),""),"")</f>
        <v/>
      </c>
    </row>
    <row r="434" customFormat="false" ht="15" hidden="false" customHeight="false" outlineLevel="0" collapsed="false">
      <c r="Z434" s="25" t="str">
        <f aca="false">IF(ISNUMBER(A434),IF(COUNTIF(祝日!$A:$A,A434)&gt;0,"祝",CHOOSE(WEEKDAY(A434,2),"月","火","水","木","金","土","日")),"")</f>
        <v/>
      </c>
      <c r="AA434" s="25" t="str">
        <f aca="false">IF(ISNUMBER(A434),IFERROR(INDEX(集計!$V$3:$V$33,MATCH(A434,集計!$N$3:$N$33,0)),0),"")</f>
        <v/>
      </c>
      <c r="AB434" s="25" t="str">
        <f aca="false">IF(ISNUMBER(A434),IFERROR(INDEX(設定!$F$4:$F$27,MATCH(K434,設定!$E$4:$E$27,0)),""),"")</f>
        <v/>
      </c>
    </row>
    <row r="435" customFormat="false" ht="15" hidden="false" customHeight="false" outlineLevel="0" collapsed="false">
      <c r="Z435" s="25" t="str">
        <f aca="false">IF(ISNUMBER(A435),IF(COUNTIF(祝日!$A:$A,A435)&gt;0,"祝",CHOOSE(WEEKDAY(A435,2),"月","火","水","木","金","土","日")),"")</f>
        <v/>
      </c>
      <c r="AA435" s="25" t="str">
        <f aca="false">IF(ISNUMBER(A435),IFERROR(INDEX(集計!$V$3:$V$33,MATCH(A435,集計!$N$3:$N$33,0)),0),"")</f>
        <v/>
      </c>
      <c r="AB435" s="25" t="str">
        <f aca="false">IF(ISNUMBER(A435),IFERROR(INDEX(設定!$F$4:$F$27,MATCH(K435,設定!$E$4:$E$27,0)),""),"")</f>
        <v/>
      </c>
    </row>
    <row r="436" customFormat="false" ht="15" hidden="false" customHeight="false" outlineLevel="0" collapsed="false">
      <c r="Z436" s="25" t="str">
        <f aca="false">IF(ISNUMBER(A436),IF(COUNTIF(祝日!$A:$A,A436)&gt;0,"祝",CHOOSE(WEEKDAY(A436,2),"月","火","水","木","金","土","日")),"")</f>
        <v/>
      </c>
      <c r="AA436" s="25" t="str">
        <f aca="false">IF(ISNUMBER(A436),IFERROR(INDEX(集計!$V$3:$V$33,MATCH(A436,集計!$N$3:$N$33,0)),0),"")</f>
        <v/>
      </c>
      <c r="AB436" s="25" t="str">
        <f aca="false">IF(ISNUMBER(A436),IFERROR(INDEX(設定!$F$4:$F$27,MATCH(K436,設定!$E$4:$E$27,0)),""),"")</f>
        <v/>
      </c>
    </row>
    <row r="437" customFormat="false" ht="15" hidden="false" customHeight="false" outlineLevel="0" collapsed="false">
      <c r="Z437" s="25" t="str">
        <f aca="false">IF(ISNUMBER(A437),IF(COUNTIF(祝日!$A:$A,A437)&gt;0,"祝",CHOOSE(WEEKDAY(A437,2),"月","火","水","木","金","土","日")),"")</f>
        <v/>
      </c>
      <c r="AA437" s="25" t="str">
        <f aca="false">IF(ISNUMBER(A437),IFERROR(INDEX(集計!$V$3:$V$33,MATCH(A437,集計!$N$3:$N$33,0)),0),"")</f>
        <v/>
      </c>
      <c r="AB437" s="25" t="str">
        <f aca="false">IF(ISNUMBER(A437),IFERROR(INDEX(設定!$F$4:$F$27,MATCH(K437,設定!$E$4:$E$27,0)),""),"")</f>
        <v/>
      </c>
    </row>
    <row r="438" customFormat="false" ht="15" hidden="false" customHeight="false" outlineLevel="0" collapsed="false">
      <c r="Z438" s="25" t="str">
        <f aca="false">IF(ISNUMBER(A438),IF(COUNTIF(祝日!$A:$A,A438)&gt;0,"祝",CHOOSE(WEEKDAY(A438,2),"月","火","水","木","金","土","日")),"")</f>
        <v/>
      </c>
      <c r="AA438" s="25" t="str">
        <f aca="false">IF(ISNUMBER(A438),IFERROR(INDEX(集計!$V$3:$V$33,MATCH(A438,集計!$N$3:$N$33,0)),0),"")</f>
        <v/>
      </c>
      <c r="AB438" s="25" t="str">
        <f aca="false">IF(ISNUMBER(A438),IFERROR(INDEX(設定!$F$4:$F$27,MATCH(K438,設定!$E$4:$E$27,0)),""),"")</f>
        <v/>
      </c>
    </row>
    <row r="439" customFormat="false" ht="15" hidden="false" customHeight="false" outlineLevel="0" collapsed="false">
      <c r="Z439" s="25" t="str">
        <f aca="false">IF(ISNUMBER(A439),IF(COUNTIF(祝日!$A:$A,A439)&gt;0,"祝",CHOOSE(WEEKDAY(A439,2),"月","火","水","木","金","土","日")),"")</f>
        <v/>
      </c>
      <c r="AA439" s="25" t="str">
        <f aca="false">IF(ISNUMBER(A439),IFERROR(INDEX(集計!$V$3:$V$33,MATCH(A439,集計!$N$3:$N$33,0)),0),"")</f>
        <v/>
      </c>
      <c r="AB439" s="25" t="str">
        <f aca="false">IF(ISNUMBER(A439),IFERROR(INDEX(設定!$F$4:$F$27,MATCH(K439,設定!$E$4:$E$27,0)),""),"")</f>
        <v/>
      </c>
    </row>
    <row r="440" customFormat="false" ht="15" hidden="false" customHeight="false" outlineLevel="0" collapsed="false">
      <c r="Z440" s="25" t="str">
        <f aca="false">IF(ISNUMBER(A440),IF(COUNTIF(祝日!$A:$A,A440)&gt;0,"祝",CHOOSE(WEEKDAY(A440,2),"月","火","水","木","金","土","日")),"")</f>
        <v/>
      </c>
      <c r="AA440" s="25" t="str">
        <f aca="false">IF(ISNUMBER(A440),IFERROR(INDEX(集計!$V$3:$V$33,MATCH(A440,集計!$N$3:$N$33,0)),0),"")</f>
        <v/>
      </c>
      <c r="AB440" s="25" t="str">
        <f aca="false">IF(ISNUMBER(A440),IFERROR(INDEX(設定!$F$4:$F$27,MATCH(K440,設定!$E$4:$E$27,0)),""),"")</f>
        <v/>
      </c>
    </row>
    <row r="441" customFormat="false" ht="15" hidden="false" customHeight="false" outlineLevel="0" collapsed="false">
      <c r="Z441" s="25" t="str">
        <f aca="false">IF(ISNUMBER(A441),IF(COUNTIF(祝日!$A:$A,A441)&gt;0,"祝",CHOOSE(WEEKDAY(A441,2),"月","火","水","木","金","土","日")),"")</f>
        <v/>
      </c>
      <c r="AA441" s="25" t="str">
        <f aca="false">IF(ISNUMBER(A441),IFERROR(INDEX(集計!$V$3:$V$33,MATCH(A441,集計!$N$3:$N$33,0)),0),"")</f>
        <v/>
      </c>
      <c r="AB441" s="25" t="str">
        <f aca="false">IF(ISNUMBER(A441),IFERROR(INDEX(設定!$F$4:$F$27,MATCH(K441,設定!$E$4:$E$27,0)),""),"")</f>
        <v/>
      </c>
    </row>
    <row r="442" customFormat="false" ht="15" hidden="false" customHeight="false" outlineLevel="0" collapsed="false">
      <c r="Z442" s="25" t="str">
        <f aca="false">IF(ISNUMBER(A442),IF(COUNTIF(祝日!$A:$A,A442)&gt;0,"祝",CHOOSE(WEEKDAY(A442,2),"月","火","水","木","金","土","日")),"")</f>
        <v/>
      </c>
      <c r="AA442" s="25" t="str">
        <f aca="false">IF(ISNUMBER(A442),IFERROR(INDEX(集計!$V$3:$V$33,MATCH(A442,集計!$N$3:$N$33,0)),0),"")</f>
        <v/>
      </c>
      <c r="AB442" s="25" t="str">
        <f aca="false">IF(ISNUMBER(A442),IFERROR(INDEX(設定!$F$4:$F$27,MATCH(K442,設定!$E$4:$E$27,0)),""),"")</f>
        <v/>
      </c>
    </row>
    <row r="443" customFormat="false" ht="15" hidden="false" customHeight="false" outlineLevel="0" collapsed="false">
      <c r="Z443" s="25" t="str">
        <f aca="false">IF(ISNUMBER(A443),IF(COUNTIF(祝日!$A:$A,A443)&gt;0,"祝",CHOOSE(WEEKDAY(A443,2),"月","火","水","木","金","土","日")),"")</f>
        <v/>
      </c>
      <c r="AA443" s="25" t="str">
        <f aca="false">IF(ISNUMBER(A443),IFERROR(INDEX(集計!$V$3:$V$33,MATCH(A443,集計!$N$3:$N$33,0)),0),"")</f>
        <v/>
      </c>
      <c r="AB443" s="25" t="str">
        <f aca="false">IF(ISNUMBER(A443),IFERROR(INDEX(設定!$F$4:$F$27,MATCH(K443,設定!$E$4:$E$27,0)),""),"")</f>
        <v/>
      </c>
    </row>
    <row r="444" customFormat="false" ht="15" hidden="false" customHeight="false" outlineLevel="0" collapsed="false">
      <c r="Z444" s="25" t="str">
        <f aca="false">IF(ISNUMBER(A444),IF(COUNTIF(祝日!$A:$A,A444)&gt;0,"祝",CHOOSE(WEEKDAY(A444,2),"月","火","水","木","金","土","日")),"")</f>
        <v/>
      </c>
      <c r="AA444" s="25" t="str">
        <f aca="false">IF(ISNUMBER(A444),IFERROR(INDEX(集計!$V$3:$V$33,MATCH(A444,集計!$N$3:$N$33,0)),0),"")</f>
        <v/>
      </c>
      <c r="AB444" s="25" t="str">
        <f aca="false">IF(ISNUMBER(A444),IFERROR(INDEX(設定!$F$4:$F$27,MATCH(K444,設定!$E$4:$E$27,0)),""),"")</f>
        <v/>
      </c>
    </row>
    <row r="445" customFormat="false" ht="15" hidden="false" customHeight="false" outlineLevel="0" collapsed="false">
      <c r="Z445" s="25" t="str">
        <f aca="false">IF(ISNUMBER(A445),IF(COUNTIF(祝日!$A:$A,A445)&gt;0,"祝",CHOOSE(WEEKDAY(A445,2),"月","火","水","木","金","土","日")),"")</f>
        <v/>
      </c>
      <c r="AA445" s="25" t="str">
        <f aca="false">IF(ISNUMBER(A445),IFERROR(INDEX(集計!$V$3:$V$33,MATCH(A445,集計!$N$3:$N$33,0)),0),"")</f>
        <v/>
      </c>
      <c r="AB445" s="25" t="str">
        <f aca="false">IF(ISNUMBER(A445),IFERROR(INDEX(設定!$F$4:$F$27,MATCH(K445,設定!$E$4:$E$27,0)),""),"")</f>
        <v/>
      </c>
    </row>
    <row r="446" customFormat="false" ht="15" hidden="false" customHeight="false" outlineLevel="0" collapsed="false">
      <c r="Z446" s="25" t="str">
        <f aca="false">IF(ISNUMBER(A446),IF(COUNTIF(祝日!$A:$A,A446)&gt;0,"祝",CHOOSE(WEEKDAY(A446,2),"月","火","水","木","金","土","日")),"")</f>
        <v/>
      </c>
      <c r="AA446" s="25" t="str">
        <f aca="false">IF(ISNUMBER(A446),IFERROR(INDEX(集計!$V$3:$V$33,MATCH(A446,集計!$N$3:$N$33,0)),0),"")</f>
        <v/>
      </c>
      <c r="AB446" s="25" t="str">
        <f aca="false">IF(ISNUMBER(A446),IFERROR(INDEX(設定!$F$4:$F$27,MATCH(K446,設定!$E$4:$E$27,0)),""),"")</f>
        <v/>
      </c>
    </row>
    <row r="447" customFormat="false" ht="15" hidden="false" customHeight="false" outlineLevel="0" collapsed="false">
      <c r="Z447" s="25" t="str">
        <f aca="false">IF(ISNUMBER(A447),IF(COUNTIF(祝日!$A:$A,A447)&gt;0,"祝",CHOOSE(WEEKDAY(A447,2),"月","火","水","木","金","土","日")),"")</f>
        <v/>
      </c>
      <c r="AA447" s="25" t="str">
        <f aca="false">IF(ISNUMBER(A447),IFERROR(INDEX(集計!$V$3:$V$33,MATCH(A447,集計!$N$3:$N$33,0)),0),"")</f>
        <v/>
      </c>
      <c r="AB447" s="25" t="str">
        <f aca="false">IF(ISNUMBER(A447),IFERROR(INDEX(設定!$F$4:$F$27,MATCH(K447,設定!$E$4:$E$27,0)),""),"")</f>
        <v/>
      </c>
    </row>
    <row r="448" customFormat="false" ht="15" hidden="false" customHeight="false" outlineLevel="0" collapsed="false">
      <c r="Z448" s="25" t="str">
        <f aca="false">IF(ISNUMBER(A448),IF(COUNTIF(祝日!$A:$A,A448)&gt;0,"祝",CHOOSE(WEEKDAY(A448,2),"月","火","水","木","金","土","日")),"")</f>
        <v/>
      </c>
      <c r="AA448" s="25" t="str">
        <f aca="false">IF(ISNUMBER(A448),IFERROR(INDEX(集計!$V$3:$V$33,MATCH(A448,集計!$N$3:$N$33,0)),0),"")</f>
        <v/>
      </c>
      <c r="AB448" s="25" t="str">
        <f aca="false">IF(ISNUMBER(A448),IFERROR(INDEX(設定!$F$4:$F$27,MATCH(K448,設定!$E$4:$E$27,0)),""),"")</f>
        <v/>
      </c>
    </row>
    <row r="449" customFormat="false" ht="15" hidden="false" customHeight="false" outlineLevel="0" collapsed="false">
      <c r="Z449" s="25" t="str">
        <f aca="false">IF(ISNUMBER(A449),IF(COUNTIF(祝日!$A:$A,A449)&gt;0,"祝",CHOOSE(WEEKDAY(A449,2),"月","火","水","木","金","土","日")),"")</f>
        <v/>
      </c>
      <c r="AA449" s="25" t="str">
        <f aca="false">IF(ISNUMBER(A449),IFERROR(INDEX(集計!$V$3:$V$33,MATCH(A449,集計!$N$3:$N$33,0)),0),"")</f>
        <v/>
      </c>
      <c r="AB449" s="25" t="str">
        <f aca="false">IF(ISNUMBER(A449),IFERROR(INDEX(設定!$F$4:$F$27,MATCH(K449,設定!$E$4:$E$27,0)),""),"")</f>
        <v/>
      </c>
    </row>
    <row r="450" customFormat="false" ht="15" hidden="false" customHeight="false" outlineLevel="0" collapsed="false">
      <c r="Z450" s="25" t="str">
        <f aca="false">IF(ISNUMBER(A450),IF(COUNTIF(祝日!$A:$A,A450)&gt;0,"祝",CHOOSE(WEEKDAY(A450,2),"月","火","水","木","金","土","日")),"")</f>
        <v/>
      </c>
      <c r="AA450" s="25" t="str">
        <f aca="false">IF(ISNUMBER(A450),IFERROR(INDEX(集計!$V$3:$V$33,MATCH(A450,集計!$N$3:$N$33,0)),0),"")</f>
        <v/>
      </c>
      <c r="AB450" s="25" t="str">
        <f aca="false">IF(ISNUMBER(A450),IFERROR(INDEX(設定!$F$4:$F$27,MATCH(K450,設定!$E$4:$E$27,0)),""),"")</f>
        <v/>
      </c>
    </row>
    <row r="451" customFormat="false" ht="15" hidden="false" customHeight="false" outlineLevel="0" collapsed="false">
      <c r="Z451" s="25" t="str">
        <f aca="false">IF(ISNUMBER(A451),IF(COUNTIF(祝日!$A:$A,A451)&gt;0,"祝",CHOOSE(WEEKDAY(A451,2),"月","火","水","木","金","土","日")),"")</f>
        <v/>
      </c>
      <c r="AA451" s="25" t="str">
        <f aca="false">IF(ISNUMBER(A451),IFERROR(INDEX(集計!$V$3:$V$33,MATCH(A451,集計!$N$3:$N$33,0)),0),"")</f>
        <v/>
      </c>
      <c r="AB451" s="25" t="str">
        <f aca="false">IF(ISNUMBER(A451),IFERROR(INDEX(設定!$F$4:$F$27,MATCH(K451,設定!$E$4:$E$27,0)),""),"")</f>
        <v/>
      </c>
    </row>
    <row r="452" customFormat="false" ht="15" hidden="false" customHeight="false" outlineLevel="0" collapsed="false">
      <c r="Z452" s="25" t="str">
        <f aca="false">IF(ISNUMBER(A452),IF(COUNTIF(祝日!$A:$A,A452)&gt;0,"祝",CHOOSE(WEEKDAY(A452,2),"月","火","水","木","金","土","日")),"")</f>
        <v/>
      </c>
      <c r="AA452" s="25" t="str">
        <f aca="false">IF(ISNUMBER(A452),IFERROR(INDEX(集計!$V$3:$V$33,MATCH(A452,集計!$N$3:$N$33,0)),0),"")</f>
        <v/>
      </c>
      <c r="AB452" s="25" t="str">
        <f aca="false">IF(ISNUMBER(A452),IFERROR(INDEX(設定!$F$4:$F$27,MATCH(K452,設定!$E$4:$E$27,0)),""),"")</f>
        <v/>
      </c>
    </row>
    <row r="453" customFormat="false" ht="15" hidden="false" customHeight="false" outlineLevel="0" collapsed="false">
      <c r="Z453" s="25" t="str">
        <f aca="false">IF(ISNUMBER(A453),IF(COUNTIF(祝日!$A:$A,A453)&gt;0,"祝",CHOOSE(WEEKDAY(A453,2),"月","火","水","木","金","土","日")),"")</f>
        <v/>
      </c>
      <c r="AA453" s="25" t="str">
        <f aca="false">IF(ISNUMBER(A453),IFERROR(INDEX(集計!$V$3:$V$33,MATCH(A453,集計!$N$3:$N$33,0)),0),"")</f>
        <v/>
      </c>
      <c r="AB453" s="25" t="str">
        <f aca="false">IF(ISNUMBER(A453),IFERROR(INDEX(設定!$F$4:$F$27,MATCH(K453,設定!$E$4:$E$27,0)),""),"")</f>
        <v/>
      </c>
    </row>
    <row r="454" customFormat="false" ht="15" hidden="false" customHeight="false" outlineLevel="0" collapsed="false">
      <c r="Z454" s="25" t="str">
        <f aca="false">IF(ISNUMBER(A454),IF(COUNTIF(祝日!$A:$A,A454)&gt;0,"祝",CHOOSE(WEEKDAY(A454,2),"月","火","水","木","金","土","日")),"")</f>
        <v/>
      </c>
      <c r="AA454" s="25" t="str">
        <f aca="false">IF(ISNUMBER(A454),IFERROR(INDEX(集計!$V$3:$V$33,MATCH(A454,集計!$N$3:$N$33,0)),0),"")</f>
        <v/>
      </c>
      <c r="AB454" s="25" t="str">
        <f aca="false">IF(ISNUMBER(A454),IFERROR(INDEX(設定!$F$4:$F$27,MATCH(K454,設定!$E$4:$E$27,0)),""),"")</f>
        <v/>
      </c>
    </row>
    <row r="455" customFormat="false" ht="15" hidden="false" customHeight="false" outlineLevel="0" collapsed="false">
      <c r="Z455" s="25" t="str">
        <f aca="false">IF(ISNUMBER(A455),IF(COUNTIF(祝日!$A:$A,A455)&gt;0,"祝",CHOOSE(WEEKDAY(A455,2),"月","火","水","木","金","土","日")),"")</f>
        <v/>
      </c>
      <c r="AA455" s="25" t="str">
        <f aca="false">IF(ISNUMBER(A455),IFERROR(INDEX(集計!$V$3:$V$33,MATCH(A455,集計!$N$3:$N$33,0)),0),"")</f>
        <v/>
      </c>
      <c r="AB455" s="25" t="str">
        <f aca="false">IF(ISNUMBER(A455),IFERROR(INDEX(設定!$F$4:$F$27,MATCH(K455,設定!$E$4:$E$27,0)),""),"")</f>
        <v/>
      </c>
    </row>
    <row r="456" customFormat="false" ht="15" hidden="false" customHeight="false" outlineLevel="0" collapsed="false">
      <c r="Z456" s="25" t="str">
        <f aca="false">IF(ISNUMBER(A456),IF(COUNTIF(祝日!$A:$A,A456)&gt;0,"祝",CHOOSE(WEEKDAY(A456,2),"月","火","水","木","金","土","日")),"")</f>
        <v/>
      </c>
      <c r="AA456" s="25" t="str">
        <f aca="false">IF(ISNUMBER(A456),IFERROR(INDEX(集計!$V$3:$V$33,MATCH(A456,集計!$N$3:$N$33,0)),0),"")</f>
        <v/>
      </c>
      <c r="AB456" s="25" t="str">
        <f aca="false">IF(ISNUMBER(A456),IFERROR(INDEX(設定!$F$4:$F$27,MATCH(K456,設定!$E$4:$E$27,0)),""),"")</f>
        <v/>
      </c>
    </row>
    <row r="457" customFormat="false" ht="15" hidden="false" customHeight="false" outlineLevel="0" collapsed="false">
      <c r="Z457" s="25" t="str">
        <f aca="false">IF(ISNUMBER(A457),IF(COUNTIF(祝日!$A:$A,A457)&gt;0,"祝",CHOOSE(WEEKDAY(A457,2),"月","火","水","木","金","土","日")),"")</f>
        <v/>
      </c>
      <c r="AA457" s="25" t="str">
        <f aca="false">IF(ISNUMBER(A457),IFERROR(INDEX(集計!$V$3:$V$33,MATCH(A457,集計!$N$3:$N$33,0)),0),"")</f>
        <v/>
      </c>
      <c r="AB457" s="25" t="str">
        <f aca="false">IF(ISNUMBER(A457),IFERROR(INDEX(設定!$F$4:$F$27,MATCH(K457,設定!$E$4:$E$27,0)),""),"")</f>
        <v/>
      </c>
    </row>
    <row r="458" customFormat="false" ht="15" hidden="false" customHeight="false" outlineLevel="0" collapsed="false">
      <c r="Z458" s="25" t="str">
        <f aca="false">IF(ISNUMBER(A458),IF(COUNTIF(祝日!$A:$A,A458)&gt;0,"祝",CHOOSE(WEEKDAY(A458,2),"月","火","水","木","金","土","日")),"")</f>
        <v/>
      </c>
      <c r="AA458" s="25" t="str">
        <f aca="false">IF(ISNUMBER(A458),IFERROR(INDEX(集計!$V$3:$V$33,MATCH(A458,集計!$N$3:$N$33,0)),0),"")</f>
        <v/>
      </c>
      <c r="AB458" s="25" t="str">
        <f aca="false">IF(ISNUMBER(A458),IFERROR(INDEX(設定!$F$4:$F$27,MATCH(K458,設定!$E$4:$E$27,0)),""),"")</f>
        <v/>
      </c>
    </row>
    <row r="459" customFormat="false" ht="15" hidden="false" customHeight="false" outlineLevel="0" collapsed="false">
      <c r="Z459" s="25" t="str">
        <f aca="false">IF(ISNUMBER(A459),IF(COUNTIF(祝日!$A:$A,A459)&gt;0,"祝",CHOOSE(WEEKDAY(A459,2),"月","火","水","木","金","土","日")),"")</f>
        <v/>
      </c>
      <c r="AA459" s="25" t="str">
        <f aca="false">IF(ISNUMBER(A459),IFERROR(INDEX(集計!$V$3:$V$33,MATCH(A459,集計!$N$3:$N$33,0)),0),"")</f>
        <v/>
      </c>
      <c r="AB459" s="25" t="str">
        <f aca="false">IF(ISNUMBER(A459),IFERROR(INDEX(設定!$F$4:$F$27,MATCH(K459,設定!$E$4:$E$27,0)),""),"")</f>
        <v/>
      </c>
    </row>
    <row r="460" customFormat="false" ht="15" hidden="false" customHeight="false" outlineLevel="0" collapsed="false">
      <c r="Z460" s="25" t="str">
        <f aca="false">IF(ISNUMBER(A460),IF(COUNTIF(祝日!$A:$A,A460)&gt;0,"祝",CHOOSE(WEEKDAY(A460,2),"月","火","水","木","金","土","日")),"")</f>
        <v/>
      </c>
      <c r="AA460" s="25" t="str">
        <f aca="false">IF(ISNUMBER(A460),IFERROR(INDEX(集計!$V$3:$V$33,MATCH(A460,集計!$N$3:$N$33,0)),0),"")</f>
        <v/>
      </c>
      <c r="AB460" s="25" t="str">
        <f aca="false">IF(ISNUMBER(A460),IFERROR(INDEX(設定!$F$4:$F$27,MATCH(K460,設定!$E$4:$E$27,0)),""),"")</f>
        <v/>
      </c>
    </row>
    <row r="461" customFormat="false" ht="15" hidden="false" customHeight="false" outlineLevel="0" collapsed="false">
      <c r="Z461" s="25" t="str">
        <f aca="false">IF(ISNUMBER(A461),IF(COUNTIF(祝日!$A:$A,A461)&gt;0,"祝",CHOOSE(WEEKDAY(A461,2),"月","火","水","木","金","土","日")),"")</f>
        <v/>
      </c>
      <c r="AA461" s="25" t="str">
        <f aca="false">IF(ISNUMBER(A461),IFERROR(INDEX(集計!$V$3:$V$33,MATCH(A461,集計!$N$3:$N$33,0)),0),"")</f>
        <v/>
      </c>
      <c r="AB461" s="25" t="str">
        <f aca="false">IF(ISNUMBER(A461),IFERROR(INDEX(設定!$F$4:$F$27,MATCH(K461,設定!$E$4:$E$27,0)),""),"")</f>
        <v/>
      </c>
    </row>
    <row r="462" customFormat="false" ht="15" hidden="false" customHeight="false" outlineLevel="0" collapsed="false">
      <c r="Z462" s="25" t="str">
        <f aca="false">IF(ISNUMBER(A462),IF(COUNTIF(祝日!$A:$A,A462)&gt;0,"祝",CHOOSE(WEEKDAY(A462,2),"月","火","水","木","金","土","日")),"")</f>
        <v/>
      </c>
      <c r="AA462" s="25" t="str">
        <f aca="false">IF(ISNUMBER(A462),IFERROR(INDEX(集計!$V$3:$V$33,MATCH(A462,集計!$N$3:$N$33,0)),0),"")</f>
        <v/>
      </c>
      <c r="AB462" s="25" t="str">
        <f aca="false">IF(ISNUMBER(A462),IFERROR(INDEX(設定!$F$4:$F$27,MATCH(K462,設定!$E$4:$E$27,0)),""),"")</f>
        <v/>
      </c>
    </row>
    <row r="463" customFormat="false" ht="15" hidden="false" customHeight="false" outlineLevel="0" collapsed="false">
      <c r="Z463" s="25" t="str">
        <f aca="false">IF(ISNUMBER(A463),IF(COUNTIF(祝日!$A:$A,A463)&gt;0,"祝",CHOOSE(WEEKDAY(A463,2),"月","火","水","木","金","土","日")),"")</f>
        <v/>
      </c>
      <c r="AA463" s="25" t="str">
        <f aca="false">IF(ISNUMBER(A463),IFERROR(INDEX(集計!$V$3:$V$33,MATCH(A463,集計!$N$3:$N$33,0)),0),"")</f>
        <v/>
      </c>
      <c r="AB463" s="25" t="str">
        <f aca="false">IF(ISNUMBER(A463),IFERROR(INDEX(設定!$F$4:$F$27,MATCH(K463,設定!$E$4:$E$27,0)),""),"")</f>
        <v/>
      </c>
    </row>
    <row r="464" customFormat="false" ht="15" hidden="false" customHeight="false" outlineLevel="0" collapsed="false">
      <c r="Z464" s="25" t="str">
        <f aca="false">IF(ISNUMBER(A464),IF(COUNTIF(祝日!$A:$A,A464)&gt;0,"祝",CHOOSE(WEEKDAY(A464,2),"月","火","水","木","金","土","日")),"")</f>
        <v/>
      </c>
      <c r="AA464" s="25" t="str">
        <f aca="false">IF(ISNUMBER(A464),IFERROR(INDEX(集計!$V$3:$V$33,MATCH(A464,集計!$N$3:$N$33,0)),0),"")</f>
        <v/>
      </c>
      <c r="AB464" s="25" t="str">
        <f aca="false">IF(ISNUMBER(A464),IFERROR(INDEX(設定!$F$4:$F$27,MATCH(K464,設定!$E$4:$E$27,0)),""),"")</f>
        <v/>
      </c>
    </row>
    <row r="465" customFormat="false" ht="15" hidden="false" customHeight="false" outlineLevel="0" collapsed="false">
      <c r="Z465" s="25" t="str">
        <f aca="false">IF(ISNUMBER(A465),IF(COUNTIF(祝日!$A:$A,A465)&gt;0,"祝",CHOOSE(WEEKDAY(A465,2),"月","火","水","木","金","土","日")),"")</f>
        <v/>
      </c>
      <c r="AA465" s="25" t="str">
        <f aca="false">IF(ISNUMBER(A465),IFERROR(INDEX(集計!$V$3:$V$33,MATCH(A465,集計!$N$3:$N$33,0)),0),"")</f>
        <v/>
      </c>
      <c r="AB465" s="25" t="str">
        <f aca="false">IF(ISNUMBER(A465),IFERROR(INDEX(設定!$F$4:$F$27,MATCH(K465,設定!$E$4:$E$27,0)),""),"")</f>
        <v/>
      </c>
    </row>
    <row r="466" customFormat="false" ht="15" hidden="false" customHeight="false" outlineLevel="0" collapsed="false">
      <c r="Z466" s="25" t="str">
        <f aca="false">IF(ISNUMBER(A466),IF(COUNTIF(祝日!$A:$A,A466)&gt;0,"祝",CHOOSE(WEEKDAY(A466,2),"月","火","水","木","金","土","日")),"")</f>
        <v/>
      </c>
      <c r="AA466" s="25" t="str">
        <f aca="false">IF(ISNUMBER(A466),IFERROR(INDEX(集計!$V$3:$V$33,MATCH(A466,集計!$N$3:$N$33,0)),0),"")</f>
        <v/>
      </c>
      <c r="AB466" s="25" t="str">
        <f aca="false">IF(ISNUMBER(A466),IFERROR(INDEX(設定!$F$4:$F$27,MATCH(K466,設定!$E$4:$E$27,0)),""),"")</f>
        <v/>
      </c>
    </row>
    <row r="467" customFormat="false" ht="15" hidden="false" customHeight="false" outlineLevel="0" collapsed="false">
      <c r="Z467" s="25" t="str">
        <f aca="false">IF(ISNUMBER(A467),IF(COUNTIF(祝日!$A:$A,A467)&gt;0,"祝",CHOOSE(WEEKDAY(A467,2),"月","火","水","木","金","土","日")),"")</f>
        <v/>
      </c>
      <c r="AA467" s="25" t="str">
        <f aca="false">IF(ISNUMBER(A467),IFERROR(INDEX(集計!$V$3:$V$33,MATCH(A467,集計!$N$3:$N$33,0)),0),"")</f>
        <v/>
      </c>
      <c r="AB467" s="25" t="str">
        <f aca="false">IF(ISNUMBER(A467),IFERROR(INDEX(設定!$F$4:$F$27,MATCH(K467,設定!$E$4:$E$27,0)),""),"")</f>
        <v/>
      </c>
    </row>
    <row r="468" customFormat="false" ht="15" hidden="false" customHeight="false" outlineLevel="0" collapsed="false">
      <c r="Z468" s="25" t="str">
        <f aca="false">IF(ISNUMBER(A468),IF(COUNTIF(祝日!$A:$A,A468)&gt;0,"祝",CHOOSE(WEEKDAY(A468,2),"月","火","水","木","金","土","日")),"")</f>
        <v/>
      </c>
      <c r="AA468" s="25" t="str">
        <f aca="false">IF(ISNUMBER(A468),IFERROR(INDEX(集計!$V$3:$V$33,MATCH(A468,集計!$N$3:$N$33,0)),0),"")</f>
        <v/>
      </c>
      <c r="AB468" s="25" t="str">
        <f aca="false">IF(ISNUMBER(A468),IFERROR(INDEX(設定!$F$4:$F$27,MATCH(K468,設定!$E$4:$E$27,0)),""),"")</f>
        <v/>
      </c>
    </row>
    <row r="469" customFormat="false" ht="15" hidden="false" customHeight="false" outlineLevel="0" collapsed="false">
      <c r="Z469" s="25" t="str">
        <f aca="false">IF(ISNUMBER(A469),IF(COUNTIF(祝日!$A:$A,A469)&gt;0,"祝",CHOOSE(WEEKDAY(A469,2),"月","火","水","木","金","土","日")),"")</f>
        <v/>
      </c>
      <c r="AA469" s="25" t="str">
        <f aca="false">IF(ISNUMBER(A469),IFERROR(INDEX(集計!$V$3:$V$33,MATCH(A469,集計!$N$3:$N$33,0)),0),"")</f>
        <v/>
      </c>
      <c r="AB469" s="25" t="str">
        <f aca="false">IF(ISNUMBER(A469),IFERROR(INDEX(設定!$F$4:$F$27,MATCH(K469,設定!$E$4:$E$27,0)),""),"")</f>
        <v/>
      </c>
    </row>
    <row r="470" customFormat="false" ht="15" hidden="false" customHeight="false" outlineLevel="0" collapsed="false">
      <c r="Z470" s="25" t="str">
        <f aca="false">IF(ISNUMBER(A470),IF(COUNTIF(祝日!$A:$A,A470)&gt;0,"祝",CHOOSE(WEEKDAY(A470,2),"月","火","水","木","金","土","日")),"")</f>
        <v/>
      </c>
      <c r="AA470" s="25" t="str">
        <f aca="false">IF(ISNUMBER(A470),IFERROR(INDEX(集計!$V$3:$V$33,MATCH(A470,集計!$N$3:$N$33,0)),0),"")</f>
        <v/>
      </c>
      <c r="AB470" s="25" t="str">
        <f aca="false">IF(ISNUMBER(A470),IFERROR(INDEX(設定!$F$4:$F$27,MATCH(K470,設定!$E$4:$E$27,0)),""),"")</f>
        <v/>
      </c>
    </row>
    <row r="471" customFormat="false" ht="15" hidden="false" customHeight="false" outlineLevel="0" collapsed="false">
      <c r="Z471" s="25" t="str">
        <f aca="false">IF(ISNUMBER(A471),IF(COUNTIF(祝日!$A:$A,A471)&gt;0,"祝",CHOOSE(WEEKDAY(A471,2),"月","火","水","木","金","土","日")),"")</f>
        <v/>
      </c>
      <c r="AA471" s="25" t="str">
        <f aca="false">IF(ISNUMBER(A471),IFERROR(INDEX(集計!$V$3:$V$33,MATCH(A471,集計!$N$3:$N$33,0)),0),"")</f>
        <v/>
      </c>
      <c r="AB471" s="25" t="str">
        <f aca="false">IF(ISNUMBER(A471),IFERROR(INDEX(設定!$F$4:$F$27,MATCH(K471,設定!$E$4:$E$27,0)),""),"")</f>
        <v/>
      </c>
    </row>
    <row r="472" customFormat="false" ht="15" hidden="false" customHeight="false" outlineLevel="0" collapsed="false">
      <c r="Z472" s="25" t="str">
        <f aca="false">IF(ISNUMBER(A472),IF(COUNTIF(祝日!$A:$A,A472)&gt;0,"祝",CHOOSE(WEEKDAY(A472,2),"月","火","水","木","金","土","日")),"")</f>
        <v/>
      </c>
      <c r="AA472" s="25" t="str">
        <f aca="false">IF(ISNUMBER(A472),IFERROR(INDEX(集計!$V$3:$V$33,MATCH(A472,集計!$N$3:$N$33,0)),0),"")</f>
        <v/>
      </c>
      <c r="AB472" s="25" t="str">
        <f aca="false">IF(ISNUMBER(A472),IFERROR(INDEX(設定!$F$4:$F$27,MATCH(K472,設定!$E$4:$E$27,0)),""),"")</f>
        <v/>
      </c>
    </row>
    <row r="473" customFormat="false" ht="15" hidden="false" customHeight="false" outlineLevel="0" collapsed="false">
      <c r="Z473" s="25" t="str">
        <f aca="false">IF(ISNUMBER(A473),IF(COUNTIF(祝日!$A:$A,A473)&gt;0,"祝",CHOOSE(WEEKDAY(A473,2),"月","火","水","木","金","土","日")),"")</f>
        <v/>
      </c>
      <c r="AA473" s="25" t="str">
        <f aca="false">IF(ISNUMBER(A473),IFERROR(INDEX(集計!$V$3:$V$33,MATCH(A473,集計!$N$3:$N$33,0)),0),"")</f>
        <v/>
      </c>
      <c r="AB473" s="25" t="str">
        <f aca="false">IF(ISNUMBER(A473),IFERROR(INDEX(設定!$F$4:$F$27,MATCH(K473,設定!$E$4:$E$27,0)),""),"")</f>
        <v/>
      </c>
    </row>
    <row r="474" customFormat="false" ht="15" hidden="false" customHeight="false" outlineLevel="0" collapsed="false">
      <c r="Z474" s="25" t="str">
        <f aca="false">IF(ISNUMBER(A474),IF(COUNTIF(祝日!$A:$A,A474)&gt;0,"祝",CHOOSE(WEEKDAY(A474,2),"月","火","水","木","金","土","日")),"")</f>
        <v/>
      </c>
      <c r="AA474" s="25" t="str">
        <f aca="false">IF(ISNUMBER(A474),IFERROR(INDEX(集計!$V$3:$V$33,MATCH(A474,集計!$N$3:$N$33,0)),0),"")</f>
        <v/>
      </c>
      <c r="AB474" s="25" t="str">
        <f aca="false">IF(ISNUMBER(A474),IFERROR(INDEX(設定!$F$4:$F$27,MATCH(K474,設定!$E$4:$E$27,0)),""),"")</f>
        <v/>
      </c>
    </row>
    <row r="475" customFormat="false" ht="15" hidden="false" customHeight="false" outlineLevel="0" collapsed="false">
      <c r="Z475" s="25" t="str">
        <f aca="false">IF(ISNUMBER(A475),IF(COUNTIF(祝日!$A:$A,A475)&gt;0,"祝",CHOOSE(WEEKDAY(A475,2),"月","火","水","木","金","土","日")),"")</f>
        <v/>
      </c>
      <c r="AA475" s="25" t="str">
        <f aca="false">IF(ISNUMBER(A475),IFERROR(INDEX(集計!$V$3:$V$33,MATCH(A475,集計!$N$3:$N$33,0)),0),"")</f>
        <v/>
      </c>
      <c r="AB475" s="25" t="str">
        <f aca="false">IF(ISNUMBER(A475),IFERROR(INDEX(設定!$F$4:$F$27,MATCH(K475,設定!$E$4:$E$27,0)),""),"")</f>
        <v/>
      </c>
    </row>
    <row r="476" customFormat="false" ht="15" hidden="false" customHeight="false" outlineLevel="0" collapsed="false">
      <c r="Z476" s="25" t="str">
        <f aca="false">IF(ISNUMBER(A476),IF(COUNTIF(祝日!$A:$A,A476)&gt;0,"祝",CHOOSE(WEEKDAY(A476,2),"月","火","水","木","金","土","日")),"")</f>
        <v/>
      </c>
      <c r="AA476" s="25" t="str">
        <f aca="false">IF(ISNUMBER(A476),IFERROR(INDEX(集計!$V$3:$V$33,MATCH(A476,集計!$N$3:$N$33,0)),0),"")</f>
        <v/>
      </c>
      <c r="AB476" s="25" t="str">
        <f aca="false">IF(ISNUMBER(A476),IFERROR(INDEX(設定!$F$4:$F$27,MATCH(K476,設定!$E$4:$E$27,0)),""),"")</f>
        <v/>
      </c>
    </row>
    <row r="477" customFormat="false" ht="15" hidden="false" customHeight="false" outlineLevel="0" collapsed="false">
      <c r="Z477" s="25" t="str">
        <f aca="false">IF(ISNUMBER(A477),IF(COUNTIF(祝日!$A:$A,A477)&gt;0,"祝",CHOOSE(WEEKDAY(A477,2),"月","火","水","木","金","土","日")),"")</f>
        <v/>
      </c>
      <c r="AA477" s="25" t="str">
        <f aca="false">IF(ISNUMBER(A477),IFERROR(INDEX(集計!$V$3:$V$33,MATCH(A477,集計!$N$3:$N$33,0)),0),"")</f>
        <v/>
      </c>
      <c r="AB477" s="25" t="str">
        <f aca="false">IF(ISNUMBER(A477),IFERROR(INDEX(設定!$F$4:$F$27,MATCH(K477,設定!$E$4:$E$27,0)),""),"")</f>
        <v/>
      </c>
    </row>
    <row r="478" customFormat="false" ht="15" hidden="false" customHeight="false" outlineLevel="0" collapsed="false">
      <c r="Z478" s="25" t="str">
        <f aca="false">IF(ISNUMBER(A478),IF(COUNTIF(祝日!$A:$A,A478)&gt;0,"祝",CHOOSE(WEEKDAY(A478,2),"月","火","水","木","金","土","日")),"")</f>
        <v/>
      </c>
      <c r="AA478" s="25" t="str">
        <f aca="false">IF(ISNUMBER(A478),IFERROR(INDEX(集計!$V$3:$V$33,MATCH(A478,集計!$N$3:$N$33,0)),0),"")</f>
        <v/>
      </c>
      <c r="AB478" s="25" t="str">
        <f aca="false">IF(ISNUMBER(A478),IFERROR(INDEX(設定!$F$4:$F$27,MATCH(K478,設定!$E$4:$E$27,0)),""),"")</f>
        <v/>
      </c>
    </row>
    <row r="479" customFormat="false" ht="15" hidden="false" customHeight="false" outlineLevel="0" collapsed="false">
      <c r="Z479" s="25" t="str">
        <f aca="false">IF(ISNUMBER(A479),IF(COUNTIF(祝日!$A:$A,A479)&gt;0,"祝",CHOOSE(WEEKDAY(A479,2),"月","火","水","木","金","土","日")),"")</f>
        <v/>
      </c>
      <c r="AA479" s="25" t="str">
        <f aca="false">IF(ISNUMBER(A479),IFERROR(INDEX(集計!$V$3:$V$33,MATCH(A479,集計!$N$3:$N$33,0)),0),"")</f>
        <v/>
      </c>
      <c r="AB479" s="25" t="str">
        <f aca="false">IF(ISNUMBER(A479),IFERROR(INDEX(設定!$F$4:$F$27,MATCH(K479,設定!$E$4:$E$27,0)),""),"")</f>
        <v/>
      </c>
    </row>
    <row r="480" customFormat="false" ht="15" hidden="false" customHeight="false" outlineLevel="0" collapsed="false">
      <c r="Z480" s="25" t="str">
        <f aca="false">IF(ISNUMBER(A480),IF(COUNTIF(祝日!$A:$A,A480)&gt;0,"祝",CHOOSE(WEEKDAY(A480,2),"月","火","水","木","金","土","日")),"")</f>
        <v/>
      </c>
      <c r="AA480" s="25" t="str">
        <f aca="false">IF(ISNUMBER(A480),IFERROR(INDEX(集計!$V$3:$V$33,MATCH(A480,集計!$N$3:$N$33,0)),0),"")</f>
        <v/>
      </c>
      <c r="AB480" s="25" t="str">
        <f aca="false">IF(ISNUMBER(A480),IFERROR(INDEX(設定!$F$4:$F$27,MATCH(K480,設定!$E$4:$E$27,0)),""),"")</f>
        <v/>
      </c>
    </row>
    <row r="481" customFormat="false" ht="15" hidden="false" customHeight="false" outlineLevel="0" collapsed="false">
      <c r="Z481" s="25" t="str">
        <f aca="false">IF(ISNUMBER(A481),IF(COUNTIF(祝日!$A:$A,A481)&gt;0,"祝",CHOOSE(WEEKDAY(A481,2),"月","火","水","木","金","土","日")),"")</f>
        <v/>
      </c>
      <c r="AA481" s="25" t="str">
        <f aca="false">IF(ISNUMBER(A481),IFERROR(INDEX(集計!$V$3:$V$33,MATCH(A481,集計!$N$3:$N$33,0)),0),"")</f>
        <v/>
      </c>
      <c r="AB481" s="25" t="str">
        <f aca="false">IF(ISNUMBER(A481),IFERROR(INDEX(設定!$F$4:$F$27,MATCH(K481,設定!$E$4:$E$27,0)),""),"")</f>
        <v/>
      </c>
    </row>
    <row r="482" customFormat="false" ht="15" hidden="false" customHeight="false" outlineLevel="0" collapsed="false">
      <c r="Z482" s="25" t="str">
        <f aca="false">IF(ISNUMBER(A482),IF(COUNTIF(祝日!$A:$A,A482)&gt;0,"祝",CHOOSE(WEEKDAY(A482,2),"月","火","水","木","金","土","日")),"")</f>
        <v/>
      </c>
      <c r="AA482" s="25" t="str">
        <f aca="false">IF(ISNUMBER(A482),IFERROR(INDEX(集計!$V$3:$V$33,MATCH(A482,集計!$N$3:$N$33,0)),0),"")</f>
        <v/>
      </c>
      <c r="AB482" s="25" t="str">
        <f aca="false">IF(ISNUMBER(A482),IFERROR(INDEX(設定!$F$4:$F$27,MATCH(K482,設定!$E$4:$E$27,0)),""),"")</f>
        <v/>
      </c>
    </row>
    <row r="483" customFormat="false" ht="15" hidden="false" customHeight="false" outlineLevel="0" collapsed="false">
      <c r="Z483" s="25" t="str">
        <f aca="false">IF(ISNUMBER(A483),IF(COUNTIF(祝日!$A:$A,A483)&gt;0,"祝",CHOOSE(WEEKDAY(A483,2),"月","火","水","木","金","土","日")),"")</f>
        <v/>
      </c>
      <c r="AA483" s="25" t="str">
        <f aca="false">IF(ISNUMBER(A483),IFERROR(INDEX(集計!$V$3:$V$33,MATCH(A483,集計!$N$3:$N$33,0)),0),"")</f>
        <v/>
      </c>
      <c r="AB483" s="25" t="str">
        <f aca="false">IF(ISNUMBER(A483),IFERROR(INDEX(設定!$F$4:$F$27,MATCH(K483,設定!$E$4:$E$27,0)),""),"")</f>
        <v/>
      </c>
    </row>
    <row r="484" customFormat="false" ht="15" hidden="false" customHeight="false" outlineLevel="0" collapsed="false">
      <c r="Z484" s="25" t="str">
        <f aca="false">IF(ISNUMBER(A484),IF(COUNTIF(祝日!$A:$A,A484)&gt;0,"祝",CHOOSE(WEEKDAY(A484,2),"月","火","水","木","金","土","日")),"")</f>
        <v/>
      </c>
      <c r="AA484" s="25" t="str">
        <f aca="false">IF(ISNUMBER(A484),IFERROR(INDEX(集計!$V$3:$V$33,MATCH(A484,集計!$N$3:$N$33,0)),0),"")</f>
        <v/>
      </c>
      <c r="AB484" s="25" t="str">
        <f aca="false">IF(ISNUMBER(A484),IFERROR(INDEX(設定!$F$4:$F$27,MATCH(K484,設定!$E$4:$E$27,0)),""),"")</f>
        <v/>
      </c>
    </row>
    <row r="485" customFormat="false" ht="15" hidden="false" customHeight="false" outlineLevel="0" collapsed="false">
      <c r="Z485" s="25" t="str">
        <f aca="false">IF(ISNUMBER(A485),IF(COUNTIF(祝日!$A:$A,A485)&gt;0,"祝",CHOOSE(WEEKDAY(A485,2),"月","火","水","木","金","土","日")),"")</f>
        <v/>
      </c>
      <c r="AA485" s="25" t="str">
        <f aca="false">IF(ISNUMBER(A485),IFERROR(INDEX(集計!$V$3:$V$33,MATCH(A485,集計!$N$3:$N$33,0)),0),"")</f>
        <v/>
      </c>
      <c r="AB485" s="25" t="str">
        <f aca="false">IF(ISNUMBER(A485),IFERROR(INDEX(設定!$F$4:$F$27,MATCH(K485,設定!$E$4:$E$27,0)),""),"")</f>
        <v/>
      </c>
    </row>
    <row r="486" customFormat="false" ht="15" hidden="false" customHeight="false" outlineLevel="0" collapsed="false">
      <c r="Z486" s="25" t="str">
        <f aca="false">IF(ISNUMBER(A486),IF(COUNTIF(祝日!$A:$A,A486)&gt;0,"祝",CHOOSE(WEEKDAY(A486,2),"月","火","水","木","金","土","日")),"")</f>
        <v/>
      </c>
      <c r="AA486" s="25" t="str">
        <f aca="false">IF(ISNUMBER(A486),IFERROR(INDEX(集計!$V$3:$V$33,MATCH(A486,集計!$N$3:$N$33,0)),0),"")</f>
        <v/>
      </c>
      <c r="AB486" s="25" t="str">
        <f aca="false">IF(ISNUMBER(A486),IFERROR(INDEX(設定!$F$4:$F$27,MATCH(K486,設定!$E$4:$E$27,0)),""),"")</f>
        <v/>
      </c>
    </row>
    <row r="487" customFormat="false" ht="15" hidden="false" customHeight="false" outlineLevel="0" collapsed="false">
      <c r="Z487" s="25" t="str">
        <f aca="false">IF(ISNUMBER(A487),IF(COUNTIF(祝日!$A:$A,A487)&gt;0,"祝",CHOOSE(WEEKDAY(A487,2),"月","火","水","木","金","土","日")),"")</f>
        <v/>
      </c>
      <c r="AA487" s="25" t="str">
        <f aca="false">IF(ISNUMBER(A487),IFERROR(INDEX(集計!$V$3:$V$33,MATCH(A487,集計!$N$3:$N$33,0)),0),"")</f>
        <v/>
      </c>
      <c r="AB487" s="25" t="str">
        <f aca="false">IF(ISNUMBER(A487),IFERROR(INDEX(設定!$F$4:$F$27,MATCH(K487,設定!$E$4:$E$27,0)),""),"")</f>
        <v/>
      </c>
    </row>
    <row r="488" customFormat="false" ht="15" hidden="false" customHeight="false" outlineLevel="0" collapsed="false">
      <c r="Z488" s="25" t="str">
        <f aca="false">IF(ISNUMBER(A488),IF(COUNTIF(祝日!$A:$A,A488)&gt;0,"祝",CHOOSE(WEEKDAY(A488,2),"月","火","水","木","金","土","日")),"")</f>
        <v/>
      </c>
      <c r="AA488" s="25" t="str">
        <f aca="false">IF(ISNUMBER(A488),IFERROR(INDEX(集計!$V$3:$V$33,MATCH(A488,集計!$N$3:$N$33,0)),0),"")</f>
        <v/>
      </c>
      <c r="AB488" s="25" t="str">
        <f aca="false">IF(ISNUMBER(A488),IFERROR(INDEX(設定!$F$4:$F$27,MATCH(K488,設定!$E$4:$E$27,0)),""),"")</f>
        <v/>
      </c>
    </row>
    <row r="489" customFormat="false" ht="15" hidden="false" customHeight="false" outlineLevel="0" collapsed="false">
      <c r="Z489" s="25" t="str">
        <f aca="false">IF(ISNUMBER(A489),IF(COUNTIF(祝日!$A:$A,A489)&gt;0,"祝",CHOOSE(WEEKDAY(A489,2),"月","火","水","木","金","土","日")),"")</f>
        <v/>
      </c>
      <c r="AA489" s="25" t="str">
        <f aca="false">IF(ISNUMBER(A489),IFERROR(INDEX(集計!$V$3:$V$33,MATCH(A489,集計!$N$3:$N$33,0)),0),"")</f>
        <v/>
      </c>
      <c r="AB489" s="25" t="str">
        <f aca="false">IF(ISNUMBER(A489),IFERROR(INDEX(設定!$F$4:$F$27,MATCH(K489,設定!$E$4:$E$27,0)),""),"")</f>
        <v/>
      </c>
    </row>
    <row r="490" customFormat="false" ht="15" hidden="false" customHeight="false" outlineLevel="0" collapsed="false">
      <c r="Z490" s="25" t="str">
        <f aca="false">IF(ISNUMBER(A490),IF(COUNTIF(祝日!$A:$A,A490)&gt;0,"祝",CHOOSE(WEEKDAY(A490,2),"月","火","水","木","金","土","日")),"")</f>
        <v/>
      </c>
      <c r="AA490" s="25" t="str">
        <f aca="false">IF(ISNUMBER(A490),IFERROR(INDEX(集計!$V$3:$V$33,MATCH(A490,集計!$N$3:$N$33,0)),0),"")</f>
        <v/>
      </c>
      <c r="AB490" s="25" t="str">
        <f aca="false">IF(ISNUMBER(A490),IFERROR(INDEX(設定!$F$4:$F$27,MATCH(K490,設定!$E$4:$E$27,0)),""),"")</f>
        <v/>
      </c>
    </row>
    <row r="491" customFormat="false" ht="15" hidden="false" customHeight="false" outlineLevel="0" collapsed="false">
      <c r="Z491" s="25" t="str">
        <f aca="false">IF(ISNUMBER(A491),IF(COUNTIF(祝日!$A:$A,A491)&gt;0,"祝",CHOOSE(WEEKDAY(A491,2),"月","火","水","木","金","土","日")),"")</f>
        <v/>
      </c>
      <c r="AA491" s="25" t="str">
        <f aca="false">IF(ISNUMBER(A491),IFERROR(INDEX(集計!$V$3:$V$33,MATCH(A491,集計!$N$3:$N$33,0)),0),"")</f>
        <v/>
      </c>
      <c r="AB491" s="25" t="str">
        <f aca="false">IF(ISNUMBER(A491),IFERROR(INDEX(設定!$F$4:$F$27,MATCH(K491,設定!$E$4:$E$27,0)),""),"")</f>
        <v/>
      </c>
    </row>
    <row r="492" customFormat="false" ht="15" hidden="false" customHeight="false" outlineLevel="0" collapsed="false">
      <c r="Z492" s="25" t="str">
        <f aca="false">IF(ISNUMBER(A492),IF(COUNTIF(祝日!$A:$A,A492)&gt;0,"祝",CHOOSE(WEEKDAY(A492,2),"月","火","水","木","金","土","日")),"")</f>
        <v/>
      </c>
      <c r="AA492" s="25" t="str">
        <f aca="false">IF(ISNUMBER(A492),IFERROR(INDEX(集計!$V$3:$V$33,MATCH(A492,集計!$N$3:$N$33,0)),0),"")</f>
        <v/>
      </c>
      <c r="AB492" s="25" t="str">
        <f aca="false">IF(ISNUMBER(A492),IFERROR(INDEX(設定!$F$4:$F$27,MATCH(K492,設定!$E$4:$E$27,0)),""),"")</f>
        <v/>
      </c>
    </row>
    <row r="493" customFormat="false" ht="15" hidden="false" customHeight="false" outlineLevel="0" collapsed="false">
      <c r="Z493" s="25" t="str">
        <f aca="false">IF(ISNUMBER(A493),IF(COUNTIF(祝日!$A:$A,A493)&gt;0,"祝",CHOOSE(WEEKDAY(A493,2),"月","火","水","木","金","土","日")),"")</f>
        <v/>
      </c>
      <c r="AA493" s="25" t="str">
        <f aca="false">IF(ISNUMBER(A493),IFERROR(INDEX(集計!$V$3:$V$33,MATCH(A493,集計!$N$3:$N$33,0)),0),"")</f>
        <v/>
      </c>
      <c r="AB493" s="25" t="str">
        <f aca="false">IF(ISNUMBER(A493),IFERROR(INDEX(設定!$F$4:$F$27,MATCH(K493,設定!$E$4:$E$27,0)),""),"")</f>
        <v/>
      </c>
    </row>
    <row r="494" customFormat="false" ht="15" hidden="false" customHeight="false" outlineLevel="0" collapsed="false">
      <c r="Z494" s="25" t="str">
        <f aca="false">IF(ISNUMBER(A494),IF(COUNTIF(祝日!$A:$A,A494)&gt;0,"祝",CHOOSE(WEEKDAY(A494,2),"月","火","水","木","金","土","日")),"")</f>
        <v/>
      </c>
      <c r="AA494" s="25" t="str">
        <f aca="false">IF(ISNUMBER(A494),IFERROR(INDEX(集計!$V$3:$V$33,MATCH(A494,集計!$N$3:$N$33,0)),0),"")</f>
        <v/>
      </c>
      <c r="AB494" s="25" t="str">
        <f aca="false">IF(ISNUMBER(A494),IFERROR(INDEX(設定!$F$4:$F$27,MATCH(K494,設定!$E$4:$E$27,0)),""),"")</f>
        <v/>
      </c>
    </row>
    <row r="495" customFormat="false" ht="15" hidden="false" customHeight="false" outlineLevel="0" collapsed="false">
      <c r="Z495" s="25" t="str">
        <f aca="false">IF(ISNUMBER(A495),IF(COUNTIF(祝日!$A:$A,A495)&gt;0,"祝",CHOOSE(WEEKDAY(A495,2),"月","火","水","木","金","土","日")),"")</f>
        <v/>
      </c>
      <c r="AA495" s="25" t="str">
        <f aca="false">IF(ISNUMBER(A495),IFERROR(INDEX(集計!$V$3:$V$33,MATCH(A495,集計!$N$3:$N$33,0)),0),"")</f>
        <v/>
      </c>
      <c r="AB495" s="25" t="str">
        <f aca="false">IF(ISNUMBER(A495),IFERROR(INDEX(設定!$F$4:$F$27,MATCH(K495,設定!$E$4:$E$27,0)),""),"")</f>
        <v/>
      </c>
    </row>
    <row r="496" customFormat="false" ht="15" hidden="false" customHeight="false" outlineLevel="0" collapsed="false">
      <c r="Z496" s="25" t="str">
        <f aca="false">IF(ISNUMBER(A496),IF(COUNTIF(祝日!$A:$A,A496)&gt;0,"祝",CHOOSE(WEEKDAY(A496,2),"月","火","水","木","金","土","日")),"")</f>
        <v/>
      </c>
      <c r="AA496" s="25" t="str">
        <f aca="false">IF(ISNUMBER(A496),IFERROR(INDEX(集計!$V$3:$V$33,MATCH(A496,集計!$N$3:$N$33,0)),0),"")</f>
        <v/>
      </c>
      <c r="AB496" s="25" t="str">
        <f aca="false">IF(ISNUMBER(A496),IFERROR(INDEX(設定!$F$4:$F$27,MATCH(K496,設定!$E$4:$E$27,0)),""),"")</f>
        <v/>
      </c>
    </row>
    <row r="497" customFormat="false" ht="15" hidden="false" customHeight="false" outlineLevel="0" collapsed="false">
      <c r="Z497" s="25" t="str">
        <f aca="false">IF(ISNUMBER(A497),IF(COUNTIF(祝日!$A:$A,A497)&gt;0,"祝",CHOOSE(WEEKDAY(A497,2),"月","火","水","木","金","土","日")),"")</f>
        <v/>
      </c>
      <c r="AA497" s="25" t="str">
        <f aca="false">IF(ISNUMBER(A497),IFERROR(INDEX(集計!$V$3:$V$33,MATCH(A497,集計!$N$3:$N$33,0)),0),"")</f>
        <v/>
      </c>
      <c r="AB497" s="25" t="str">
        <f aca="false">IF(ISNUMBER(A497),IFERROR(INDEX(設定!$F$4:$F$27,MATCH(K497,設定!$E$4:$E$27,0)),""),"")</f>
        <v/>
      </c>
    </row>
    <row r="498" customFormat="false" ht="15" hidden="false" customHeight="false" outlineLevel="0" collapsed="false">
      <c r="Z498" s="25" t="str">
        <f aca="false">IF(ISNUMBER(A498),IF(COUNTIF(祝日!$A:$A,A498)&gt;0,"祝",CHOOSE(WEEKDAY(A498,2),"月","火","水","木","金","土","日")),"")</f>
        <v/>
      </c>
      <c r="AA498" s="25" t="str">
        <f aca="false">IF(ISNUMBER(A498),IFERROR(INDEX(集計!$V$3:$V$33,MATCH(A498,集計!$N$3:$N$33,0)),0),"")</f>
        <v/>
      </c>
      <c r="AB498" s="25" t="str">
        <f aca="false">IF(ISNUMBER(A498),IFERROR(INDEX(設定!$F$4:$F$27,MATCH(K498,設定!$E$4:$E$27,0)),""),"")</f>
        <v/>
      </c>
    </row>
    <row r="499" customFormat="false" ht="15" hidden="false" customHeight="false" outlineLevel="0" collapsed="false">
      <c r="Z499" s="25" t="str">
        <f aca="false">IF(ISNUMBER(A499),IF(COUNTIF(祝日!$A:$A,A499)&gt;0,"祝",CHOOSE(WEEKDAY(A499,2),"月","火","水","木","金","土","日")),"")</f>
        <v/>
      </c>
      <c r="AA499" s="25" t="str">
        <f aca="false">IF(ISNUMBER(A499),IFERROR(INDEX(集計!$V$3:$V$33,MATCH(A499,集計!$N$3:$N$33,0)),0),"")</f>
        <v/>
      </c>
      <c r="AB499" s="25" t="str">
        <f aca="false">IF(ISNUMBER(A499),IFERROR(INDEX(設定!$F$4:$F$27,MATCH(K499,設定!$E$4:$E$27,0)),""),"")</f>
        <v/>
      </c>
    </row>
    <row r="500" customFormat="false" ht="15" hidden="false" customHeight="false" outlineLevel="0" collapsed="false">
      <c r="Z500" s="25" t="str">
        <f aca="false">IF(ISNUMBER(A500),IF(COUNTIF(祝日!$A:$A,A500)&gt;0,"祝",CHOOSE(WEEKDAY(A500,2),"月","火","水","木","金","土","日")),"")</f>
        <v/>
      </c>
      <c r="AA500" s="25" t="str">
        <f aca="false">IF(ISNUMBER(A500),IFERROR(INDEX(集計!$V$3:$V$33,MATCH(A500,集計!$N$3:$N$33,0)),0),"")</f>
        <v/>
      </c>
      <c r="AB500" s="25" t="str">
        <f aca="false">IF(ISNUMBER(A500),IFERROR(INDEX(設定!$F$4:$F$27,MATCH(K500,設定!$E$4:$E$27,0)),""),"")</f>
        <v/>
      </c>
    </row>
    <row r="501" customFormat="false" ht="15" hidden="false" customHeight="false" outlineLevel="0" collapsed="false">
      <c r="Z501" s="25" t="str">
        <f aca="false">IF(ISNUMBER(A501),IF(COUNTIF(祝日!$A:$A,A501)&gt;0,"祝",CHOOSE(WEEKDAY(A501,2),"月","火","水","木","金","土","日")),"")</f>
        <v/>
      </c>
      <c r="AA501" s="25" t="str">
        <f aca="false">IF(ISNUMBER(A501),IFERROR(INDEX(集計!$V$3:$V$33,MATCH(A501,集計!$N$3:$N$33,0)),0),"")</f>
        <v/>
      </c>
      <c r="AB501" s="25" t="str">
        <f aca="false">IF(ISNUMBER(A501),IFERROR(INDEX(設定!$F$4:$F$27,MATCH(K501,設定!$E$4:$E$27,0)),""),"")</f>
        <v/>
      </c>
    </row>
    <row r="502" customFormat="false" ht="15" hidden="false" customHeight="false" outlineLevel="0" collapsed="false">
      <c r="Z502" s="25" t="str">
        <f aca="false">IF(ISNUMBER(A502),IF(COUNTIF(祝日!$A:$A,A502)&gt;0,"祝",CHOOSE(WEEKDAY(A502,2),"月","火","水","木","金","土","日")),"")</f>
        <v/>
      </c>
      <c r="AA502" s="25" t="str">
        <f aca="false">IF(ISNUMBER(A502),IFERROR(INDEX(集計!$V$3:$V$33,MATCH(A502,集計!$N$3:$N$33,0)),0),"")</f>
        <v/>
      </c>
      <c r="AB502" s="25" t="str">
        <f aca="false">IF(ISNUMBER(A502),IFERROR(INDEX(設定!$F$4:$F$27,MATCH(K502,設定!$E$4:$E$27,0)),""),"")</f>
        <v/>
      </c>
    </row>
    <row r="503" customFormat="false" ht="15" hidden="false" customHeight="false" outlineLevel="0" collapsed="false">
      <c r="Z503" s="25" t="str">
        <f aca="false">IF(ISNUMBER(A503),IF(COUNTIF(祝日!$A:$A,A503)&gt;0,"祝",CHOOSE(WEEKDAY(A503,2),"月","火","水","木","金","土","日")),"")</f>
        <v/>
      </c>
      <c r="AA503" s="25" t="str">
        <f aca="false">IF(ISNUMBER(A503),IFERROR(INDEX(集計!$V$3:$V$33,MATCH(A503,集計!$N$3:$N$33,0)),0),"")</f>
        <v/>
      </c>
      <c r="AB503" s="25" t="str">
        <f aca="false">IF(ISNUMBER(A503),IFERROR(INDEX(設定!$F$4:$F$27,MATCH(K503,設定!$E$4:$E$27,0)),""),"")</f>
        <v/>
      </c>
    </row>
    <row r="504" customFormat="false" ht="15" hidden="false" customHeight="false" outlineLevel="0" collapsed="false">
      <c r="Z504" s="25" t="str">
        <f aca="false">IF(ISNUMBER(A504),IF(COUNTIF(祝日!$A:$A,A504)&gt;0,"祝",CHOOSE(WEEKDAY(A504,2),"月","火","水","木","金","土","日")),"")</f>
        <v/>
      </c>
      <c r="AA504" s="25" t="str">
        <f aca="false">IF(ISNUMBER(A504),IFERROR(INDEX(集計!$V$3:$V$33,MATCH(A504,集計!$N$3:$N$33,0)),0),"")</f>
        <v/>
      </c>
      <c r="AB504" s="25" t="str">
        <f aca="false">IF(ISNUMBER(A504),IFERROR(INDEX(設定!$F$4:$F$27,MATCH(K504,設定!$E$4:$E$27,0)),""),"")</f>
        <v/>
      </c>
    </row>
    <row r="505" customFormat="false" ht="15" hidden="false" customHeight="false" outlineLevel="0" collapsed="false">
      <c r="Z505" s="25" t="str">
        <f aca="false">IF(ISNUMBER(A505),IF(COUNTIF(祝日!$A:$A,A505)&gt;0,"祝",CHOOSE(WEEKDAY(A505,2),"月","火","水","木","金","土","日")),"")</f>
        <v/>
      </c>
      <c r="AA505" s="25" t="str">
        <f aca="false">IF(ISNUMBER(A505),IFERROR(INDEX(集計!$V$3:$V$33,MATCH(A505,集計!$N$3:$N$33,0)),0),"")</f>
        <v/>
      </c>
      <c r="AB505" s="25" t="str">
        <f aca="false">IF(ISNUMBER(A505),IFERROR(INDEX(設定!$F$4:$F$27,MATCH(K505,設定!$E$4:$E$27,0)),""),"")</f>
        <v/>
      </c>
    </row>
    <row r="506" customFormat="false" ht="15" hidden="false" customHeight="false" outlineLevel="0" collapsed="false">
      <c r="Z506" s="25" t="str">
        <f aca="false">IF(ISNUMBER(A506),IF(COUNTIF(祝日!$A:$A,A506)&gt;0,"祝",CHOOSE(WEEKDAY(A506,2),"月","火","水","木","金","土","日")),"")</f>
        <v/>
      </c>
      <c r="AA506" s="25" t="str">
        <f aca="false">IF(ISNUMBER(A506),IFERROR(INDEX(集計!$V$3:$V$33,MATCH(A506,集計!$N$3:$N$33,0)),0),"")</f>
        <v/>
      </c>
      <c r="AB506" s="25" t="str">
        <f aca="false">IF(ISNUMBER(A506),IFERROR(INDEX(設定!$F$4:$F$27,MATCH(K506,設定!$E$4:$E$27,0)),""),"")</f>
        <v/>
      </c>
    </row>
    <row r="507" customFormat="false" ht="15" hidden="false" customHeight="false" outlineLevel="0" collapsed="false">
      <c r="Z507" s="25" t="str">
        <f aca="false">IF(ISNUMBER(A507),IF(COUNTIF(祝日!$A:$A,A507)&gt;0,"祝",CHOOSE(WEEKDAY(A507,2),"月","火","水","木","金","土","日")),"")</f>
        <v/>
      </c>
      <c r="AA507" s="25" t="str">
        <f aca="false">IF(ISNUMBER(A507),IFERROR(INDEX(集計!$V$3:$V$33,MATCH(A507,集計!$N$3:$N$33,0)),0),"")</f>
        <v/>
      </c>
      <c r="AB507" s="25" t="str">
        <f aca="false">IF(ISNUMBER(A507),IFERROR(INDEX(設定!$F$4:$F$27,MATCH(K507,設定!$E$4:$E$27,0)),""),"")</f>
        <v/>
      </c>
    </row>
    <row r="508" customFormat="false" ht="15" hidden="false" customHeight="false" outlineLevel="0" collapsed="false">
      <c r="Z508" s="25" t="str">
        <f aca="false">IF(ISNUMBER(A508),IF(COUNTIF(祝日!$A:$A,A508)&gt;0,"祝",CHOOSE(WEEKDAY(A508,2),"月","火","水","木","金","土","日")),"")</f>
        <v/>
      </c>
      <c r="AA508" s="25" t="str">
        <f aca="false">IF(ISNUMBER(A508),IFERROR(INDEX(集計!$V$3:$V$33,MATCH(A508,集計!$N$3:$N$33,0)),0),"")</f>
        <v/>
      </c>
      <c r="AB508" s="25" t="str">
        <f aca="false">IF(ISNUMBER(A508),IFERROR(INDEX(設定!$F$4:$F$27,MATCH(K508,設定!$E$4:$E$27,0)),""),"")</f>
        <v/>
      </c>
    </row>
    <row r="509" customFormat="false" ht="15" hidden="false" customHeight="false" outlineLevel="0" collapsed="false">
      <c r="Z509" s="25" t="str">
        <f aca="false">IF(ISNUMBER(A509),IF(COUNTIF(祝日!$A:$A,A509)&gt;0,"祝",CHOOSE(WEEKDAY(A509,2),"月","火","水","木","金","土","日")),"")</f>
        <v/>
      </c>
      <c r="AA509" s="25" t="str">
        <f aca="false">IF(ISNUMBER(A509),IFERROR(INDEX(集計!$V$3:$V$33,MATCH(A509,集計!$N$3:$N$33,0)),0),"")</f>
        <v/>
      </c>
      <c r="AB509" s="25" t="str">
        <f aca="false">IF(ISNUMBER(A509),IFERROR(INDEX(設定!$F$4:$F$27,MATCH(K509,設定!$E$4:$E$27,0)),""),"")</f>
        <v/>
      </c>
    </row>
    <row r="510" customFormat="false" ht="15" hidden="false" customHeight="false" outlineLevel="0" collapsed="false">
      <c r="Z510" s="25" t="str">
        <f aca="false">IF(ISNUMBER(A510),IF(COUNTIF(祝日!$A:$A,A510)&gt;0,"祝",CHOOSE(WEEKDAY(A510,2),"月","火","水","木","金","土","日")),"")</f>
        <v/>
      </c>
      <c r="AA510" s="25" t="str">
        <f aca="false">IF(ISNUMBER(A510),IFERROR(INDEX(集計!$V$3:$V$33,MATCH(A510,集計!$N$3:$N$33,0)),0),"")</f>
        <v/>
      </c>
      <c r="AB510" s="25" t="str">
        <f aca="false">IF(ISNUMBER(A510),IFERROR(INDEX(設定!$F$4:$F$27,MATCH(K510,設定!$E$4:$E$27,0)),""),"")</f>
        <v/>
      </c>
    </row>
    <row r="511" customFormat="false" ht="15" hidden="false" customHeight="false" outlineLevel="0" collapsed="false">
      <c r="Z511" s="25" t="str">
        <f aca="false">IF(ISNUMBER(A511),IF(COUNTIF(祝日!$A:$A,A511)&gt;0,"祝",CHOOSE(WEEKDAY(A511,2),"月","火","水","木","金","土","日")),"")</f>
        <v/>
      </c>
      <c r="AA511" s="25" t="str">
        <f aca="false">IF(ISNUMBER(A511),IFERROR(INDEX(集計!$V$3:$V$33,MATCH(A511,集計!$N$3:$N$33,0)),0),"")</f>
        <v/>
      </c>
      <c r="AB511" s="25" t="str">
        <f aca="false">IF(ISNUMBER(A511),IFERROR(INDEX(設定!$F$4:$F$27,MATCH(K511,設定!$E$4:$E$27,0)),""),"")</f>
        <v/>
      </c>
    </row>
    <row r="512" customFormat="false" ht="15" hidden="false" customHeight="false" outlineLevel="0" collapsed="false">
      <c r="Z512" s="25" t="str">
        <f aca="false">IF(ISNUMBER(A512),IF(COUNTIF(祝日!$A:$A,A512)&gt;0,"祝",CHOOSE(WEEKDAY(A512,2),"月","火","水","木","金","土","日")),"")</f>
        <v/>
      </c>
      <c r="AA512" s="25" t="str">
        <f aca="false">IF(ISNUMBER(A512),IFERROR(INDEX(集計!$V$3:$V$33,MATCH(A512,集計!$N$3:$N$33,0)),0),"")</f>
        <v/>
      </c>
      <c r="AB512" s="25" t="str">
        <f aca="false">IF(ISNUMBER(A512),IFERROR(INDEX(設定!$F$4:$F$27,MATCH(K512,設定!$E$4:$E$27,0)),""),"")</f>
        <v/>
      </c>
    </row>
    <row r="513" customFormat="false" ht="15" hidden="false" customHeight="false" outlineLevel="0" collapsed="false">
      <c r="Z513" s="25" t="str">
        <f aca="false">IF(ISNUMBER(A513),IF(COUNTIF(祝日!$A:$A,A513)&gt;0,"祝",CHOOSE(WEEKDAY(A513,2),"月","火","水","木","金","土","日")),"")</f>
        <v/>
      </c>
      <c r="AA513" s="25" t="str">
        <f aca="false">IF(ISNUMBER(A513),IFERROR(INDEX(集計!$V$3:$V$33,MATCH(A513,集計!$N$3:$N$33,0)),0),"")</f>
        <v/>
      </c>
      <c r="AB513" s="25" t="str">
        <f aca="false">IF(ISNUMBER(A513),IFERROR(INDEX(設定!$F$4:$F$27,MATCH(K513,設定!$E$4:$E$27,0)),""),"")</f>
        <v/>
      </c>
    </row>
    <row r="514" customFormat="false" ht="15" hidden="false" customHeight="false" outlineLevel="0" collapsed="false">
      <c r="Z514" s="25" t="str">
        <f aca="false">IF(ISNUMBER(A514),IF(COUNTIF(祝日!$A:$A,A514)&gt;0,"祝",CHOOSE(WEEKDAY(A514,2),"月","火","水","木","金","土","日")),"")</f>
        <v/>
      </c>
      <c r="AA514" s="25" t="str">
        <f aca="false">IF(ISNUMBER(A514),IFERROR(INDEX(集計!$V$3:$V$33,MATCH(A514,集計!$N$3:$N$33,0)),0),"")</f>
        <v/>
      </c>
      <c r="AB514" s="25" t="str">
        <f aca="false">IF(ISNUMBER(A514),IFERROR(INDEX(設定!$F$4:$F$27,MATCH(K514,設定!$E$4:$E$27,0)),""),"")</f>
        <v/>
      </c>
    </row>
    <row r="515" customFormat="false" ht="15" hidden="false" customHeight="false" outlineLevel="0" collapsed="false">
      <c r="Z515" s="25" t="str">
        <f aca="false">IF(ISNUMBER(A515),IF(COUNTIF(祝日!$A:$A,A515)&gt;0,"祝",CHOOSE(WEEKDAY(A515,2),"月","火","水","木","金","土","日")),"")</f>
        <v/>
      </c>
      <c r="AA515" s="25" t="str">
        <f aca="false">IF(ISNUMBER(A515),IFERROR(INDEX(集計!$V$3:$V$33,MATCH(A515,集計!$N$3:$N$33,0)),0),"")</f>
        <v/>
      </c>
      <c r="AB515" s="25" t="str">
        <f aca="false">IF(ISNUMBER(A515),IFERROR(INDEX(設定!$F$4:$F$27,MATCH(K515,設定!$E$4:$E$27,0)),""),"")</f>
        <v/>
      </c>
    </row>
    <row r="516" customFormat="false" ht="15" hidden="false" customHeight="false" outlineLevel="0" collapsed="false">
      <c r="Z516" s="25" t="str">
        <f aca="false">IF(ISNUMBER(A516),IF(COUNTIF(祝日!$A:$A,A516)&gt;0,"祝",CHOOSE(WEEKDAY(A516,2),"月","火","水","木","金","土","日")),"")</f>
        <v/>
      </c>
      <c r="AA516" s="25" t="str">
        <f aca="false">IF(ISNUMBER(A516),IFERROR(INDEX(集計!$V$3:$V$33,MATCH(A516,集計!$N$3:$N$33,0)),0),"")</f>
        <v/>
      </c>
      <c r="AB516" s="25" t="str">
        <f aca="false">IF(ISNUMBER(A516),IFERROR(INDEX(設定!$F$4:$F$27,MATCH(K516,設定!$E$4:$E$27,0)),""),"")</f>
        <v/>
      </c>
    </row>
    <row r="517" customFormat="false" ht="15" hidden="false" customHeight="false" outlineLevel="0" collapsed="false">
      <c r="Z517" s="25" t="str">
        <f aca="false">IF(ISNUMBER(A517),IF(COUNTIF(祝日!$A:$A,A517)&gt;0,"祝",CHOOSE(WEEKDAY(A517,2),"月","火","水","木","金","土","日")),"")</f>
        <v/>
      </c>
      <c r="AA517" s="25" t="str">
        <f aca="false">IF(ISNUMBER(A517),IFERROR(INDEX(集計!$V$3:$V$33,MATCH(A517,集計!$N$3:$N$33,0)),0),"")</f>
        <v/>
      </c>
      <c r="AB517" s="25" t="str">
        <f aca="false">IF(ISNUMBER(A517),IFERROR(INDEX(設定!$F$4:$F$27,MATCH(K517,設定!$E$4:$E$27,0)),""),"")</f>
        <v/>
      </c>
    </row>
    <row r="518" customFormat="false" ht="15" hidden="false" customHeight="false" outlineLevel="0" collapsed="false">
      <c r="Z518" s="25" t="str">
        <f aca="false">IF(ISNUMBER(A518),IF(COUNTIF(祝日!$A:$A,A518)&gt;0,"祝",CHOOSE(WEEKDAY(A518,2),"月","火","水","木","金","土","日")),"")</f>
        <v/>
      </c>
      <c r="AA518" s="25" t="str">
        <f aca="false">IF(ISNUMBER(A518),IFERROR(INDEX(集計!$V$3:$V$33,MATCH(A518,集計!$N$3:$N$33,0)),0),"")</f>
        <v/>
      </c>
      <c r="AB518" s="25" t="str">
        <f aca="false">IF(ISNUMBER(A518),IFERROR(INDEX(設定!$F$4:$F$27,MATCH(K518,設定!$E$4:$E$27,0)),""),"")</f>
        <v/>
      </c>
    </row>
    <row r="519" customFormat="false" ht="15" hidden="false" customHeight="false" outlineLevel="0" collapsed="false">
      <c r="Z519" s="25" t="str">
        <f aca="false">IF(ISNUMBER(A519),IF(COUNTIF(祝日!$A:$A,A519)&gt;0,"祝",CHOOSE(WEEKDAY(A519,2),"月","火","水","木","金","土","日")),"")</f>
        <v/>
      </c>
      <c r="AA519" s="25" t="str">
        <f aca="false">IF(ISNUMBER(A519),IFERROR(INDEX(集計!$V$3:$V$33,MATCH(A519,集計!$N$3:$N$33,0)),0),"")</f>
        <v/>
      </c>
      <c r="AB519" s="25" t="str">
        <f aca="false">IF(ISNUMBER(A519),IFERROR(INDEX(設定!$F$4:$F$27,MATCH(K519,設定!$E$4:$E$27,0)),""),"")</f>
        <v/>
      </c>
    </row>
    <row r="520" customFormat="false" ht="15" hidden="false" customHeight="false" outlineLevel="0" collapsed="false">
      <c r="Z520" s="25" t="str">
        <f aca="false">IF(ISNUMBER(A520),IF(COUNTIF(祝日!$A:$A,A520)&gt;0,"祝",CHOOSE(WEEKDAY(A520,2),"月","火","水","木","金","土","日")),"")</f>
        <v/>
      </c>
      <c r="AA520" s="25" t="str">
        <f aca="false">IF(ISNUMBER(A520),IFERROR(INDEX(集計!$V$3:$V$33,MATCH(A520,集計!$N$3:$N$33,0)),0),"")</f>
        <v/>
      </c>
      <c r="AB520" s="25" t="str">
        <f aca="false">IF(ISNUMBER(A520),IFERROR(INDEX(設定!$F$4:$F$27,MATCH(K520,設定!$E$4:$E$27,0)),""),"")</f>
        <v/>
      </c>
    </row>
    <row r="521" customFormat="false" ht="15" hidden="false" customHeight="false" outlineLevel="0" collapsed="false">
      <c r="Z521" s="25" t="str">
        <f aca="false">IF(ISNUMBER(A521),IF(COUNTIF(祝日!$A:$A,A521)&gt;0,"祝",CHOOSE(WEEKDAY(A521,2),"月","火","水","木","金","土","日")),"")</f>
        <v/>
      </c>
      <c r="AA521" s="25" t="str">
        <f aca="false">IF(ISNUMBER(A521),IFERROR(INDEX(集計!$V$3:$V$33,MATCH(A521,集計!$N$3:$N$33,0)),0),"")</f>
        <v/>
      </c>
      <c r="AB521" s="25" t="str">
        <f aca="false">IF(ISNUMBER(A521),IFERROR(INDEX(設定!$F$4:$F$27,MATCH(K521,設定!$E$4:$E$27,0)),""),"")</f>
        <v/>
      </c>
    </row>
    <row r="522" customFormat="false" ht="15" hidden="false" customHeight="false" outlineLevel="0" collapsed="false">
      <c r="Z522" s="25" t="str">
        <f aca="false">IF(ISNUMBER(A522),IF(COUNTIF(祝日!$A:$A,A522)&gt;0,"祝",CHOOSE(WEEKDAY(A522,2),"月","火","水","木","金","土","日")),"")</f>
        <v/>
      </c>
      <c r="AA522" s="25" t="str">
        <f aca="false">IF(ISNUMBER(A522),IFERROR(INDEX(集計!$V$3:$V$33,MATCH(A522,集計!$N$3:$N$33,0)),0),"")</f>
        <v/>
      </c>
      <c r="AB522" s="25" t="str">
        <f aca="false">IF(ISNUMBER(A522),IFERROR(INDEX(設定!$F$4:$F$27,MATCH(K522,設定!$E$4:$E$27,0)),""),"")</f>
        <v/>
      </c>
    </row>
    <row r="523" customFormat="false" ht="15" hidden="false" customHeight="false" outlineLevel="0" collapsed="false">
      <c r="Z523" s="25" t="str">
        <f aca="false">IF(ISNUMBER(A523),IF(COUNTIF(祝日!$A:$A,A523)&gt;0,"祝",CHOOSE(WEEKDAY(A523,2),"月","火","水","木","金","土","日")),"")</f>
        <v/>
      </c>
      <c r="AA523" s="25" t="str">
        <f aca="false">IF(ISNUMBER(A523),IFERROR(INDEX(集計!$V$3:$V$33,MATCH(A523,集計!$N$3:$N$33,0)),0),"")</f>
        <v/>
      </c>
      <c r="AB523" s="25" t="str">
        <f aca="false">IF(ISNUMBER(A523),IFERROR(INDEX(設定!$F$4:$F$27,MATCH(K523,設定!$E$4:$E$27,0)),""),"")</f>
        <v/>
      </c>
    </row>
    <row r="524" customFormat="false" ht="15" hidden="false" customHeight="false" outlineLevel="0" collapsed="false">
      <c r="Z524" s="25" t="str">
        <f aca="false">IF(ISNUMBER(A524),IF(COUNTIF(祝日!$A:$A,A524)&gt;0,"祝",CHOOSE(WEEKDAY(A524,2),"月","火","水","木","金","土","日")),"")</f>
        <v/>
      </c>
      <c r="AA524" s="25" t="str">
        <f aca="false">IF(ISNUMBER(A524),IFERROR(INDEX(集計!$V$3:$V$33,MATCH(A524,集計!$N$3:$N$33,0)),0),"")</f>
        <v/>
      </c>
      <c r="AB524" s="25" t="str">
        <f aca="false">IF(ISNUMBER(A524),IFERROR(INDEX(設定!$F$4:$F$27,MATCH(K524,設定!$E$4:$E$27,0)),""),"")</f>
        <v/>
      </c>
    </row>
    <row r="525" customFormat="false" ht="15" hidden="false" customHeight="false" outlineLevel="0" collapsed="false">
      <c r="Z525" s="25" t="str">
        <f aca="false">IF(ISNUMBER(A525),IF(COUNTIF(祝日!$A:$A,A525)&gt;0,"祝",CHOOSE(WEEKDAY(A525,2),"月","火","水","木","金","土","日")),"")</f>
        <v/>
      </c>
      <c r="AA525" s="25" t="str">
        <f aca="false">IF(ISNUMBER(A525),IFERROR(INDEX(集計!$V$3:$V$33,MATCH(A525,集計!$N$3:$N$33,0)),0),"")</f>
        <v/>
      </c>
      <c r="AB525" s="25" t="str">
        <f aca="false">IF(ISNUMBER(A525),IFERROR(INDEX(設定!$F$4:$F$27,MATCH(K525,設定!$E$4:$E$27,0)),""),"")</f>
        <v/>
      </c>
    </row>
    <row r="526" customFormat="false" ht="15" hidden="false" customHeight="false" outlineLevel="0" collapsed="false">
      <c r="Z526" s="25" t="str">
        <f aca="false">IF(ISNUMBER(A526),IF(COUNTIF(祝日!$A:$A,A526)&gt;0,"祝",CHOOSE(WEEKDAY(A526,2),"月","火","水","木","金","土","日")),"")</f>
        <v/>
      </c>
      <c r="AA526" s="25" t="str">
        <f aca="false">IF(ISNUMBER(A526),IFERROR(INDEX(集計!$V$3:$V$33,MATCH(A526,集計!$N$3:$N$33,0)),0),"")</f>
        <v/>
      </c>
      <c r="AB526" s="25" t="str">
        <f aca="false">IF(ISNUMBER(A526),IFERROR(INDEX(設定!$F$4:$F$27,MATCH(K526,設定!$E$4:$E$27,0)),""),"")</f>
        <v/>
      </c>
    </row>
    <row r="527" customFormat="false" ht="15" hidden="false" customHeight="false" outlineLevel="0" collapsed="false">
      <c r="Z527" s="25" t="str">
        <f aca="false">IF(ISNUMBER(A527),IF(COUNTIF(祝日!$A:$A,A527)&gt;0,"祝",CHOOSE(WEEKDAY(A527,2),"月","火","水","木","金","土","日")),"")</f>
        <v/>
      </c>
      <c r="AA527" s="25" t="str">
        <f aca="false">IF(ISNUMBER(A527),IFERROR(INDEX(集計!$V$3:$V$33,MATCH(A527,集計!$N$3:$N$33,0)),0),"")</f>
        <v/>
      </c>
      <c r="AB527" s="25" t="str">
        <f aca="false">IF(ISNUMBER(A527),IFERROR(INDEX(設定!$F$4:$F$27,MATCH(K527,設定!$E$4:$E$27,0)),""),"")</f>
        <v/>
      </c>
    </row>
    <row r="528" customFormat="false" ht="15" hidden="false" customHeight="false" outlineLevel="0" collapsed="false">
      <c r="Z528" s="25" t="str">
        <f aca="false">IF(ISNUMBER(A528),IF(COUNTIF(祝日!$A:$A,A528)&gt;0,"祝",CHOOSE(WEEKDAY(A528,2),"月","火","水","木","金","土","日")),"")</f>
        <v/>
      </c>
      <c r="AA528" s="25" t="str">
        <f aca="false">IF(ISNUMBER(A528),IFERROR(INDEX(集計!$V$3:$V$33,MATCH(A528,集計!$N$3:$N$33,0)),0),"")</f>
        <v/>
      </c>
      <c r="AB528" s="25" t="str">
        <f aca="false">IF(ISNUMBER(A528),IFERROR(INDEX(設定!$F$4:$F$27,MATCH(K528,設定!$E$4:$E$27,0)),""),"")</f>
        <v/>
      </c>
    </row>
    <row r="529" customFormat="false" ht="15" hidden="false" customHeight="false" outlineLevel="0" collapsed="false">
      <c r="Z529" s="25" t="str">
        <f aca="false">IF(ISNUMBER(A529),IF(COUNTIF(祝日!$A:$A,A529)&gt;0,"祝",CHOOSE(WEEKDAY(A529,2),"月","火","水","木","金","土","日")),"")</f>
        <v/>
      </c>
      <c r="AA529" s="25" t="str">
        <f aca="false">IF(ISNUMBER(A529),IFERROR(INDEX(集計!$V$3:$V$33,MATCH(A529,集計!$N$3:$N$33,0)),0),"")</f>
        <v/>
      </c>
      <c r="AB529" s="25" t="str">
        <f aca="false">IF(ISNUMBER(A529),IFERROR(INDEX(設定!$F$4:$F$27,MATCH(K529,設定!$E$4:$E$27,0)),""),"")</f>
        <v/>
      </c>
    </row>
    <row r="530" customFormat="false" ht="15" hidden="false" customHeight="false" outlineLevel="0" collapsed="false">
      <c r="Z530" s="25" t="str">
        <f aca="false">IF(ISNUMBER(A530),IF(COUNTIF(祝日!$A:$A,A530)&gt;0,"祝",CHOOSE(WEEKDAY(A530,2),"月","火","水","木","金","土","日")),"")</f>
        <v/>
      </c>
      <c r="AA530" s="25" t="str">
        <f aca="false">IF(ISNUMBER(A530),IFERROR(INDEX(集計!$V$3:$V$33,MATCH(A530,集計!$N$3:$N$33,0)),0),"")</f>
        <v/>
      </c>
      <c r="AB530" s="25" t="str">
        <f aca="false">IF(ISNUMBER(A530),IFERROR(INDEX(設定!$F$4:$F$27,MATCH(K530,設定!$E$4:$E$27,0)),""),"")</f>
        <v/>
      </c>
    </row>
    <row r="531" customFormat="false" ht="15" hidden="false" customHeight="false" outlineLevel="0" collapsed="false">
      <c r="Z531" s="25" t="str">
        <f aca="false">IF(ISNUMBER(A531),IF(COUNTIF(祝日!$A:$A,A531)&gt;0,"祝",CHOOSE(WEEKDAY(A531,2),"月","火","水","木","金","土","日")),"")</f>
        <v/>
      </c>
      <c r="AA531" s="25" t="str">
        <f aca="false">IF(ISNUMBER(A531),IFERROR(INDEX(集計!$V$3:$V$33,MATCH(A531,集計!$N$3:$N$33,0)),0),"")</f>
        <v/>
      </c>
      <c r="AB531" s="25" t="str">
        <f aca="false">IF(ISNUMBER(A531),IFERROR(INDEX(設定!$F$4:$F$27,MATCH(K531,設定!$E$4:$E$27,0)),""),"")</f>
        <v/>
      </c>
    </row>
    <row r="532" customFormat="false" ht="15" hidden="false" customHeight="false" outlineLevel="0" collapsed="false">
      <c r="Z532" s="25" t="str">
        <f aca="false">IF(ISNUMBER(A532),IF(COUNTIF(祝日!$A:$A,A532)&gt;0,"祝",CHOOSE(WEEKDAY(A532,2),"月","火","水","木","金","土","日")),"")</f>
        <v/>
      </c>
      <c r="AA532" s="25" t="str">
        <f aca="false">IF(ISNUMBER(A532),IFERROR(INDEX(集計!$V$3:$V$33,MATCH(A532,集計!$N$3:$N$33,0)),0),"")</f>
        <v/>
      </c>
      <c r="AB532" s="25" t="str">
        <f aca="false">IF(ISNUMBER(A532),IFERROR(INDEX(設定!$F$4:$F$27,MATCH(K532,設定!$E$4:$E$27,0)),""),"")</f>
        <v/>
      </c>
    </row>
    <row r="533" customFormat="false" ht="15" hidden="false" customHeight="false" outlineLevel="0" collapsed="false">
      <c r="Z533" s="25" t="str">
        <f aca="false">IF(ISNUMBER(A533),IF(COUNTIF(祝日!$A:$A,A533)&gt;0,"祝",CHOOSE(WEEKDAY(A533,2),"月","火","水","木","金","土","日")),"")</f>
        <v/>
      </c>
      <c r="AA533" s="25" t="str">
        <f aca="false">IF(ISNUMBER(A533),IFERROR(INDEX(集計!$V$3:$V$33,MATCH(A533,集計!$N$3:$N$33,0)),0),"")</f>
        <v/>
      </c>
      <c r="AB533" s="25" t="str">
        <f aca="false">IF(ISNUMBER(A533),IFERROR(INDEX(設定!$F$4:$F$27,MATCH(K533,設定!$E$4:$E$27,0)),""),"")</f>
        <v/>
      </c>
    </row>
    <row r="534" customFormat="false" ht="15" hidden="false" customHeight="false" outlineLevel="0" collapsed="false">
      <c r="Z534" s="25" t="str">
        <f aca="false">IF(ISNUMBER(A534),IF(COUNTIF(祝日!$A:$A,A534)&gt;0,"祝",CHOOSE(WEEKDAY(A534,2),"月","火","水","木","金","土","日")),"")</f>
        <v/>
      </c>
      <c r="AA534" s="25" t="str">
        <f aca="false">IF(ISNUMBER(A534),IFERROR(INDEX(集計!$V$3:$V$33,MATCH(A534,集計!$N$3:$N$33,0)),0),"")</f>
        <v/>
      </c>
      <c r="AB534" s="25" t="str">
        <f aca="false">IF(ISNUMBER(A534),IFERROR(INDEX(設定!$F$4:$F$27,MATCH(K534,設定!$E$4:$E$27,0)),""),"")</f>
        <v/>
      </c>
    </row>
    <row r="535" customFormat="false" ht="15" hidden="false" customHeight="false" outlineLevel="0" collapsed="false">
      <c r="Z535" s="25" t="str">
        <f aca="false">IF(ISNUMBER(A535),IF(COUNTIF(祝日!$A:$A,A535)&gt;0,"祝",CHOOSE(WEEKDAY(A535,2),"月","火","水","木","金","土","日")),"")</f>
        <v/>
      </c>
      <c r="AA535" s="25" t="str">
        <f aca="false">IF(ISNUMBER(A535),IFERROR(INDEX(集計!$V$3:$V$33,MATCH(A535,集計!$N$3:$N$33,0)),0),"")</f>
        <v/>
      </c>
      <c r="AB535" s="25" t="str">
        <f aca="false">IF(ISNUMBER(A535),IFERROR(INDEX(設定!$F$4:$F$27,MATCH(K535,設定!$E$4:$E$27,0)),""),"")</f>
        <v/>
      </c>
    </row>
    <row r="536" customFormat="false" ht="15" hidden="false" customHeight="false" outlineLevel="0" collapsed="false">
      <c r="Z536" s="25" t="str">
        <f aca="false">IF(ISNUMBER(A536),IF(COUNTIF(祝日!$A:$A,A536)&gt;0,"祝",CHOOSE(WEEKDAY(A536,2),"月","火","水","木","金","土","日")),"")</f>
        <v/>
      </c>
      <c r="AA536" s="25" t="str">
        <f aca="false">IF(ISNUMBER(A536),IFERROR(INDEX(集計!$V$3:$V$33,MATCH(A536,集計!$N$3:$N$33,0)),0),"")</f>
        <v/>
      </c>
      <c r="AB536" s="25" t="str">
        <f aca="false">IF(ISNUMBER(A536),IFERROR(INDEX(設定!$F$4:$F$27,MATCH(K536,設定!$E$4:$E$27,0)),""),"")</f>
        <v/>
      </c>
    </row>
    <row r="537" customFormat="false" ht="15" hidden="false" customHeight="false" outlineLevel="0" collapsed="false">
      <c r="Z537" s="25" t="str">
        <f aca="false">IF(ISNUMBER(A537),IF(COUNTIF(祝日!$A:$A,A537)&gt;0,"祝",CHOOSE(WEEKDAY(A537,2),"月","火","水","木","金","土","日")),"")</f>
        <v/>
      </c>
      <c r="AA537" s="25" t="str">
        <f aca="false">IF(ISNUMBER(A537),IFERROR(INDEX(集計!$V$3:$V$33,MATCH(A537,集計!$N$3:$N$33,0)),0),"")</f>
        <v/>
      </c>
      <c r="AB537" s="25" t="str">
        <f aca="false">IF(ISNUMBER(A537),IFERROR(INDEX(設定!$F$4:$F$27,MATCH(K537,設定!$E$4:$E$27,0)),""),"")</f>
        <v/>
      </c>
    </row>
    <row r="538" customFormat="false" ht="15" hidden="false" customHeight="false" outlineLevel="0" collapsed="false">
      <c r="Z538" s="25" t="str">
        <f aca="false">IF(ISNUMBER(A538),IF(COUNTIF(祝日!$A:$A,A538)&gt;0,"祝",CHOOSE(WEEKDAY(A538,2),"月","火","水","木","金","土","日")),"")</f>
        <v/>
      </c>
      <c r="AA538" s="25" t="str">
        <f aca="false">IF(ISNUMBER(A538),IFERROR(INDEX(集計!$V$3:$V$33,MATCH(A538,集計!$N$3:$N$33,0)),0),"")</f>
        <v/>
      </c>
      <c r="AB538" s="25" t="str">
        <f aca="false">IF(ISNUMBER(A538),IFERROR(INDEX(設定!$F$4:$F$27,MATCH(K538,設定!$E$4:$E$27,0)),""),"")</f>
        <v/>
      </c>
    </row>
    <row r="539" customFormat="false" ht="15" hidden="false" customHeight="false" outlineLevel="0" collapsed="false">
      <c r="Z539" s="25" t="str">
        <f aca="false">IF(ISNUMBER(A539),IF(COUNTIF(祝日!$A:$A,A539)&gt;0,"祝",CHOOSE(WEEKDAY(A539,2),"月","火","水","木","金","土","日")),"")</f>
        <v/>
      </c>
      <c r="AA539" s="25" t="str">
        <f aca="false">IF(ISNUMBER(A539),IFERROR(INDEX(集計!$V$3:$V$33,MATCH(A539,集計!$N$3:$N$33,0)),0),"")</f>
        <v/>
      </c>
      <c r="AB539" s="25" t="str">
        <f aca="false">IF(ISNUMBER(A539),IFERROR(INDEX(設定!$F$4:$F$27,MATCH(K539,設定!$E$4:$E$27,0)),""),"")</f>
        <v/>
      </c>
    </row>
    <row r="540" customFormat="false" ht="15" hidden="false" customHeight="false" outlineLevel="0" collapsed="false">
      <c r="Z540" s="25" t="str">
        <f aca="false">IF(ISNUMBER(A540),IF(COUNTIF(祝日!$A:$A,A540)&gt;0,"祝",CHOOSE(WEEKDAY(A540,2),"月","火","水","木","金","土","日")),"")</f>
        <v/>
      </c>
      <c r="AA540" s="25" t="str">
        <f aca="false">IF(ISNUMBER(A540),IFERROR(INDEX(集計!$V$3:$V$33,MATCH(A540,集計!$N$3:$N$33,0)),0),"")</f>
        <v/>
      </c>
      <c r="AB540" s="25" t="str">
        <f aca="false">IF(ISNUMBER(A540),IFERROR(INDEX(設定!$F$4:$F$27,MATCH(K540,設定!$E$4:$E$27,0)),""),"")</f>
        <v/>
      </c>
    </row>
    <row r="541" customFormat="false" ht="15" hidden="false" customHeight="false" outlineLevel="0" collapsed="false">
      <c r="Z541" s="25" t="str">
        <f aca="false">IF(ISNUMBER(A541),IF(COUNTIF(祝日!$A:$A,A541)&gt;0,"祝",CHOOSE(WEEKDAY(A541,2),"月","火","水","木","金","土","日")),"")</f>
        <v/>
      </c>
      <c r="AA541" s="25" t="str">
        <f aca="false">IF(ISNUMBER(A541),IFERROR(INDEX(集計!$V$3:$V$33,MATCH(A541,集計!$N$3:$N$33,0)),0),"")</f>
        <v/>
      </c>
      <c r="AB541" s="25" t="str">
        <f aca="false">IF(ISNUMBER(A541),IFERROR(INDEX(設定!$F$4:$F$27,MATCH(K541,設定!$E$4:$E$27,0)),""),"")</f>
        <v/>
      </c>
    </row>
    <row r="542" customFormat="false" ht="15" hidden="false" customHeight="false" outlineLevel="0" collapsed="false">
      <c r="Z542" s="25" t="str">
        <f aca="false">IF(ISNUMBER(A542),IF(COUNTIF(祝日!$A:$A,A542)&gt;0,"祝",CHOOSE(WEEKDAY(A542,2),"月","火","水","木","金","土","日")),"")</f>
        <v/>
      </c>
      <c r="AA542" s="25" t="str">
        <f aca="false">IF(ISNUMBER(A542),IFERROR(INDEX(集計!$V$3:$V$33,MATCH(A542,集計!$N$3:$N$33,0)),0),"")</f>
        <v/>
      </c>
      <c r="AB542" s="25" t="str">
        <f aca="false">IF(ISNUMBER(A542),IFERROR(INDEX(設定!$F$4:$F$27,MATCH(K542,設定!$E$4:$E$27,0)),""),"")</f>
        <v/>
      </c>
    </row>
    <row r="543" customFormat="false" ht="15" hidden="false" customHeight="false" outlineLevel="0" collapsed="false">
      <c r="Z543" s="25" t="str">
        <f aca="false">IF(ISNUMBER(A543),IF(COUNTIF(祝日!$A:$A,A543)&gt;0,"祝",CHOOSE(WEEKDAY(A543,2),"月","火","水","木","金","土","日")),"")</f>
        <v/>
      </c>
      <c r="AA543" s="25" t="str">
        <f aca="false">IF(ISNUMBER(A543),IFERROR(INDEX(集計!$V$3:$V$33,MATCH(A543,集計!$N$3:$N$33,0)),0),"")</f>
        <v/>
      </c>
      <c r="AB543" s="25" t="str">
        <f aca="false">IF(ISNUMBER(A543),IFERROR(INDEX(設定!$F$4:$F$27,MATCH(K543,設定!$E$4:$E$27,0)),""),"")</f>
        <v/>
      </c>
    </row>
    <row r="544" customFormat="false" ht="15" hidden="false" customHeight="false" outlineLevel="0" collapsed="false">
      <c r="Z544" s="25" t="str">
        <f aca="false">IF(ISNUMBER(A544),IF(COUNTIF(祝日!$A:$A,A544)&gt;0,"祝",CHOOSE(WEEKDAY(A544,2),"月","火","水","木","金","土","日")),"")</f>
        <v/>
      </c>
      <c r="AA544" s="25" t="str">
        <f aca="false">IF(ISNUMBER(A544),IFERROR(INDEX(集計!$V$3:$V$33,MATCH(A544,集計!$N$3:$N$33,0)),0),"")</f>
        <v/>
      </c>
      <c r="AB544" s="25" t="str">
        <f aca="false">IF(ISNUMBER(A544),IFERROR(INDEX(設定!$F$4:$F$27,MATCH(K544,設定!$E$4:$E$27,0)),""),"")</f>
        <v/>
      </c>
    </row>
    <row r="545" customFormat="false" ht="15" hidden="false" customHeight="false" outlineLevel="0" collapsed="false">
      <c r="Z545" s="25" t="str">
        <f aca="false">IF(ISNUMBER(A545),IF(COUNTIF(祝日!$A:$A,A545)&gt;0,"祝",CHOOSE(WEEKDAY(A545,2),"月","火","水","木","金","土","日")),"")</f>
        <v/>
      </c>
      <c r="AA545" s="25" t="str">
        <f aca="false">IF(ISNUMBER(A545),IFERROR(INDEX(集計!$V$3:$V$33,MATCH(A545,集計!$N$3:$N$33,0)),0),"")</f>
        <v/>
      </c>
      <c r="AB545" s="25" t="str">
        <f aca="false">IF(ISNUMBER(A545),IFERROR(INDEX(設定!$F$4:$F$27,MATCH(K545,設定!$E$4:$E$27,0)),""),"")</f>
        <v/>
      </c>
    </row>
    <row r="546" customFormat="false" ht="15" hidden="false" customHeight="false" outlineLevel="0" collapsed="false">
      <c r="Z546" s="25" t="str">
        <f aca="false">IF(ISNUMBER(A546),IF(COUNTIF(祝日!$A:$A,A546)&gt;0,"祝",CHOOSE(WEEKDAY(A546,2),"月","火","水","木","金","土","日")),"")</f>
        <v/>
      </c>
      <c r="AA546" s="25" t="str">
        <f aca="false">IF(ISNUMBER(A546),IFERROR(INDEX(集計!$V$3:$V$33,MATCH(A546,集計!$N$3:$N$33,0)),0),"")</f>
        <v/>
      </c>
      <c r="AB546" s="25" t="str">
        <f aca="false">IF(ISNUMBER(A546),IFERROR(INDEX(設定!$F$4:$F$27,MATCH(K546,設定!$E$4:$E$27,0)),""),"")</f>
        <v/>
      </c>
    </row>
    <row r="547" customFormat="false" ht="15" hidden="false" customHeight="false" outlineLevel="0" collapsed="false">
      <c r="Z547" s="25" t="str">
        <f aca="false">IF(ISNUMBER(A547),IF(COUNTIF(祝日!$A:$A,A547)&gt;0,"祝",CHOOSE(WEEKDAY(A547,2),"月","火","水","木","金","土","日")),"")</f>
        <v/>
      </c>
      <c r="AA547" s="25" t="str">
        <f aca="false">IF(ISNUMBER(A547),IFERROR(INDEX(集計!$V$3:$V$33,MATCH(A547,集計!$N$3:$N$33,0)),0),"")</f>
        <v/>
      </c>
      <c r="AB547" s="25" t="str">
        <f aca="false">IF(ISNUMBER(A547),IFERROR(INDEX(設定!$F$4:$F$27,MATCH(K547,設定!$E$4:$E$27,0)),""),"")</f>
        <v/>
      </c>
    </row>
    <row r="548" customFormat="false" ht="15" hidden="false" customHeight="false" outlineLevel="0" collapsed="false">
      <c r="Z548" s="25" t="str">
        <f aca="false">IF(ISNUMBER(A548),IF(COUNTIF(祝日!$A:$A,A548)&gt;0,"祝",CHOOSE(WEEKDAY(A548,2),"月","火","水","木","金","土","日")),"")</f>
        <v/>
      </c>
      <c r="AA548" s="25" t="str">
        <f aca="false">IF(ISNUMBER(A548),IFERROR(INDEX(集計!$V$3:$V$33,MATCH(A548,集計!$N$3:$N$33,0)),0),"")</f>
        <v/>
      </c>
      <c r="AB548" s="25" t="str">
        <f aca="false">IF(ISNUMBER(A548),IFERROR(INDEX(設定!$F$4:$F$27,MATCH(K548,設定!$E$4:$E$27,0)),""),"")</f>
        <v/>
      </c>
    </row>
    <row r="549" customFormat="false" ht="15" hidden="false" customHeight="false" outlineLevel="0" collapsed="false">
      <c r="Z549" s="25" t="str">
        <f aca="false">IF(ISNUMBER(A549),IF(COUNTIF(祝日!$A:$A,A549)&gt;0,"祝",CHOOSE(WEEKDAY(A549,2),"月","火","水","木","金","土","日")),"")</f>
        <v/>
      </c>
      <c r="AA549" s="25" t="str">
        <f aca="false">IF(ISNUMBER(A549),IFERROR(INDEX(集計!$V$3:$V$33,MATCH(A549,集計!$N$3:$N$33,0)),0),"")</f>
        <v/>
      </c>
      <c r="AB549" s="25" t="str">
        <f aca="false">IF(ISNUMBER(A549),IFERROR(INDEX(設定!$F$4:$F$27,MATCH(K549,設定!$E$4:$E$27,0)),""),"")</f>
        <v/>
      </c>
    </row>
    <row r="550" customFormat="false" ht="15" hidden="false" customHeight="false" outlineLevel="0" collapsed="false">
      <c r="Z550" s="25" t="str">
        <f aca="false">IF(ISNUMBER(A550),IF(COUNTIF(祝日!$A:$A,A550)&gt;0,"祝",CHOOSE(WEEKDAY(A550,2),"月","火","水","木","金","土","日")),"")</f>
        <v/>
      </c>
      <c r="AA550" s="25" t="str">
        <f aca="false">IF(ISNUMBER(A550),IFERROR(INDEX(集計!$V$3:$V$33,MATCH(A550,集計!$N$3:$N$33,0)),0),"")</f>
        <v/>
      </c>
      <c r="AB550" s="25" t="str">
        <f aca="false">IF(ISNUMBER(A550),IFERROR(INDEX(設定!$F$4:$F$27,MATCH(K550,設定!$E$4:$E$27,0)),""),"")</f>
        <v/>
      </c>
    </row>
    <row r="551" customFormat="false" ht="15" hidden="false" customHeight="false" outlineLevel="0" collapsed="false">
      <c r="Z551" s="25" t="str">
        <f aca="false">IF(ISNUMBER(A551),IF(COUNTIF(祝日!$A:$A,A551)&gt;0,"祝",CHOOSE(WEEKDAY(A551,2),"月","火","水","木","金","土","日")),"")</f>
        <v/>
      </c>
      <c r="AA551" s="25" t="str">
        <f aca="false">IF(ISNUMBER(A551),IFERROR(INDEX(集計!$V$3:$V$33,MATCH(A551,集計!$N$3:$N$33,0)),0),"")</f>
        <v/>
      </c>
      <c r="AB551" s="25" t="str">
        <f aca="false">IF(ISNUMBER(A551),IFERROR(INDEX(設定!$F$4:$F$27,MATCH(K551,設定!$E$4:$E$27,0)),""),"")</f>
        <v/>
      </c>
    </row>
    <row r="552" customFormat="false" ht="15" hidden="false" customHeight="false" outlineLevel="0" collapsed="false">
      <c r="Z552" s="25" t="str">
        <f aca="false">IF(ISNUMBER(A552),IF(COUNTIF(祝日!$A:$A,A552)&gt;0,"祝",CHOOSE(WEEKDAY(A552,2),"月","火","水","木","金","土","日")),"")</f>
        <v/>
      </c>
      <c r="AA552" s="25" t="str">
        <f aca="false">IF(ISNUMBER(A552),IFERROR(INDEX(集計!$V$3:$V$33,MATCH(A552,集計!$N$3:$N$33,0)),0),"")</f>
        <v/>
      </c>
      <c r="AB552" s="25" t="str">
        <f aca="false">IF(ISNUMBER(A552),IFERROR(INDEX(設定!$F$4:$F$27,MATCH(K552,設定!$E$4:$E$27,0)),""),"")</f>
        <v/>
      </c>
    </row>
    <row r="553" customFormat="false" ht="15" hidden="false" customHeight="false" outlineLevel="0" collapsed="false">
      <c r="Z553" s="25" t="str">
        <f aca="false">IF(ISNUMBER(A553),IF(COUNTIF(祝日!$A:$A,A553)&gt;0,"祝",CHOOSE(WEEKDAY(A553,2),"月","火","水","木","金","土","日")),"")</f>
        <v/>
      </c>
      <c r="AA553" s="25" t="str">
        <f aca="false">IF(ISNUMBER(A553),IFERROR(INDEX(集計!$V$3:$V$33,MATCH(A553,集計!$N$3:$N$33,0)),0),"")</f>
        <v/>
      </c>
      <c r="AB553" s="25" t="str">
        <f aca="false">IF(ISNUMBER(A553),IFERROR(INDEX(設定!$F$4:$F$27,MATCH(K553,設定!$E$4:$E$27,0)),""),"")</f>
        <v/>
      </c>
    </row>
    <row r="554" customFormat="false" ht="15" hidden="false" customHeight="false" outlineLevel="0" collapsed="false">
      <c r="Z554" s="25" t="str">
        <f aca="false">IF(ISNUMBER(A554),IF(COUNTIF(祝日!$A:$A,A554)&gt;0,"祝",CHOOSE(WEEKDAY(A554,2),"月","火","水","木","金","土","日")),"")</f>
        <v/>
      </c>
      <c r="AA554" s="25" t="str">
        <f aca="false">IF(ISNUMBER(A554),IFERROR(INDEX(集計!$V$3:$V$33,MATCH(A554,集計!$N$3:$N$33,0)),0),"")</f>
        <v/>
      </c>
      <c r="AB554" s="25" t="str">
        <f aca="false">IF(ISNUMBER(A554),IFERROR(INDEX(設定!$F$4:$F$27,MATCH(K554,設定!$E$4:$E$27,0)),""),"")</f>
        <v/>
      </c>
    </row>
    <row r="555" customFormat="false" ht="15" hidden="false" customHeight="false" outlineLevel="0" collapsed="false">
      <c r="Z555" s="25" t="str">
        <f aca="false">IF(ISNUMBER(A555),IF(COUNTIF(祝日!$A:$A,A555)&gt;0,"祝",CHOOSE(WEEKDAY(A555,2),"月","火","水","木","金","土","日")),"")</f>
        <v/>
      </c>
      <c r="AA555" s="25" t="str">
        <f aca="false">IF(ISNUMBER(A555),IFERROR(INDEX(集計!$V$3:$V$33,MATCH(A555,集計!$N$3:$N$33,0)),0),"")</f>
        <v/>
      </c>
      <c r="AB555" s="25" t="str">
        <f aca="false">IF(ISNUMBER(A555),IFERROR(INDEX(設定!$F$4:$F$27,MATCH(K555,設定!$E$4:$E$27,0)),""),"")</f>
        <v/>
      </c>
    </row>
    <row r="556" customFormat="false" ht="15" hidden="false" customHeight="false" outlineLevel="0" collapsed="false">
      <c r="Z556" s="25" t="str">
        <f aca="false">IF(ISNUMBER(A556),IF(COUNTIF(祝日!$A:$A,A556)&gt;0,"祝",CHOOSE(WEEKDAY(A556,2),"月","火","水","木","金","土","日")),"")</f>
        <v/>
      </c>
      <c r="AA556" s="25" t="str">
        <f aca="false">IF(ISNUMBER(A556),IFERROR(INDEX(集計!$V$3:$V$33,MATCH(A556,集計!$N$3:$N$33,0)),0),"")</f>
        <v/>
      </c>
      <c r="AB556" s="25" t="str">
        <f aca="false">IF(ISNUMBER(A556),IFERROR(INDEX(設定!$F$4:$F$27,MATCH(K556,設定!$E$4:$E$27,0)),""),"")</f>
        <v/>
      </c>
    </row>
    <row r="557" customFormat="false" ht="15" hidden="false" customHeight="false" outlineLevel="0" collapsed="false">
      <c r="Z557" s="25" t="str">
        <f aca="false">IF(ISNUMBER(A557),IF(COUNTIF(祝日!$A:$A,A557)&gt;0,"祝",CHOOSE(WEEKDAY(A557,2),"月","火","水","木","金","土","日")),"")</f>
        <v/>
      </c>
      <c r="AA557" s="25" t="str">
        <f aca="false">IF(ISNUMBER(A557),IFERROR(INDEX(集計!$V$3:$V$33,MATCH(A557,集計!$N$3:$N$33,0)),0),"")</f>
        <v/>
      </c>
      <c r="AB557" s="25" t="str">
        <f aca="false">IF(ISNUMBER(A557),IFERROR(INDEX(設定!$F$4:$F$27,MATCH(K557,設定!$E$4:$E$27,0)),""),"")</f>
        <v/>
      </c>
    </row>
    <row r="558" customFormat="false" ht="15" hidden="false" customHeight="false" outlineLevel="0" collapsed="false">
      <c r="Z558" s="25" t="str">
        <f aca="false">IF(ISNUMBER(A558),IF(COUNTIF(祝日!$A:$A,A558)&gt;0,"祝",CHOOSE(WEEKDAY(A558,2),"月","火","水","木","金","土","日")),"")</f>
        <v/>
      </c>
      <c r="AA558" s="25" t="str">
        <f aca="false">IF(ISNUMBER(A558),IFERROR(INDEX(集計!$V$3:$V$33,MATCH(A558,集計!$N$3:$N$33,0)),0),"")</f>
        <v/>
      </c>
      <c r="AB558" s="25" t="str">
        <f aca="false">IF(ISNUMBER(A558),IFERROR(INDEX(設定!$F$4:$F$27,MATCH(K558,設定!$E$4:$E$27,0)),""),"")</f>
        <v/>
      </c>
    </row>
    <row r="559" customFormat="false" ht="15" hidden="false" customHeight="false" outlineLevel="0" collapsed="false">
      <c r="Z559" s="25" t="str">
        <f aca="false">IF(ISNUMBER(A559),IF(COUNTIF(祝日!$A:$A,A559)&gt;0,"祝",CHOOSE(WEEKDAY(A559,2),"月","火","水","木","金","土","日")),"")</f>
        <v/>
      </c>
      <c r="AA559" s="25" t="str">
        <f aca="false">IF(ISNUMBER(A559),IFERROR(INDEX(集計!$V$3:$V$33,MATCH(A559,集計!$N$3:$N$33,0)),0),"")</f>
        <v/>
      </c>
      <c r="AB559" s="25" t="str">
        <f aca="false">IF(ISNUMBER(A559),IFERROR(INDEX(設定!$F$4:$F$27,MATCH(K559,設定!$E$4:$E$27,0)),""),"")</f>
        <v/>
      </c>
    </row>
    <row r="560" customFormat="false" ht="15" hidden="false" customHeight="false" outlineLevel="0" collapsed="false">
      <c r="Z560" s="25" t="str">
        <f aca="false">IF(ISNUMBER(A560),IF(COUNTIF(祝日!$A:$A,A560)&gt;0,"祝",CHOOSE(WEEKDAY(A560,2),"月","火","水","木","金","土","日")),"")</f>
        <v/>
      </c>
      <c r="AA560" s="25" t="str">
        <f aca="false">IF(ISNUMBER(A560),IFERROR(INDEX(集計!$V$3:$V$33,MATCH(A560,集計!$N$3:$N$33,0)),0),"")</f>
        <v/>
      </c>
      <c r="AB560" s="25" t="str">
        <f aca="false">IF(ISNUMBER(A560),IFERROR(INDEX(設定!$F$4:$F$27,MATCH(K560,設定!$E$4:$E$27,0)),""),"")</f>
        <v/>
      </c>
    </row>
    <row r="561" customFormat="false" ht="15" hidden="false" customHeight="false" outlineLevel="0" collapsed="false">
      <c r="Z561" s="25" t="str">
        <f aca="false">IF(ISNUMBER(A561),IF(COUNTIF(祝日!$A:$A,A561)&gt;0,"祝",CHOOSE(WEEKDAY(A561,2),"月","火","水","木","金","土","日")),"")</f>
        <v/>
      </c>
      <c r="AA561" s="25" t="str">
        <f aca="false">IF(ISNUMBER(A561),IFERROR(INDEX(集計!$V$3:$V$33,MATCH(A561,集計!$N$3:$N$33,0)),0),"")</f>
        <v/>
      </c>
      <c r="AB561" s="25" t="str">
        <f aca="false">IF(ISNUMBER(A561),IFERROR(INDEX(設定!$F$4:$F$27,MATCH(K561,設定!$E$4:$E$27,0)),""),"")</f>
        <v/>
      </c>
    </row>
    <row r="562" customFormat="false" ht="15" hidden="false" customHeight="false" outlineLevel="0" collapsed="false">
      <c r="Z562" s="25" t="str">
        <f aca="false">IF(ISNUMBER(A562),IF(COUNTIF(祝日!$A:$A,A562)&gt;0,"祝",CHOOSE(WEEKDAY(A562,2),"月","火","水","木","金","土","日")),"")</f>
        <v/>
      </c>
      <c r="AA562" s="25" t="str">
        <f aca="false">IF(ISNUMBER(A562),IFERROR(INDEX(集計!$V$3:$V$33,MATCH(A562,集計!$N$3:$N$33,0)),0),"")</f>
        <v/>
      </c>
      <c r="AB562" s="25" t="str">
        <f aca="false">IF(ISNUMBER(A562),IFERROR(INDEX(設定!$F$4:$F$27,MATCH(K562,設定!$E$4:$E$27,0)),""),"")</f>
        <v/>
      </c>
    </row>
    <row r="563" customFormat="false" ht="15" hidden="false" customHeight="false" outlineLevel="0" collapsed="false">
      <c r="Z563" s="25" t="str">
        <f aca="false">IF(ISNUMBER(A563),IF(COUNTIF(祝日!$A:$A,A563)&gt;0,"祝",CHOOSE(WEEKDAY(A563,2),"月","火","水","木","金","土","日")),"")</f>
        <v/>
      </c>
      <c r="AA563" s="25" t="str">
        <f aca="false">IF(ISNUMBER(A563),IFERROR(INDEX(集計!$V$3:$V$33,MATCH(A563,集計!$N$3:$N$33,0)),0),"")</f>
        <v/>
      </c>
      <c r="AB563" s="25" t="str">
        <f aca="false">IF(ISNUMBER(A563),IFERROR(INDEX(設定!$F$4:$F$27,MATCH(K563,設定!$E$4:$E$27,0)),""),"")</f>
        <v/>
      </c>
    </row>
    <row r="564" customFormat="false" ht="15" hidden="false" customHeight="false" outlineLevel="0" collapsed="false">
      <c r="Z564" s="25" t="str">
        <f aca="false">IF(ISNUMBER(A564),IF(COUNTIF(祝日!$A:$A,A564)&gt;0,"祝",CHOOSE(WEEKDAY(A564,2),"月","火","水","木","金","土","日")),"")</f>
        <v/>
      </c>
      <c r="AA564" s="25" t="str">
        <f aca="false">IF(ISNUMBER(A564),IFERROR(INDEX(集計!$V$3:$V$33,MATCH(A564,集計!$N$3:$N$33,0)),0),"")</f>
        <v/>
      </c>
      <c r="AB564" s="25" t="str">
        <f aca="false">IF(ISNUMBER(A564),IFERROR(INDEX(設定!$F$4:$F$27,MATCH(K564,設定!$E$4:$E$27,0)),""),"")</f>
        <v/>
      </c>
    </row>
    <row r="565" customFormat="false" ht="15" hidden="false" customHeight="false" outlineLevel="0" collapsed="false">
      <c r="Z565" s="25" t="str">
        <f aca="false">IF(ISNUMBER(A565),IF(COUNTIF(祝日!$A:$A,A565)&gt;0,"祝",CHOOSE(WEEKDAY(A565,2),"月","火","水","木","金","土","日")),"")</f>
        <v/>
      </c>
      <c r="AA565" s="25" t="str">
        <f aca="false">IF(ISNUMBER(A565),IFERROR(INDEX(集計!$V$3:$V$33,MATCH(A565,集計!$N$3:$N$33,0)),0),"")</f>
        <v/>
      </c>
      <c r="AB565" s="25" t="str">
        <f aca="false">IF(ISNUMBER(A565),IFERROR(INDEX(設定!$F$4:$F$27,MATCH(K565,設定!$E$4:$E$27,0)),""),"")</f>
        <v/>
      </c>
    </row>
    <row r="566" customFormat="false" ht="15" hidden="false" customHeight="false" outlineLevel="0" collapsed="false">
      <c r="Z566" s="25" t="str">
        <f aca="false">IF(ISNUMBER(A566),IF(COUNTIF(祝日!$A:$A,A566)&gt;0,"祝",CHOOSE(WEEKDAY(A566,2),"月","火","水","木","金","土","日")),"")</f>
        <v/>
      </c>
      <c r="AA566" s="25" t="str">
        <f aca="false">IF(ISNUMBER(A566),IFERROR(INDEX(集計!$V$3:$V$33,MATCH(A566,集計!$N$3:$N$33,0)),0),"")</f>
        <v/>
      </c>
      <c r="AB566" s="25" t="str">
        <f aca="false">IF(ISNUMBER(A566),IFERROR(INDEX(設定!$F$4:$F$27,MATCH(K566,設定!$E$4:$E$27,0)),""),"")</f>
        <v/>
      </c>
    </row>
    <row r="567" customFormat="false" ht="15" hidden="false" customHeight="false" outlineLevel="0" collapsed="false">
      <c r="Z567" s="25" t="str">
        <f aca="false">IF(ISNUMBER(A567),IF(COUNTIF(祝日!$A:$A,A567)&gt;0,"祝",CHOOSE(WEEKDAY(A567,2),"月","火","水","木","金","土","日")),"")</f>
        <v/>
      </c>
      <c r="AA567" s="25" t="str">
        <f aca="false">IF(ISNUMBER(A567),IFERROR(INDEX(集計!$V$3:$V$33,MATCH(A567,集計!$N$3:$N$33,0)),0),"")</f>
        <v/>
      </c>
      <c r="AB567" s="25" t="str">
        <f aca="false">IF(ISNUMBER(A567),IFERROR(INDEX(設定!$F$4:$F$27,MATCH(K567,設定!$E$4:$E$27,0)),""),"")</f>
        <v/>
      </c>
    </row>
    <row r="568" customFormat="false" ht="15" hidden="false" customHeight="false" outlineLevel="0" collapsed="false">
      <c r="Z568" s="25" t="str">
        <f aca="false">IF(ISNUMBER(A568),IF(COUNTIF(祝日!$A:$A,A568)&gt;0,"祝",CHOOSE(WEEKDAY(A568,2),"月","火","水","木","金","土","日")),"")</f>
        <v/>
      </c>
      <c r="AA568" s="25" t="str">
        <f aca="false">IF(ISNUMBER(A568),IFERROR(INDEX(集計!$V$3:$V$33,MATCH(A568,集計!$N$3:$N$33,0)),0),"")</f>
        <v/>
      </c>
      <c r="AB568" s="25" t="str">
        <f aca="false">IF(ISNUMBER(A568),IFERROR(INDEX(設定!$F$4:$F$27,MATCH(K568,設定!$E$4:$E$27,0)),""),"")</f>
        <v/>
      </c>
    </row>
    <row r="569" customFormat="false" ht="15" hidden="false" customHeight="false" outlineLevel="0" collapsed="false">
      <c r="Z569" s="25" t="str">
        <f aca="false">IF(ISNUMBER(A569),IF(COUNTIF(祝日!$A:$A,A569)&gt;0,"祝",CHOOSE(WEEKDAY(A569,2),"月","火","水","木","金","土","日")),"")</f>
        <v/>
      </c>
      <c r="AA569" s="25" t="str">
        <f aca="false">IF(ISNUMBER(A569),IFERROR(INDEX(集計!$V$3:$V$33,MATCH(A569,集計!$N$3:$N$33,0)),0),"")</f>
        <v/>
      </c>
      <c r="AB569" s="25" t="str">
        <f aca="false">IF(ISNUMBER(A569),IFERROR(INDEX(設定!$F$4:$F$27,MATCH(K569,設定!$E$4:$E$27,0)),""),"")</f>
        <v/>
      </c>
    </row>
    <row r="570" customFormat="false" ht="15" hidden="false" customHeight="false" outlineLevel="0" collapsed="false">
      <c r="Z570" s="25" t="str">
        <f aca="false">IF(ISNUMBER(A570),IF(COUNTIF(祝日!$A:$A,A570)&gt;0,"祝",CHOOSE(WEEKDAY(A570,2),"月","火","水","木","金","土","日")),"")</f>
        <v/>
      </c>
      <c r="AA570" s="25" t="str">
        <f aca="false">IF(ISNUMBER(A570),IFERROR(INDEX(集計!$V$3:$V$33,MATCH(A570,集計!$N$3:$N$33,0)),0),"")</f>
        <v/>
      </c>
      <c r="AB570" s="25" t="str">
        <f aca="false">IF(ISNUMBER(A570),IFERROR(INDEX(設定!$F$4:$F$27,MATCH(K570,設定!$E$4:$E$27,0)),""),"")</f>
        <v/>
      </c>
    </row>
    <row r="571" customFormat="false" ht="15" hidden="false" customHeight="false" outlineLevel="0" collapsed="false">
      <c r="Z571" s="25" t="str">
        <f aca="false">IF(ISNUMBER(A571),IF(COUNTIF(祝日!$A:$A,A571)&gt;0,"祝",CHOOSE(WEEKDAY(A571,2),"月","火","水","木","金","土","日")),"")</f>
        <v/>
      </c>
      <c r="AA571" s="25" t="str">
        <f aca="false">IF(ISNUMBER(A571),IFERROR(INDEX(集計!$V$3:$V$33,MATCH(A571,集計!$N$3:$N$33,0)),0),"")</f>
        <v/>
      </c>
      <c r="AB571" s="25" t="str">
        <f aca="false">IF(ISNUMBER(A571),IFERROR(INDEX(設定!$F$4:$F$27,MATCH(K571,設定!$E$4:$E$27,0)),""),"")</f>
        <v/>
      </c>
    </row>
    <row r="572" customFormat="false" ht="15" hidden="false" customHeight="false" outlineLevel="0" collapsed="false">
      <c r="Z572" s="25" t="str">
        <f aca="false">IF(ISNUMBER(A572),IF(COUNTIF(祝日!$A:$A,A572)&gt;0,"祝",CHOOSE(WEEKDAY(A572,2),"月","火","水","木","金","土","日")),"")</f>
        <v/>
      </c>
      <c r="AA572" s="25" t="str">
        <f aca="false">IF(ISNUMBER(A572),IFERROR(INDEX(集計!$V$3:$V$33,MATCH(A572,集計!$N$3:$N$33,0)),0),"")</f>
        <v/>
      </c>
      <c r="AB572" s="25" t="str">
        <f aca="false">IF(ISNUMBER(A572),IFERROR(INDEX(設定!$F$4:$F$27,MATCH(K572,設定!$E$4:$E$27,0)),""),"")</f>
        <v/>
      </c>
    </row>
    <row r="573" customFormat="false" ht="15" hidden="false" customHeight="false" outlineLevel="0" collapsed="false">
      <c r="Z573" s="25" t="str">
        <f aca="false">IF(ISNUMBER(A573),IF(COUNTIF(祝日!$A:$A,A573)&gt;0,"祝",CHOOSE(WEEKDAY(A573,2),"月","火","水","木","金","土","日")),"")</f>
        <v/>
      </c>
      <c r="AA573" s="25" t="str">
        <f aca="false">IF(ISNUMBER(A573),IFERROR(INDEX(集計!$V$3:$V$33,MATCH(A573,集計!$N$3:$N$33,0)),0),"")</f>
        <v/>
      </c>
      <c r="AB573" s="25" t="str">
        <f aca="false">IF(ISNUMBER(A573),IFERROR(INDEX(設定!$F$4:$F$27,MATCH(K573,設定!$E$4:$E$27,0)),""),"")</f>
        <v/>
      </c>
    </row>
    <row r="574" customFormat="false" ht="15" hidden="false" customHeight="false" outlineLevel="0" collapsed="false">
      <c r="Z574" s="25" t="str">
        <f aca="false">IF(ISNUMBER(A574),IF(COUNTIF(祝日!$A:$A,A574)&gt;0,"祝",CHOOSE(WEEKDAY(A574,2),"月","火","水","木","金","土","日")),"")</f>
        <v/>
      </c>
      <c r="AA574" s="25" t="str">
        <f aca="false">IF(ISNUMBER(A574),IFERROR(INDEX(集計!$V$3:$V$33,MATCH(A574,集計!$N$3:$N$33,0)),0),"")</f>
        <v/>
      </c>
      <c r="AB574" s="25" t="str">
        <f aca="false">IF(ISNUMBER(A574),IFERROR(INDEX(設定!$F$4:$F$27,MATCH(K574,設定!$E$4:$E$27,0)),""),"")</f>
        <v/>
      </c>
    </row>
    <row r="575" customFormat="false" ht="15" hidden="false" customHeight="false" outlineLevel="0" collapsed="false">
      <c r="Z575" s="25" t="str">
        <f aca="false">IF(ISNUMBER(A575),IF(COUNTIF(祝日!$A:$A,A575)&gt;0,"祝",CHOOSE(WEEKDAY(A575,2),"月","火","水","木","金","土","日")),"")</f>
        <v/>
      </c>
      <c r="AA575" s="25" t="str">
        <f aca="false">IF(ISNUMBER(A575),IFERROR(INDEX(集計!$V$3:$V$33,MATCH(A575,集計!$N$3:$N$33,0)),0),"")</f>
        <v/>
      </c>
      <c r="AB575" s="25" t="str">
        <f aca="false">IF(ISNUMBER(A575),IFERROR(INDEX(設定!$F$4:$F$27,MATCH(K575,設定!$E$4:$E$27,0)),""),"")</f>
        <v/>
      </c>
    </row>
    <row r="576" customFormat="false" ht="15" hidden="false" customHeight="false" outlineLevel="0" collapsed="false">
      <c r="Z576" s="25" t="str">
        <f aca="false">IF(ISNUMBER(A576),IF(COUNTIF(祝日!$A:$A,A576)&gt;0,"祝",CHOOSE(WEEKDAY(A576,2),"月","火","水","木","金","土","日")),"")</f>
        <v/>
      </c>
      <c r="AA576" s="25" t="str">
        <f aca="false">IF(ISNUMBER(A576),IFERROR(INDEX(集計!$V$3:$V$33,MATCH(A576,集計!$N$3:$N$33,0)),0),"")</f>
        <v/>
      </c>
      <c r="AB576" s="25" t="str">
        <f aca="false">IF(ISNUMBER(A576),IFERROR(INDEX(設定!$F$4:$F$27,MATCH(K576,設定!$E$4:$E$27,0)),""),"")</f>
        <v/>
      </c>
    </row>
    <row r="577" customFormat="false" ht="15" hidden="false" customHeight="false" outlineLevel="0" collapsed="false">
      <c r="Z577" s="25" t="str">
        <f aca="false">IF(ISNUMBER(A577),IF(COUNTIF(祝日!$A:$A,A577)&gt;0,"祝",CHOOSE(WEEKDAY(A577,2),"月","火","水","木","金","土","日")),"")</f>
        <v/>
      </c>
      <c r="AA577" s="25" t="str">
        <f aca="false">IF(ISNUMBER(A577),IFERROR(INDEX(集計!$V$3:$V$33,MATCH(A577,集計!$N$3:$N$33,0)),0),"")</f>
        <v/>
      </c>
      <c r="AB577" s="25" t="str">
        <f aca="false">IF(ISNUMBER(A577),IFERROR(INDEX(設定!$F$4:$F$27,MATCH(K577,設定!$E$4:$E$27,0)),""),"")</f>
        <v/>
      </c>
    </row>
    <row r="578" customFormat="false" ht="15" hidden="false" customHeight="false" outlineLevel="0" collapsed="false">
      <c r="Z578" s="25" t="str">
        <f aca="false">IF(ISNUMBER(A578),IF(COUNTIF(祝日!$A:$A,A578)&gt;0,"祝",CHOOSE(WEEKDAY(A578,2),"月","火","水","木","金","土","日")),"")</f>
        <v/>
      </c>
      <c r="AA578" s="25" t="str">
        <f aca="false">IF(ISNUMBER(A578),IFERROR(INDEX(集計!$V$3:$V$33,MATCH(A578,集計!$N$3:$N$33,0)),0),"")</f>
        <v/>
      </c>
      <c r="AB578" s="25" t="str">
        <f aca="false">IF(ISNUMBER(A578),IFERROR(INDEX(設定!$F$4:$F$27,MATCH(K578,設定!$E$4:$E$27,0)),""),"")</f>
        <v/>
      </c>
    </row>
    <row r="579" customFormat="false" ht="15" hidden="false" customHeight="false" outlineLevel="0" collapsed="false">
      <c r="Z579" s="25" t="str">
        <f aca="false">IF(ISNUMBER(A579),IF(COUNTIF(祝日!$A:$A,A579)&gt;0,"祝",CHOOSE(WEEKDAY(A579,2),"月","火","水","木","金","土","日")),"")</f>
        <v/>
      </c>
      <c r="AA579" s="25" t="str">
        <f aca="false">IF(ISNUMBER(A579),IFERROR(INDEX(集計!$V$3:$V$33,MATCH(A579,集計!$N$3:$N$33,0)),0),"")</f>
        <v/>
      </c>
      <c r="AB579" s="25" t="str">
        <f aca="false">IF(ISNUMBER(A579),IFERROR(INDEX(設定!$F$4:$F$27,MATCH(K579,設定!$E$4:$E$27,0)),""),"")</f>
        <v/>
      </c>
    </row>
    <row r="580" customFormat="false" ht="15" hidden="false" customHeight="false" outlineLevel="0" collapsed="false">
      <c r="Z580" s="25" t="str">
        <f aca="false">IF(ISNUMBER(A580),IF(COUNTIF(祝日!$A:$A,A580)&gt;0,"祝",CHOOSE(WEEKDAY(A580,2),"月","火","水","木","金","土","日")),"")</f>
        <v/>
      </c>
      <c r="AA580" s="25" t="str">
        <f aca="false">IF(ISNUMBER(A580),IFERROR(INDEX(集計!$V$3:$V$33,MATCH(A580,集計!$N$3:$N$33,0)),0),"")</f>
        <v/>
      </c>
      <c r="AB580" s="25" t="str">
        <f aca="false">IF(ISNUMBER(A580),IFERROR(INDEX(設定!$F$4:$F$27,MATCH(K580,設定!$E$4:$E$27,0)),""),"")</f>
        <v/>
      </c>
    </row>
    <row r="581" customFormat="false" ht="15" hidden="false" customHeight="false" outlineLevel="0" collapsed="false">
      <c r="Z581" s="25" t="str">
        <f aca="false">IF(ISNUMBER(A581),IF(COUNTIF(祝日!$A:$A,A581)&gt;0,"祝",CHOOSE(WEEKDAY(A581,2),"月","火","水","木","金","土","日")),"")</f>
        <v/>
      </c>
      <c r="AA581" s="25" t="str">
        <f aca="false">IF(ISNUMBER(A581),IFERROR(INDEX(集計!$V$3:$V$33,MATCH(A581,集計!$N$3:$N$33,0)),0),"")</f>
        <v/>
      </c>
      <c r="AB581" s="25" t="str">
        <f aca="false">IF(ISNUMBER(A581),IFERROR(INDEX(設定!$F$4:$F$27,MATCH(K581,設定!$E$4:$E$27,0)),""),"")</f>
        <v/>
      </c>
    </row>
    <row r="582" customFormat="false" ht="15" hidden="false" customHeight="false" outlineLevel="0" collapsed="false">
      <c r="Z582" s="25" t="str">
        <f aca="false">IF(ISNUMBER(A582),IF(COUNTIF(祝日!$A:$A,A582)&gt;0,"祝",CHOOSE(WEEKDAY(A582,2),"月","火","水","木","金","土","日")),"")</f>
        <v/>
      </c>
      <c r="AA582" s="25" t="str">
        <f aca="false">IF(ISNUMBER(A582),IFERROR(INDEX(集計!$V$3:$V$33,MATCH(A582,集計!$N$3:$N$33,0)),0),"")</f>
        <v/>
      </c>
      <c r="AB582" s="25" t="str">
        <f aca="false">IF(ISNUMBER(A582),IFERROR(INDEX(設定!$F$4:$F$27,MATCH(K582,設定!$E$4:$E$27,0)),""),"")</f>
        <v/>
      </c>
    </row>
    <row r="583" customFormat="false" ht="15" hidden="false" customHeight="false" outlineLevel="0" collapsed="false">
      <c r="Z583" s="25" t="str">
        <f aca="false">IF(ISNUMBER(A583),IF(COUNTIF(祝日!$A:$A,A583)&gt;0,"祝",CHOOSE(WEEKDAY(A583,2),"月","火","水","木","金","土","日")),"")</f>
        <v/>
      </c>
      <c r="AA583" s="25" t="str">
        <f aca="false">IF(ISNUMBER(A583),IFERROR(INDEX(集計!$V$3:$V$33,MATCH(A583,集計!$N$3:$N$33,0)),0),"")</f>
        <v/>
      </c>
      <c r="AB583" s="25" t="str">
        <f aca="false">IF(ISNUMBER(A583),IFERROR(INDEX(設定!$F$4:$F$27,MATCH(K583,設定!$E$4:$E$27,0)),""),"")</f>
        <v/>
      </c>
    </row>
    <row r="584" customFormat="false" ht="15" hidden="false" customHeight="false" outlineLevel="0" collapsed="false">
      <c r="Z584" s="25" t="str">
        <f aca="false">IF(ISNUMBER(A584),IF(COUNTIF(祝日!$A:$A,A584)&gt;0,"祝",CHOOSE(WEEKDAY(A584,2),"月","火","水","木","金","土","日")),"")</f>
        <v/>
      </c>
      <c r="AA584" s="25" t="str">
        <f aca="false">IF(ISNUMBER(A584),IFERROR(INDEX(集計!$V$3:$V$33,MATCH(A584,集計!$N$3:$N$33,0)),0),"")</f>
        <v/>
      </c>
      <c r="AB584" s="25" t="str">
        <f aca="false">IF(ISNUMBER(A584),IFERROR(INDEX(設定!$F$4:$F$27,MATCH(K584,設定!$E$4:$E$27,0)),""),"")</f>
        <v/>
      </c>
    </row>
    <row r="585" customFormat="false" ht="15" hidden="false" customHeight="false" outlineLevel="0" collapsed="false">
      <c r="Z585" s="25" t="str">
        <f aca="false">IF(ISNUMBER(A585),IF(COUNTIF(祝日!$A:$A,A585)&gt;0,"祝",CHOOSE(WEEKDAY(A585,2),"月","火","水","木","金","土","日")),"")</f>
        <v/>
      </c>
      <c r="AA585" s="25" t="str">
        <f aca="false">IF(ISNUMBER(A585),IFERROR(INDEX(集計!$V$3:$V$33,MATCH(A585,集計!$N$3:$N$33,0)),0),"")</f>
        <v/>
      </c>
      <c r="AB585" s="25" t="str">
        <f aca="false">IF(ISNUMBER(A585),IFERROR(INDEX(設定!$F$4:$F$27,MATCH(K585,設定!$E$4:$E$27,0)),""),"")</f>
        <v/>
      </c>
    </row>
    <row r="586" customFormat="false" ht="15" hidden="false" customHeight="false" outlineLevel="0" collapsed="false">
      <c r="Z586" s="25" t="str">
        <f aca="false">IF(ISNUMBER(A586),IF(COUNTIF(祝日!$A:$A,A586)&gt;0,"祝",CHOOSE(WEEKDAY(A586,2),"月","火","水","木","金","土","日")),"")</f>
        <v/>
      </c>
      <c r="AA586" s="25" t="str">
        <f aca="false">IF(ISNUMBER(A586),IFERROR(INDEX(集計!$V$3:$V$33,MATCH(A586,集計!$N$3:$N$33,0)),0),"")</f>
        <v/>
      </c>
      <c r="AB586" s="25" t="str">
        <f aca="false">IF(ISNUMBER(A586),IFERROR(INDEX(設定!$F$4:$F$27,MATCH(K586,設定!$E$4:$E$27,0)),""),"")</f>
        <v/>
      </c>
    </row>
    <row r="587" customFormat="false" ht="15" hidden="false" customHeight="false" outlineLevel="0" collapsed="false">
      <c r="Z587" s="25" t="str">
        <f aca="false">IF(ISNUMBER(A587),IF(COUNTIF(祝日!$A:$A,A587)&gt;0,"祝",CHOOSE(WEEKDAY(A587,2),"月","火","水","木","金","土","日")),"")</f>
        <v/>
      </c>
      <c r="AA587" s="25" t="str">
        <f aca="false">IF(ISNUMBER(A587),IFERROR(INDEX(集計!$V$3:$V$33,MATCH(A587,集計!$N$3:$N$33,0)),0),"")</f>
        <v/>
      </c>
      <c r="AB587" s="25" t="str">
        <f aca="false">IF(ISNUMBER(A587),IFERROR(INDEX(設定!$F$4:$F$27,MATCH(K587,設定!$E$4:$E$27,0)),""),"")</f>
        <v/>
      </c>
    </row>
    <row r="588" customFormat="false" ht="15" hidden="false" customHeight="false" outlineLevel="0" collapsed="false">
      <c r="Z588" s="25" t="str">
        <f aca="false">IF(ISNUMBER(A588),IF(COUNTIF(祝日!$A:$A,A588)&gt;0,"祝",CHOOSE(WEEKDAY(A588,2),"月","火","水","木","金","土","日")),"")</f>
        <v/>
      </c>
      <c r="AA588" s="25" t="str">
        <f aca="false">IF(ISNUMBER(A588),IFERROR(INDEX(集計!$V$3:$V$33,MATCH(A588,集計!$N$3:$N$33,0)),0),"")</f>
        <v/>
      </c>
      <c r="AB588" s="25" t="str">
        <f aca="false">IF(ISNUMBER(A588),IFERROR(INDEX(設定!$F$4:$F$27,MATCH(K588,設定!$E$4:$E$27,0)),""),"")</f>
        <v/>
      </c>
    </row>
    <row r="589" customFormat="false" ht="15" hidden="false" customHeight="false" outlineLevel="0" collapsed="false">
      <c r="Z589" s="25" t="str">
        <f aca="false">IF(ISNUMBER(A589),IF(COUNTIF(祝日!$A:$A,A589)&gt;0,"祝",CHOOSE(WEEKDAY(A589,2),"月","火","水","木","金","土","日")),"")</f>
        <v/>
      </c>
      <c r="AA589" s="25" t="str">
        <f aca="false">IF(ISNUMBER(A589),IFERROR(INDEX(集計!$V$3:$V$33,MATCH(A589,集計!$N$3:$N$33,0)),0),"")</f>
        <v/>
      </c>
      <c r="AB589" s="25" t="str">
        <f aca="false">IF(ISNUMBER(A589),IFERROR(INDEX(設定!$F$4:$F$27,MATCH(K589,設定!$E$4:$E$27,0)),""),"")</f>
        <v/>
      </c>
    </row>
    <row r="590" customFormat="false" ht="15" hidden="false" customHeight="false" outlineLevel="0" collapsed="false">
      <c r="Z590" s="25" t="str">
        <f aca="false">IF(ISNUMBER(A590),IF(COUNTIF(祝日!$A:$A,A590)&gt;0,"祝",CHOOSE(WEEKDAY(A590,2),"月","火","水","木","金","土","日")),"")</f>
        <v/>
      </c>
      <c r="AA590" s="25" t="str">
        <f aca="false">IF(ISNUMBER(A590),IFERROR(INDEX(集計!$V$3:$V$33,MATCH(A590,集計!$N$3:$N$33,0)),0),"")</f>
        <v/>
      </c>
      <c r="AB590" s="25" t="str">
        <f aca="false">IF(ISNUMBER(A590),IFERROR(INDEX(設定!$F$4:$F$27,MATCH(K590,設定!$E$4:$E$27,0)),""),"")</f>
        <v/>
      </c>
    </row>
    <row r="591" customFormat="false" ht="15" hidden="false" customHeight="false" outlineLevel="0" collapsed="false">
      <c r="Z591" s="25" t="str">
        <f aca="false">IF(ISNUMBER(A591),IF(COUNTIF(祝日!$A:$A,A591)&gt;0,"祝",CHOOSE(WEEKDAY(A591,2),"月","火","水","木","金","土","日")),"")</f>
        <v/>
      </c>
      <c r="AA591" s="25" t="str">
        <f aca="false">IF(ISNUMBER(A591),IFERROR(INDEX(集計!$V$3:$V$33,MATCH(A591,集計!$N$3:$N$33,0)),0),"")</f>
        <v/>
      </c>
      <c r="AB591" s="25" t="str">
        <f aca="false">IF(ISNUMBER(A591),IFERROR(INDEX(設定!$F$4:$F$27,MATCH(K591,設定!$E$4:$E$27,0)),""),"")</f>
        <v/>
      </c>
    </row>
    <row r="592" customFormat="false" ht="15" hidden="false" customHeight="false" outlineLevel="0" collapsed="false">
      <c r="Z592" s="25" t="str">
        <f aca="false">IF(ISNUMBER(A592),IF(COUNTIF(祝日!$A:$A,A592)&gt;0,"祝",CHOOSE(WEEKDAY(A592,2),"月","火","水","木","金","土","日")),"")</f>
        <v/>
      </c>
      <c r="AA592" s="25" t="str">
        <f aca="false">IF(ISNUMBER(A592),IFERROR(INDEX(集計!$V$3:$V$33,MATCH(A592,集計!$N$3:$N$33,0)),0),"")</f>
        <v/>
      </c>
      <c r="AB592" s="25" t="str">
        <f aca="false">IF(ISNUMBER(A592),IFERROR(INDEX(設定!$F$4:$F$27,MATCH(K592,設定!$E$4:$E$27,0)),""),"")</f>
        <v/>
      </c>
    </row>
    <row r="593" customFormat="false" ht="15" hidden="false" customHeight="false" outlineLevel="0" collapsed="false">
      <c r="Z593" s="25" t="str">
        <f aca="false">IF(ISNUMBER(A593),IF(COUNTIF(祝日!$A:$A,A593)&gt;0,"祝",CHOOSE(WEEKDAY(A593,2),"月","火","水","木","金","土","日")),"")</f>
        <v/>
      </c>
      <c r="AA593" s="25" t="str">
        <f aca="false">IF(ISNUMBER(A593),IFERROR(INDEX(集計!$V$3:$V$33,MATCH(A593,集計!$N$3:$N$33,0)),0),"")</f>
        <v/>
      </c>
      <c r="AB593" s="25" t="str">
        <f aca="false">IF(ISNUMBER(A593),IFERROR(INDEX(設定!$F$4:$F$27,MATCH(K593,設定!$E$4:$E$27,0)),""),"")</f>
        <v/>
      </c>
    </row>
    <row r="594" customFormat="false" ht="15" hidden="false" customHeight="false" outlineLevel="0" collapsed="false">
      <c r="Z594" s="25" t="str">
        <f aca="false">IF(ISNUMBER(A594),IF(COUNTIF(祝日!$A:$A,A594)&gt;0,"祝",CHOOSE(WEEKDAY(A594,2),"月","火","水","木","金","土","日")),"")</f>
        <v/>
      </c>
      <c r="AA594" s="25" t="str">
        <f aca="false">IF(ISNUMBER(A594),IFERROR(INDEX(集計!$V$3:$V$33,MATCH(A594,集計!$N$3:$N$33,0)),0),"")</f>
        <v/>
      </c>
      <c r="AB594" s="25" t="str">
        <f aca="false">IF(ISNUMBER(A594),IFERROR(INDEX(設定!$F$4:$F$27,MATCH(K594,設定!$E$4:$E$27,0)),""),"")</f>
        <v/>
      </c>
    </row>
    <row r="595" customFormat="false" ht="15" hidden="false" customHeight="false" outlineLevel="0" collapsed="false">
      <c r="Z595" s="25" t="str">
        <f aca="false">IF(ISNUMBER(A595),IF(COUNTIF(祝日!$A:$A,A595)&gt;0,"祝",CHOOSE(WEEKDAY(A595,2),"月","火","水","木","金","土","日")),"")</f>
        <v/>
      </c>
      <c r="AA595" s="25" t="str">
        <f aca="false">IF(ISNUMBER(A595),IFERROR(INDEX(集計!$V$3:$V$33,MATCH(A595,集計!$N$3:$N$33,0)),0),"")</f>
        <v/>
      </c>
      <c r="AB595" s="25" t="str">
        <f aca="false">IF(ISNUMBER(A595),IFERROR(INDEX(設定!$F$4:$F$27,MATCH(K595,設定!$E$4:$E$27,0)),""),"")</f>
        <v/>
      </c>
    </row>
    <row r="596" customFormat="false" ht="15" hidden="false" customHeight="false" outlineLevel="0" collapsed="false">
      <c r="Z596" s="25" t="str">
        <f aca="false">IF(ISNUMBER(A596),IF(COUNTIF(祝日!$A:$A,A596)&gt;0,"祝",CHOOSE(WEEKDAY(A596,2),"月","火","水","木","金","土","日")),"")</f>
        <v/>
      </c>
      <c r="AA596" s="25" t="str">
        <f aca="false">IF(ISNUMBER(A596),IFERROR(INDEX(集計!$V$3:$V$33,MATCH(A596,集計!$N$3:$N$33,0)),0),"")</f>
        <v/>
      </c>
      <c r="AB596" s="25" t="str">
        <f aca="false">IF(ISNUMBER(A596),IFERROR(INDEX(設定!$F$4:$F$27,MATCH(K596,設定!$E$4:$E$27,0)),""),"")</f>
        <v/>
      </c>
    </row>
    <row r="597" customFormat="false" ht="15" hidden="false" customHeight="false" outlineLevel="0" collapsed="false">
      <c r="Z597" s="25" t="str">
        <f aca="false">IF(ISNUMBER(A597),IF(COUNTIF(祝日!$A:$A,A597)&gt;0,"祝",CHOOSE(WEEKDAY(A597,2),"月","火","水","木","金","土","日")),"")</f>
        <v/>
      </c>
      <c r="AA597" s="25" t="str">
        <f aca="false">IF(ISNUMBER(A597),IFERROR(INDEX(集計!$V$3:$V$33,MATCH(A597,集計!$N$3:$N$33,0)),0),"")</f>
        <v/>
      </c>
      <c r="AB597" s="25" t="str">
        <f aca="false">IF(ISNUMBER(A597),IFERROR(INDEX(設定!$F$4:$F$27,MATCH(K597,設定!$E$4:$E$27,0)),""),"")</f>
        <v/>
      </c>
    </row>
    <row r="598" customFormat="false" ht="15" hidden="false" customHeight="false" outlineLevel="0" collapsed="false">
      <c r="Z598" s="25" t="str">
        <f aca="false">IF(ISNUMBER(A598),IF(COUNTIF(祝日!$A:$A,A598)&gt;0,"祝",CHOOSE(WEEKDAY(A598,2),"月","火","水","木","金","土","日")),"")</f>
        <v/>
      </c>
      <c r="AA598" s="25" t="str">
        <f aca="false">IF(ISNUMBER(A598),IFERROR(INDEX(集計!$V$3:$V$33,MATCH(A598,集計!$N$3:$N$33,0)),0),"")</f>
        <v/>
      </c>
      <c r="AB598" s="25" t="str">
        <f aca="false">IF(ISNUMBER(A598),IFERROR(INDEX(設定!$F$4:$F$27,MATCH(K598,設定!$E$4:$E$27,0)),""),"")</f>
        <v/>
      </c>
    </row>
    <row r="599" customFormat="false" ht="15" hidden="false" customHeight="false" outlineLevel="0" collapsed="false">
      <c r="Z599" s="25" t="str">
        <f aca="false">IF(ISNUMBER(A599),IF(COUNTIF(祝日!$A:$A,A599)&gt;0,"祝",CHOOSE(WEEKDAY(A599,2),"月","火","水","木","金","土","日")),"")</f>
        <v/>
      </c>
      <c r="AA599" s="25" t="str">
        <f aca="false">IF(ISNUMBER(A599),IFERROR(INDEX(集計!$V$3:$V$33,MATCH(A599,集計!$N$3:$N$33,0)),0),"")</f>
        <v/>
      </c>
      <c r="AB599" s="25" t="str">
        <f aca="false">IF(ISNUMBER(A599),IFERROR(INDEX(設定!$F$4:$F$27,MATCH(K599,設定!$E$4:$E$27,0)),""),"")</f>
        <v/>
      </c>
    </row>
    <row r="600" customFormat="false" ht="15" hidden="false" customHeight="false" outlineLevel="0" collapsed="false">
      <c r="Z600" s="25" t="str">
        <f aca="false">IF(ISNUMBER(A600),IF(COUNTIF(祝日!$A:$A,A600)&gt;0,"祝",CHOOSE(WEEKDAY(A600,2),"月","火","水","木","金","土","日")),"")</f>
        <v/>
      </c>
      <c r="AA600" s="25" t="str">
        <f aca="false">IF(ISNUMBER(A600),IFERROR(INDEX(集計!$V$3:$V$33,MATCH(A600,集計!$N$3:$N$33,0)),0),"")</f>
        <v/>
      </c>
      <c r="AB600" s="25" t="str">
        <f aca="false">IF(ISNUMBER(A600),IFERROR(INDEX(設定!$F$4:$F$27,MATCH(K600,設定!$E$4:$E$27,0)),""),"")</f>
        <v/>
      </c>
    </row>
    <row r="601" customFormat="false" ht="15" hidden="false" customHeight="false" outlineLevel="0" collapsed="false">
      <c r="Z601" s="25" t="str">
        <f aca="false">IF(ISNUMBER(A601),IF(COUNTIF(祝日!$A:$A,A601)&gt;0,"祝",CHOOSE(WEEKDAY(A601,2),"月","火","水","木","金","土","日")),"")</f>
        <v/>
      </c>
      <c r="AA601" s="25" t="str">
        <f aca="false">IF(ISNUMBER(A601),IFERROR(INDEX(集計!$V$3:$V$33,MATCH(A601,集計!$N$3:$N$33,0)),0),"")</f>
        <v/>
      </c>
      <c r="AB601" s="25" t="str">
        <f aca="false">IF(ISNUMBER(A601),IFERROR(INDEX(設定!$F$4:$F$27,MATCH(K601,設定!$E$4:$E$27,0)),""),"")</f>
        <v/>
      </c>
    </row>
    <row r="602" customFormat="false" ht="15" hidden="false" customHeight="false" outlineLevel="0" collapsed="false">
      <c r="Z602" s="25" t="str">
        <f aca="false">IF(ISNUMBER(A602),IF(COUNTIF(祝日!$A:$A,A602)&gt;0,"祝",CHOOSE(WEEKDAY(A602,2),"月","火","水","木","金","土","日")),"")</f>
        <v/>
      </c>
      <c r="AA602" s="25" t="str">
        <f aca="false">IF(ISNUMBER(A602),IFERROR(INDEX(集計!$V$3:$V$33,MATCH(A602,集計!$N$3:$N$33,0)),0),"")</f>
        <v/>
      </c>
      <c r="AB602" s="25" t="str">
        <f aca="false">IF(ISNUMBER(A602),IFERROR(INDEX(設定!$F$4:$F$27,MATCH(K602,設定!$E$4:$E$27,0)),""),"")</f>
        <v/>
      </c>
    </row>
    <row r="603" customFormat="false" ht="15" hidden="false" customHeight="false" outlineLevel="0" collapsed="false">
      <c r="Z603" s="25" t="str">
        <f aca="false">IF(ISNUMBER(A603),IF(COUNTIF(祝日!$A:$A,A603)&gt;0,"祝",CHOOSE(WEEKDAY(A603,2),"月","火","水","木","金","土","日")),"")</f>
        <v/>
      </c>
      <c r="AA603" s="25" t="str">
        <f aca="false">IF(ISNUMBER(A603),IFERROR(INDEX(集計!$V$3:$V$33,MATCH(A603,集計!$N$3:$N$33,0)),0),"")</f>
        <v/>
      </c>
      <c r="AB603" s="25" t="str">
        <f aca="false">IF(ISNUMBER(A603),IFERROR(INDEX(設定!$F$4:$F$27,MATCH(K603,設定!$E$4:$E$27,0)),""),"")</f>
        <v/>
      </c>
    </row>
    <row r="604" customFormat="false" ht="15" hidden="false" customHeight="false" outlineLevel="0" collapsed="false">
      <c r="Z604" s="25" t="str">
        <f aca="false">IF(ISNUMBER(A604),IF(COUNTIF(祝日!$A:$A,A604)&gt;0,"祝",CHOOSE(WEEKDAY(A604,2),"月","火","水","木","金","土","日")),"")</f>
        <v/>
      </c>
      <c r="AA604" s="25" t="str">
        <f aca="false">IF(ISNUMBER(A604),IFERROR(INDEX(集計!$V$3:$V$33,MATCH(A604,集計!$N$3:$N$33,0)),0),"")</f>
        <v/>
      </c>
      <c r="AB604" s="25" t="str">
        <f aca="false">IF(ISNUMBER(A604),IFERROR(INDEX(設定!$F$4:$F$27,MATCH(K604,設定!$E$4:$E$27,0)),""),"")</f>
        <v/>
      </c>
    </row>
    <row r="605" customFormat="false" ht="15" hidden="false" customHeight="false" outlineLevel="0" collapsed="false">
      <c r="Z605" s="25" t="str">
        <f aca="false">IF(ISNUMBER(A605),IF(COUNTIF(祝日!$A:$A,A605)&gt;0,"祝",CHOOSE(WEEKDAY(A605,2),"月","火","水","木","金","土","日")),"")</f>
        <v/>
      </c>
      <c r="AA605" s="25" t="str">
        <f aca="false">IF(ISNUMBER(A605),IFERROR(INDEX(集計!$V$3:$V$33,MATCH(A605,集計!$N$3:$N$33,0)),0),"")</f>
        <v/>
      </c>
      <c r="AB605" s="25" t="str">
        <f aca="false">IF(ISNUMBER(A605),IFERROR(INDEX(設定!$F$4:$F$27,MATCH(K605,設定!$E$4:$E$27,0)),""),"")</f>
        <v/>
      </c>
    </row>
    <row r="606" customFormat="false" ht="15" hidden="false" customHeight="false" outlineLevel="0" collapsed="false">
      <c r="Z606" s="25" t="str">
        <f aca="false">IF(ISNUMBER(A606),IF(COUNTIF(祝日!$A:$A,A606)&gt;0,"祝",CHOOSE(WEEKDAY(A606,2),"月","火","水","木","金","土","日")),"")</f>
        <v/>
      </c>
      <c r="AA606" s="25" t="str">
        <f aca="false">IF(ISNUMBER(A606),IFERROR(INDEX(集計!$V$3:$V$33,MATCH(A606,集計!$N$3:$N$33,0)),0),"")</f>
        <v/>
      </c>
      <c r="AB606" s="25" t="str">
        <f aca="false">IF(ISNUMBER(A606),IFERROR(INDEX(設定!$F$4:$F$27,MATCH(K606,設定!$E$4:$E$27,0)),""),"")</f>
        <v/>
      </c>
    </row>
    <row r="607" customFormat="false" ht="15" hidden="false" customHeight="false" outlineLevel="0" collapsed="false">
      <c r="Z607" s="25" t="str">
        <f aca="false">IF(ISNUMBER(A607),IF(COUNTIF(祝日!$A:$A,A607)&gt;0,"祝",CHOOSE(WEEKDAY(A607,2),"月","火","水","木","金","土","日")),"")</f>
        <v/>
      </c>
      <c r="AA607" s="25" t="str">
        <f aca="false">IF(ISNUMBER(A607),IFERROR(INDEX(集計!$V$3:$V$33,MATCH(A607,集計!$N$3:$N$33,0)),0),"")</f>
        <v/>
      </c>
      <c r="AB607" s="25" t="str">
        <f aca="false">IF(ISNUMBER(A607),IFERROR(INDEX(設定!$F$4:$F$27,MATCH(K607,設定!$E$4:$E$27,0)),""),"")</f>
        <v/>
      </c>
    </row>
    <row r="608" customFormat="false" ht="15" hidden="false" customHeight="false" outlineLevel="0" collapsed="false">
      <c r="Z608" s="25" t="str">
        <f aca="false">IF(ISNUMBER(A608),IF(COUNTIF(祝日!$A:$A,A608)&gt;0,"祝",CHOOSE(WEEKDAY(A608,2),"月","火","水","木","金","土","日")),"")</f>
        <v/>
      </c>
      <c r="AA608" s="25" t="str">
        <f aca="false">IF(ISNUMBER(A608),IFERROR(INDEX(集計!$V$3:$V$33,MATCH(A608,集計!$N$3:$N$33,0)),0),"")</f>
        <v/>
      </c>
      <c r="AB608" s="25" t="str">
        <f aca="false">IF(ISNUMBER(A608),IFERROR(INDEX(設定!$F$4:$F$27,MATCH(K608,設定!$E$4:$E$27,0)),""),"")</f>
        <v/>
      </c>
    </row>
    <row r="609" customFormat="false" ht="15" hidden="false" customHeight="false" outlineLevel="0" collapsed="false">
      <c r="Z609" s="25" t="str">
        <f aca="false">IF(ISNUMBER(A609),IF(COUNTIF(祝日!$A:$A,A609)&gt;0,"祝",CHOOSE(WEEKDAY(A609,2),"月","火","水","木","金","土","日")),"")</f>
        <v/>
      </c>
      <c r="AA609" s="25" t="str">
        <f aca="false">IF(ISNUMBER(A609),IFERROR(INDEX(集計!$V$3:$V$33,MATCH(A609,集計!$N$3:$N$33,0)),0),"")</f>
        <v/>
      </c>
      <c r="AB609" s="25" t="str">
        <f aca="false">IF(ISNUMBER(A609),IFERROR(INDEX(設定!$F$4:$F$27,MATCH(K609,設定!$E$4:$E$27,0)),""),"")</f>
        <v/>
      </c>
    </row>
    <row r="610" customFormat="false" ht="15" hidden="false" customHeight="false" outlineLevel="0" collapsed="false">
      <c r="Z610" s="25" t="str">
        <f aca="false">IF(ISNUMBER(A610),IF(COUNTIF(祝日!$A:$A,A610)&gt;0,"祝",CHOOSE(WEEKDAY(A610,2),"月","火","水","木","金","土","日")),"")</f>
        <v/>
      </c>
      <c r="AA610" s="25" t="str">
        <f aca="false">IF(ISNUMBER(A610),IFERROR(INDEX(集計!$V$3:$V$33,MATCH(A610,集計!$N$3:$N$33,0)),0),"")</f>
        <v/>
      </c>
      <c r="AB610" s="25" t="str">
        <f aca="false">IF(ISNUMBER(A610),IFERROR(INDEX(設定!$F$4:$F$27,MATCH(K610,設定!$E$4:$E$27,0)),""),"")</f>
        <v/>
      </c>
    </row>
    <row r="611" customFormat="false" ht="15" hidden="false" customHeight="false" outlineLevel="0" collapsed="false">
      <c r="Z611" s="25" t="str">
        <f aca="false">IF(ISNUMBER(A611),IF(COUNTIF(祝日!$A:$A,A611)&gt;0,"祝",CHOOSE(WEEKDAY(A611,2),"月","火","水","木","金","土","日")),"")</f>
        <v/>
      </c>
      <c r="AA611" s="25" t="str">
        <f aca="false">IF(ISNUMBER(A611),IFERROR(INDEX(集計!$V$3:$V$33,MATCH(A611,集計!$N$3:$N$33,0)),0),"")</f>
        <v/>
      </c>
      <c r="AB611" s="25" t="str">
        <f aca="false">IF(ISNUMBER(A611),IFERROR(INDEX(設定!$F$4:$F$27,MATCH(K611,設定!$E$4:$E$27,0)),""),"")</f>
        <v/>
      </c>
    </row>
    <row r="612" customFormat="false" ht="15" hidden="false" customHeight="false" outlineLevel="0" collapsed="false">
      <c r="Z612" s="25" t="str">
        <f aca="false">IF(ISNUMBER(A612),IF(COUNTIF(祝日!$A:$A,A612)&gt;0,"祝",CHOOSE(WEEKDAY(A612,2),"月","火","水","木","金","土","日")),"")</f>
        <v/>
      </c>
      <c r="AA612" s="25" t="str">
        <f aca="false">IF(ISNUMBER(A612),IFERROR(INDEX(集計!$V$3:$V$33,MATCH(A612,集計!$N$3:$N$33,0)),0),"")</f>
        <v/>
      </c>
      <c r="AB612" s="25" t="str">
        <f aca="false">IF(ISNUMBER(A612),IFERROR(INDEX(設定!$F$4:$F$27,MATCH(K612,設定!$E$4:$E$27,0)),""),"")</f>
        <v/>
      </c>
    </row>
    <row r="613" customFormat="false" ht="15" hidden="false" customHeight="false" outlineLevel="0" collapsed="false">
      <c r="Z613" s="25" t="str">
        <f aca="false">IF(ISNUMBER(A613),IF(COUNTIF(祝日!$A:$A,A613)&gt;0,"祝",CHOOSE(WEEKDAY(A613,2),"月","火","水","木","金","土","日")),"")</f>
        <v/>
      </c>
      <c r="AA613" s="25" t="str">
        <f aca="false">IF(ISNUMBER(A613),IFERROR(INDEX(集計!$V$3:$V$33,MATCH(A613,集計!$N$3:$N$33,0)),0),"")</f>
        <v/>
      </c>
      <c r="AB613" s="25" t="str">
        <f aca="false">IF(ISNUMBER(A613),IFERROR(INDEX(設定!$F$4:$F$27,MATCH(K613,設定!$E$4:$E$27,0)),""),"")</f>
        <v/>
      </c>
    </row>
    <row r="614" customFormat="false" ht="15" hidden="false" customHeight="false" outlineLevel="0" collapsed="false">
      <c r="Z614" s="25" t="str">
        <f aca="false">IF(ISNUMBER(A614),IF(COUNTIF(祝日!$A:$A,A614)&gt;0,"祝",CHOOSE(WEEKDAY(A614,2),"月","火","水","木","金","土","日")),"")</f>
        <v/>
      </c>
      <c r="AA614" s="25" t="str">
        <f aca="false">IF(ISNUMBER(A614),IFERROR(INDEX(集計!$V$3:$V$33,MATCH(A614,集計!$N$3:$N$33,0)),0),"")</f>
        <v/>
      </c>
      <c r="AB614" s="25" t="str">
        <f aca="false">IF(ISNUMBER(A614),IFERROR(INDEX(設定!$F$4:$F$27,MATCH(K614,設定!$E$4:$E$27,0)),""),"")</f>
        <v/>
      </c>
    </row>
    <row r="615" customFormat="false" ht="15" hidden="false" customHeight="false" outlineLevel="0" collapsed="false">
      <c r="Z615" s="25" t="str">
        <f aca="false">IF(ISNUMBER(A615),IF(COUNTIF(祝日!$A:$A,A615)&gt;0,"祝",CHOOSE(WEEKDAY(A615,2),"月","火","水","木","金","土","日")),"")</f>
        <v/>
      </c>
      <c r="AA615" s="25" t="str">
        <f aca="false">IF(ISNUMBER(A615),IFERROR(INDEX(集計!$V$3:$V$33,MATCH(A615,集計!$N$3:$N$33,0)),0),"")</f>
        <v/>
      </c>
      <c r="AB615" s="25" t="str">
        <f aca="false">IF(ISNUMBER(A615),IFERROR(INDEX(設定!$F$4:$F$27,MATCH(K615,設定!$E$4:$E$27,0)),""),"")</f>
        <v/>
      </c>
    </row>
    <row r="616" customFormat="false" ht="15" hidden="false" customHeight="false" outlineLevel="0" collapsed="false">
      <c r="Z616" s="25" t="str">
        <f aca="false">IF(ISNUMBER(A616),IF(COUNTIF(祝日!$A:$A,A616)&gt;0,"祝",CHOOSE(WEEKDAY(A616,2),"月","火","水","木","金","土","日")),"")</f>
        <v/>
      </c>
      <c r="AA616" s="25" t="str">
        <f aca="false">IF(ISNUMBER(A616),IFERROR(INDEX(集計!$V$3:$V$33,MATCH(A616,集計!$N$3:$N$33,0)),0),"")</f>
        <v/>
      </c>
      <c r="AB616" s="25" t="str">
        <f aca="false">IF(ISNUMBER(A616),IFERROR(INDEX(設定!$F$4:$F$27,MATCH(K616,設定!$E$4:$E$27,0)),""),"")</f>
        <v/>
      </c>
    </row>
    <row r="617" customFormat="false" ht="15" hidden="false" customHeight="false" outlineLevel="0" collapsed="false">
      <c r="Z617" s="25" t="str">
        <f aca="false">IF(ISNUMBER(A617),IF(COUNTIF(祝日!$A:$A,A617)&gt;0,"祝",CHOOSE(WEEKDAY(A617,2),"月","火","水","木","金","土","日")),"")</f>
        <v/>
      </c>
      <c r="AA617" s="25" t="str">
        <f aca="false">IF(ISNUMBER(A617),IFERROR(INDEX(集計!$V$3:$V$33,MATCH(A617,集計!$N$3:$N$33,0)),0),"")</f>
        <v/>
      </c>
      <c r="AB617" s="25" t="str">
        <f aca="false">IF(ISNUMBER(A617),IFERROR(INDEX(設定!$F$4:$F$27,MATCH(K617,設定!$E$4:$E$27,0)),""),"")</f>
        <v/>
      </c>
    </row>
    <row r="618" customFormat="false" ht="15" hidden="false" customHeight="false" outlineLevel="0" collapsed="false">
      <c r="Z618" s="25" t="str">
        <f aca="false">IF(ISNUMBER(A618),IF(COUNTIF(祝日!$A:$A,A618)&gt;0,"祝",CHOOSE(WEEKDAY(A618,2),"月","火","水","木","金","土","日")),"")</f>
        <v/>
      </c>
      <c r="AA618" s="25" t="str">
        <f aca="false">IF(ISNUMBER(A618),IFERROR(INDEX(集計!$V$3:$V$33,MATCH(A618,集計!$N$3:$N$33,0)),0),"")</f>
        <v/>
      </c>
      <c r="AB618" s="25" t="str">
        <f aca="false">IF(ISNUMBER(A618),IFERROR(INDEX(設定!$F$4:$F$27,MATCH(K618,設定!$E$4:$E$27,0)),""),"")</f>
        <v/>
      </c>
    </row>
    <row r="619" customFormat="false" ht="15" hidden="false" customHeight="false" outlineLevel="0" collapsed="false">
      <c r="Z619" s="25" t="str">
        <f aca="false">IF(ISNUMBER(A619),IF(COUNTIF(祝日!$A:$A,A619)&gt;0,"祝",CHOOSE(WEEKDAY(A619,2),"月","火","水","木","金","土","日")),"")</f>
        <v/>
      </c>
      <c r="AA619" s="25" t="str">
        <f aca="false">IF(ISNUMBER(A619),IFERROR(INDEX(集計!$V$3:$V$33,MATCH(A619,集計!$N$3:$N$33,0)),0),"")</f>
        <v/>
      </c>
      <c r="AB619" s="25" t="str">
        <f aca="false">IF(ISNUMBER(A619),IFERROR(INDEX(設定!$F$4:$F$27,MATCH(K619,設定!$E$4:$E$27,0)),""),"")</f>
        <v/>
      </c>
    </row>
    <row r="620" customFormat="false" ht="15" hidden="false" customHeight="false" outlineLevel="0" collapsed="false">
      <c r="Z620" s="25" t="str">
        <f aca="false">IF(ISNUMBER(A620),IF(COUNTIF(祝日!$A:$A,A620)&gt;0,"祝",CHOOSE(WEEKDAY(A620,2),"月","火","水","木","金","土","日")),"")</f>
        <v/>
      </c>
      <c r="AA620" s="25" t="str">
        <f aca="false">IF(ISNUMBER(A620),IFERROR(INDEX(集計!$V$3:$V$33,MATCH(A620,集計!$N$3:$N$33,0)),0),"")</f>
        <v/>
      </c>
      <c r="AB620" s="25" t="str">
        <f aca="false">IF(ISNUMBER(A620),IFERROR(INDEX(設定!$F$4:$F$27,MATCH(K620,設定!$E$4:$E$27,0)),""),"")</f>
        <v/>
      </c>
    </row>
    <row r="621" customFormat="false" ht="15" hidden="false" customHeight="false" outlineLevel="0" collapsed="false">
      <c r="Z621" s="25" t="str">
        <f aca="false">IF(ISNUMBER(A621),IF(COUNTIF(祝日!$A:$A,A621)&gt;0,"祝",CHOOSE(WEEKDAY(A621,2),"月","火","水","木","金","土","日")),"")</f>
        <v/>
      </c>
      <c r="AA621" s="25" t="str">
        <f aca="false">IF(ISNUMBER(A621),IFERROR(INDEX(集計!$V$3:$V$33,MATCH(A621,集計!$N$3:$N$33,0)),0),"")</f>
        <v/>
      </c>
      <c r="AB621" s="25" t="str">
        <f aca="false">IF(ISNUMBER(A621),IFERROR(INDEX(設定!$F$4:$F$27,MATCH(K621,設定!$E$4:$E$27,0)),""),"")</f>
        <v/>
      </c>
    </row>
    <row r="622" customFormat="false" ht="15" hidden="false" customHeight="false" outlineLevel="0" collapsed="false">
      <c r="Z622" s="25" t="str">
        <f aca="false">IF(ISNUMBER(A622),IF(COUNTIF(祝日!$A:$A,A622)&gt;0,"祝",CHOOSE(WEEKDAY(A622,2),"月","火","水","木","金","土","日")),"")</f>
        <v/>
      </c>
      <c r="AA622" s="25" t="str">
        <f aca="false">IF(ISNUMBER(A622),IFERROR(INDEX(集計!$V$3:$V$33,MATCH(A622,集計!$N$3:$N$33,0)),0),"")</f>
        <v/>
      </c>
      <c r="AB622" s="25" t="str">
        <f aca="false">IF(ISNUMBER(A622),IFERROR(INDEX(設定!$F$4:$F$27,MATCH(K622,設定!$E$4:$E$27,0)),""),"")</f>
        <v/>
      </c>
    </row>
    <row r="623" customFormat="false" ht="15" hidden="false" customHeight="false" outlineLevel="0" collapsed="false">
      <c r="Z623" s="25" t="str">
        <f aca="false">IF(ISNUMBER(A623),IF(COUNTIF(祝日!$A:$A,A623)&gt;0,"祝",CHOOSE(WEEKDAY(A623,2),"月","火","水","木","金","土","日")),"")</f>
        <v/>
      </c>
      <c r="AA623" s="25" t="str">
        <f aca="false">IF(ISNUMBER(A623),IFERROR(INDEX(集計!$V$3:$V$33,MATCH(A623,集計!$N$3:$N$33,0)),0),"")</f>
        <v/>
      </c>
      <c r="AB623" s="25" t="str">
        <f aca="false">IF(ISNUMBER(A623),IFERROR(INDEX(設定!$F$4:$F$27,MATCH(K623,設定!$E$4:$E$27,0)),""),"")</f>
        <v/>
      </c>
    </row>
    <row r="624" customFormat="false" ht="15" hidden="false" customHeight="false" outlineLevel="0" collapsed="false">
      <c r="Z624" s="25" t="str">
        <f aca="false">IF(ISNUMBER(A624),IF(COUNTIF(祝日!$A:$A,A624)&gt;0,"祝",CHOOSE(WEEKDAY(A624,2),"月","火","水","木","金","土","日")),"")</f>
        <v/>
      </c>
      <c r="AA624" s="25" t="str">
        <f aca="false">IF(ISNUMBER(A624),IFERROR(INDEX(集計!$V$3:$V$33,MATCH(A624,集計!$N$3:$N$33,0)),0),"")</f>
        <v/>
      </c>
      <c r="AB624" s="25" t="str">
        <f aca="false">IF(ISNUMBER(A624),IFERROR(INDEX(設定!$F$4:$F$27,MATCH(K624,設定!$E$4:$E$27,0)),""),"")</f>
        <v/>
      </c>
    </row>
    <row r="625" customFormat="false" ht="15" hidden="false" customHeight="false" outlineLevel="0" collapsed="false">
      <c r="Z625" s="25" t="str">
        <f aca="false">IF(ISNUMBER(A625),IF(COUNTIF(祝日!$A:$A,A625)&gt;0,"祝",CHOOSE(WEEKDAY(A625,2),"月","火","水","木","金","土","日")),"")</f>
        <v/>
      </c>
      <c r="AA625" s="25" t="str">
        <f aca="false">IF(ISNUMBER(A625),IFERROR(INDEX(集計!$V$3:$V$33,MATCH(A625,集計!$N$3:$N$33,0)),0),"")</f>
        <v/>
      </c>
      <c r="AB625" s="25" t="str">
        <f aca="false">IF(ISNUMBER(A625),IFERROR(INDEX(設定!$F$4:$F$27,MATCH(K625,設定!$E$4:$E$27,0)),""),"")</f>
        <v/>
      </c>
    </row>
    <row r="626" customFormat="false" ht="15" hidden="false" customHeight="false" outlineLevel="0" collapsed="false">
      <c r="Z626" s="25" t="str">
        <f aca="false">IF(ISNUMBER(A626),IF(COUNTIF(祝日!$A:$A,A626)&gt;0,"祝",CHOOSE(WEEKDAY(A626,2),"月","火","水","木","金","土","日")),"")</f>
        <v/>
      </c>
      <c r="AA626" s="25" t="str">
        <f aca="false">IF(ISNUMBER(A626),IFERROR(INDEX(集計!$V$3:$V$33,MATCH(A626,集計!$N$3:$N$33,0)),0),"")</f>
        <v/>
      </c>
      <c r="AB626" s="25" t="str">
        <f aca="false">IF(ISNUMBER(A626),IFERROR(INDEX(設定!$F$4:$F$27,MATCH(K626,設定!$E$4:$E$27,0)),""),"")</f>
        <v/>
      </c>
    </row>
    <row r="627" customFormat="false" ht="15" hidden="false" customHeight="false" outlineLevel="0" collapsed="false">
      <c r="Z627" s="25" t="str">
        <f aca="false">IF(ISNUMBER(A627),IF(COUNTIF(祝日!$A:$A,A627)&gt;0,"祝",CHOOSE(WEEKDAY(A627,2),"月","火","水","木","金","土","日")),"")</f>
        <v/>
      </c>
      <c r="AA627" s="25" t="str">
        <f aca="false">IF(ISNUMBER(A627),IFERROR(INDEX(集計!$V$3:$V$33,MATCH(A627,集計!$N$3:$N$33,0)),0),"")</f>
        <v/>
      </c>
      <c r="AB627" s="25" t="str">
        <f aca="false">IF(ISNUMBER(A627),IFERROR(INDEX(設定!$F$4:$F$27,MATCH(K627,設定!$E$4:$E$27,0)),""),"")</f>
        <v/>
      </c>
    </row>
    <row r="628" customFormat="false" ht="15" hidden="false" customHeight="false" outlineLevel="0" collapsed="false">
      <c r="Z628" s="25" t="str">
        <f aca="false">IF(ISNUMBER(A628),IF(COUNTIF(祝日!$A:$A,A628)&gt;0,"祝",CHOOSE(WEEKDAY(A628,2),"月","火","水","木","金","土","日")),"")</f>
        <v/>
      </c>
      <c r="AA628" s="25" t="str">
        <f aca="false">IF(ISNUMBER(A628),IFERROR(INDEX(集計!$V$3:$V$33,MATCH(A628,集計!$N$3:$N$33,0)),0),"")</f>
        <v/>
      </c>
      <c r="AB628" s="25" t="str">
        <f aca="false">IF(ISNUMBER(A628),IFERROR(INDEX(設定!$F$4:$F$27,MATCH(K628,設定!$E$4:$E$27,0)),""),"")</f>
        <v/>
      </c>
    </row>
    <row r="629" customFormat="false" ht="15" hidden="false" customHeight="false" outlineLevel="0" collapsed="false">
      <c r="Z629" s="25" t="str">
        <f aca="false">IF(ISNUMBER(A629),IF(COUNTIF(祝日!$A:$A,A629)&gt;0,"祝",CHOOSE(WEEKDAY(A629,2),"月","火","水","木","金","土","日")),"")</f>
        <v/>
      </c>
      <c r="AA629" s="25" t="str">
        <f aca="false">IF(ISNUMBER(A629),IFERROR(INDEX(集計!$V$3:$V$33,MATCH(A629,集計!$N$3:$N$33,0)),0),"")</f>
        <v/>
      </c>
      <c r="AB629" s="25" t="str">
        <f aca="false">IF(ISNUMBER(A629),IFERROR(INDEX(設定!$F$4:$F$27,MATCH(K629,設定!$E$4:$E$27,0)),""),"")</f>
        <v/>
      </c>
    </row>
    <row r="630" customFormat="false" ht="15" hidden="false" customHeight="false" outlineLevel="0" collapsed="false">
      <c r="Z630" s="25" t="str">
        <f aca="false">IF(ISNUMBER(A630),IF(COUNTIF(祝日!$A:$A,A630)&gt;0,"祝",CHOOSE(WEEKDAY(A630,2),"月","火","水","木","金","土","日")),"")</f>
        <v/>
      </c>
      <c r="AA630" s="25" t="str">
        <f aca="false">IF(ISNUMBER(A630),IFERROR(INDEX(集計!$V$3:$V$33,MATCH(A630,集計!$N$3:$N$33,0)),0),"")</f>
        <v/>
      </c>
      <c r="AB630" s="25" t="str">
        <f aca="false">IF(ISNUMBER(A630),IFERROR(INDEX(設定!$F$4:$F$27,MATCH(K630,設定!$E$4:$E$27,0)),""),"")</f>
        <v/>
      </c>
    </row>
    <row r="631" customFormat="false" ht="15" hidden="false" customHeight="false" outlineLevel="0" collapsed="false">
      <c r="Z631" s="25" t="str">
        <f aca="false">IF(ISNUMBER(A631),IF(COUNTIF(祝日!$A:$A,A631)&gt;0,"祝",CHOOSE(WEEKDAY(A631,2),"月","火","水","木","金","土","日")),"")</f>
        <v/>
      </c>
      <c r="AA631" s="25" t="str">
        <f aca="false">IF(ISNUMBER(A631),IFERROR(INDEX(集計!$V$3:$V$33,MATCH(A631,集計!$N$3:$N$33,0)),0),"")</f>
        <v/>
      </c>
      <c r="AB631" s="25" t="str">
        <f aca="false">IF(ISNUMBER(A631),IFERROR(INDEX(設定!$F$4:$F$27,MATCH(K631,設定!$E$4:$E$27,0)),""),"")</f>
        <v/>
      </c>
    </row>
    <row r="632" customFormat="false" ht="15" hidden="false" customHeight="false" outlineLevel="0" collapsed="false">
      <c r="Z632" s="25" t="str">
        <f aca="false">IF(ISNUMBER(A632),IF(COUNTIF(祝日!$A:$A,A632)&gt;0,"祝",CHOOSE(WEEKDAY(A632,2),"月","火","水","木","金","土","日")),"")</f>
        <v/>
      </c>
      <c r="AA632" s="25" t="str">
        <f aca="false">IF(ISNUMBER(A632),IFERROR(INDEX(集計!$V$3:$V$33,MATCH(A632,集計!$N$3:$N$33,0)),0),"")</f>
        <v/>
      </c>
      <c r="AB632" s="25" t="str">
        <f aca="false">IF(ISNUMBER(A632),IFERROR(INDEX(設定!$F$4:$F$27,MATCH(K632,設定!$E$4:$E$27,0)),""),"")</f>
        <v/>
      </c>
    </row>
    <row r="633" customFormat="false" ht="15" hidden="false" customHeight="false" outlineLevel="0" collapsed="false">
      <c r="Z633" s="25" t="str">
        <f aca="false">IF(ISNUMBER(A633),IF(COUNTIF(祝日!$A:$A,A633)&gt;0,"祝",CHOOSE(WEEKDAY(A633,2),"月","火","水","木","金","土","日")),"")</f>
        <v/>
      </c>
      <c r="AA633" s="25" t="str">
        <f aca="false">IF(ISNUMBER(A633),IFERROR(INDEX(集計!$V$3:$V$33,MATCH(A633,集計!$N$3:$N$33,0)),0),"")</f>
        <v/>
      </c>
      <c r="AB633" s="25" t="str">
        <f aca="false">IF(ISNUMBER(A633),IFERROR(INDEX(設定!$F$4:$F$27,MATCH(K633,設定!$E$4:$E$27,0)),""),"")</f>
        <v/>
      </c>
    </row>
    <row r="634" customFormat="false" ht="15" hidden="false" customHeight="false" outlineLevel="0" collapsed="false">
      <c r="Z634" s="25" t="str">
        <f aca="false">IF(ISNUMBER(A634),IF(COUNTIF(祝日!$A:$A,A634)&gt;0,"祝",CHOOSE(WEEKDAY(A634,2),"月","火","水","木","金","土","日")),"")</f>
        <v/>
      </c>
      <c r="AA634" s="25" t="str">
        <f aca="false">IF(ISNUMBER(A634),IFERROR(INDEX(集計!$V$3:$V$33,MATCH(A634,集計!$N$3:$N$33,0)),0),"")</f>
        <v/>
      </c>
      <c r="AB634" s="25" t="str">
        <f aca="false">IF(ISNUMBER(A634),IFERROR(INDEX(設定!$F$4:$F$27,MATCH(K634,設定!$E$4:$E$27,0)),""),"")</f>
        <v/>
      </c>
    </row>
    <row r="635" customFormat="false" ht="15" hidden="false" customHeight="false" outlineLevel="0" collapsed="false">
      <c r="Z635" s="25" t="str">
        <f aca="false">IF(ISNUMBER(A635),IF(COUNTIF(祝日!$A:$A,A635)&gt;0,"祝",CHOOSE(WEEKDAY(A635,2),"月","火","水","木","金","土","日")),"")</f>
        <v/>
      </c>
      <c r="AA635" s="25" t="str">
        <f aca="false">IF(ISNUMBER(A635),IFERROR(INDEX(集計!$V$3:$V$33,MATCH(A635,集計!$N$3:$N$33,0)),0),"")</f>
        <v/>
      </c>
      <c r="AB635" s="25" t="str">
        <f aca="false">IF(ISNUMBER(A635),IFERROR(INDEX(設定!$F$4:$F$27,MATCH(K635,設定!$E$4:$E$27,0)),""),"")</f>
        <v/>
      </c>
    </row>
    <row r="636" customFormat="false" ht="15" hidden="false" customHeight="false" outlineLevel="0" collapsed="false">
      <c r="Z636" s="25" t="str">
        <f aca="false">IF(ISNUMBER(A636),IF(COUNTIF(祝日!$A:$A,A636)&gt;0,"祝",CHOOSE(WEEKDAY(A636,2),"月","火","水","木","金","土","日")),"")</f>
        <v/>
      </c>
      <c r="AA636" s="25" t="str">
        <f aca="false">IF(ISNUMBER(A636),IFERROR(INDEX(集計!$V$3:$V$33,MATCH(A636,集計!$N$3:$N$33,0)),0),"")</f>
        <v/>
      </c>
      <c r="AB636" s="25" t="str">
        <f aca="false">IF(ISNUMBER(A636),IFERROR(INDEX(設定!$F$4:$F$27,MATCH(K636,設定!$E$4:$E$27,0)),""),"")</f>
        <v/>
      </c>
    </row>
    <row r="637" customFormat="false" ht="15" hidden="false" customHeight="false" outlineLevel="0" collapsed="false">
      <c r="Z637" s="25" t="str">
        <f aca="false">IF(ISNUMBER(A637),IF(COUNTIF(祝日!$A:$A,A637)&gt;0,"祝",CHOOSE(WEEKDAY(A637,2),"月","火","水","木","金","土","日")),"")</f>
        <v/>
      </c>
      <c r="AA637" s="25" t="str">
        <f aca="false">IF(ISNUMBER(A637),IFERROR(INDEX(集計!$V$3:$V$33,MATCH(A637,集計!$N$3:$N$33,0)),0),"")</f>
        <v/>
      </c>
      <c r="AB637" s="25" t="str">
        <f aca="false">IF(ISNUMBER(A637),IFERROR(INDEX(設定!$F$4:$F$27,MATCH(K637,設定!$E$4:$E$27,0)),""),"")</f>
        <v/>
      </c>
    </row>
    <row r="638" customFormat="false" ht="15" hidden="false" customHeight="false" outlineLevel="0" collapsed="false">
      <c r="Z638" s="25" t="str">
        <f aca="false">IF(ISNUMBER(A638),IF(COUNTIF(祝日!$A:$A,A638)&gt;0,"祝",CHOOSE(WEEKDAY(A638,2),"月","火","水","木","金","土","日")),"")</f>
        <v/>
      </c>
      <c r="AA638" s="25" t="str">
        <f aca="false">IF(ISNUMBER(A638),IFERROR(INDEX(集計!$V$3:$V$33,MATCH(A638,集計!$N$3:$N$33,0)),0),"")</f>
        <v/>
      </c>
      <c r="AB638" s="25" t="str">
        <f aca="false">IF(ISNUMBER(A638),IFERROR(INDEX(設定!$F$4:$F$27,MATCH(K638,設定!$E$4:$E$27,0)),""),"")</f>
        <v/>
      </c>
    </row>
    <row r="639" customFormat="false" ht="15" hidden="false" customHeight="false" outlineLevel="0" collapsed="false">
      <c r="Z639" s="25" t="str">
        <f aca="false">IF(ISNUMBER(A639),IF(COUNTIF(祝日!$A:$A,A639)&gt;0,"祝",CHOOSE(WEEKDAY(A639,2),"月","火","水","木","金","土","日")),"")</f>
        <v/>
      </c>
      <c r="AA639" s="25" t="str">
        <f aca="false">IF(ISNUMBER(A639),IFERROR(INDEX(集計!$V$3:$V$33,MATCH(A639,集計!$N$3:$N$33,0)),0),"")</f>
        <v/>
      </c>
      <c r="AB639" s="25" t="str">
        <f aca="false">IF(ISNUMBER(A639),IFERROR(INDEX(設定!$F$4:$F$27,MATCH(K639,設定!$E$4:$E$27,0)),""),"")</f>
        <v/>
      </c>
    </row>
    <row r="640" customFormat="false" ht="15" hidden="false" customHeight="false" outlineLevel="0" collapsed="false">
      <c r="Z640" s="25" t="str">
        <f aca="false">IF(ISNUMBER(A640),IF(COUNTIF(祝日!$A:$A,A640)&gt;0,"祝",CHOOSE(WEEKDAY(A640,2),"月","火","水","木","金","土","日")),"")</f>
        <v/>
      </c>
      <c r="AA640" s="25" t="str">
        <f aca="false">IF(ISNUMBER(A640),IFERROR(INDEX(集計!$V$3:$V$33,MATCH(A640,集計!$N$3:$N$33,0)),0),"")</f>
        <v/>
      </c>
      <c r="AB640" s="25" t="str">
        <f aca="false">IF(ISNUMBER(A640),IFERROR(INDEX(設定!$F$4:$F$27,MATCH(K640,設定!$E$4:$E$27,0)),""),"")</f>
        <v/>
      </c>
    </row>
    <row r="641" customFormat="false" ht="15" hidden="false" customHeight="false" outlineLevel="0" collapsed="false">
      <c r="Z641" s="25" t="str">
        <f aca="false">IF(ISNUMBER(A641),IF(COUNTIF(祝日!$A:$A,A641)&gt;0,"祝",CHOOSE(WEEKDAY(A641,2),"月","火","水","木","金","土","日")),"")</f>
        <v/>
      </c>
      <c r="AA641" s="25" t="str">
        <f aca="false">IF(ISNUMBER(A641),IFERROR(INDEX(集計!$V$3:$V$33,MATCH(A641,集計!$N$3:$N$33,0)),0),"")</f>
        <v/>
      </c>
      <c r="AB641" s="25" t="str">
        <f aca="false">IF(ISNUMBER(A641),IFERROR(INDEX(設定!$F$4:$F$27,MATCH(K641,設定!$E$4:$E$27,0)),""),"")</f>
        <v/>
      </c>
    </row>
    <row r="642" customFormat="false" ht="15" hidden="false" customHeight="false" outlineLevel="0" collapsed="false">
      <c r="Z642" s="25" t="str">
        <f aca="false">IF(ISNUMBER(A642),IF(COUNTIF(祝日!$A:$A,A642)&gt;0,"祝",CHOOSE(WEEKDAY(A642,2),"月","火","水","木","金","土","日")),"")</f>
        <v/>
      </c>
      <c r="AA642" s="25" t="str">
        <f aca="false">IF(ISNUMBER(A642),IFERROR(INDEX(集計!$V$3:$V$33,MATCH(A642,集計!$N$3:$N$33,0)),0),"")</f>
        <v/>
      </c>
      <c r="AB642" s="25" t="str">
        <f aca="false">IF(ISNUMBER(A642),IFERROR(INDEX(設定!$F$4:$F$27,MATCH(K642,設定!$E$4:$E$27,0)),""),"")</f>
        <v/>
      </c>
    </row>
    <row r="643" customFormat="false" ht="15" hidden="false" customHeight="false" outlineLevel="0" collapsed="false">
      <c r="Z643" s="25" t="str">
        <f aca="false">IF(ISNUMBER(A643),IF(COUNTIF(祝日!$A:$A,A643)&gt;0,"祝",CHOOSE(WEEKDAY(A643,2),"月","火","水","木","金","土","日")),"")</f>
        <v/>
      </c>
      <c r="AA643" s="25" t="str">
        <f aca="false">IF(ISNUMBER(A643),IFERROR(INDEX(集計!$V$3:$V$33,MATCH(A643,集計!$N$3:$N$33,0)),0),"")</f>
        <v/>
      </c>
      <c r="AB643" s="25" t="str">
        <f aca="false">IF(ISNUMBER(A643),IFERROR(INDEX(設定!$F$4:$F$27,MATCH(K643,設定!$E$4:$E$27,0)),""),"")</f>
        <v/>
      </c>
    </row>
    <row r="644" customFormat="false" ht="15" hidden="false" customHeight="false" outlineLevel="0" collapsed="false">
      <c r="Z644" s="25" t="str">
        <f aca="false">IF(ISNUMBER(A644),IF(COUNTIF(祝日!$A:$A,A644)&gt;0,"祝",CHOOSE(WEEKDAY(A644,2),"月","火","水","木","金","土","日")),"")</f>
        <v/>
      </c>
      <c r="AA644" s="25" t="str">
        <f aca="false">IF(ISNUMBER(A644),IFERROR(INDEX(集計!$V$3:$V$33,MATCH(A644,集計!$N$3:$N$33,0)),0),"")</f>
        <v/>
      </c>
      <c r="AB644" s="25" t="str">
        <f aca="false">IF(ISNUMBER(A644),IFERROR(INDEX(設定!$F$4:$F$27,MATCH(K644,設定!$E$4:$E$27,0)),""),"")</f>
        <v/>
      </c>
    </row>
    <row r="645" customFormat="false" ht="15" hidden="false" customHeight="false" outlineLevel="0" collapsed="false">
      <c r="Z645" s="25" t="str">
        <f aca="false">IF(ISNUMBER(A645),IF(COUNTIF(祝日!$A:$A,A645)&gt;0,"祝",CHOOSE(WEEKDAY(A645,2),"月","火","水","木","金","土","日")),"")</f>
        <v/>
      </c>
      <c r="AA645" s="25" t="str">
        <f aca="false">IF(ISNUMBER(A645),IFERROR(INDEX(集計!$V$3:$V$33,MATCH(A645,集計!$N$3:$N$33,0)),0),"")</f>
        <v/>
      </c>
      <c r="AB645" s="25" t="str">
        <f aca="false">IF(ISNUMBER(A645),IFERROR(INDEX(設定!$F$4:$F$27,MATCH(K645,設定!$E$4:$E$27,0)),""),"")</f>
        <v/>
      </c>
    </row>
    <row r="646" customFormat="false" ht="15" hidden="false" customHeight="false" outlineLevel="0" collapsed="false">
      <c r="Z646" s="25" t="str">
        <f aca="false">IF(ISNUMBER(A646),IF(COUNTIF(祝日!$A:$A,A646)&gt;0,"祝",CHOOSE(WEEKDAY(A646,2),"月","火","水","木","金","土","日")),"")</f>
        <v/>
      </c>
      <c r="AA646" s="25" t="str">
        <f aca="false">IF(ISNUMBER(A646),IFERROR(INDEX(集計!$V$3:$V$33,MATCH(A646,集計!$N$3:$N$33,0)),0),"")</f>
        <v/>
      </c>
      <c r="AB646" s="25" t="str">
        <f aca="false">IF(ISNUMBER(A646),IFERROR(INDEX(設定!$F$4:$F$27,MATCH(K646,設定!$E$4:$E$27,0)),""),"")</f>
        <v/>
      </c>
    </row>
    <row r="647" customFormat="false" ht="15" hidden="false" customHeight="false" outlineLevel="0" collapsed="false">
      <c r="Z647" s="25" t="str">
        <f aca="false">IF(ISNUMBER(A647),IF(COUNTIF(祝日!$A:$A,A647)&gt;0,"祝",CHOOSE(WEEKDAY(A647,2),"月","火","水","木","金","土","日")),"")</f>
        <v/>
      </c>
      <c r="AA647" s="25" t="str">
        <f aca="false">IF(ISNUMBER(A647),IFERROR(INDEX(集計!$V$3:$V$33,MATCH(A647,集計!$N$3:$N$33,0)),0),"")</f>
        <v/>
      </c>
      <c r="AB647" s="25" t="str">
        <f aca="false">IF(ISNUMBER(A647),IFERROR(INDEX(設定!$F$4:$F$27,MATCH(K647,設定!$E$4:$E$27,0)),""),"")</f>
        <v/>
      </c>
    </row>
    <row r="648" customFormat="false" ht="15" hidden="false" customHeight="false" outlineLevel="0" collapsed="false">
      <c r="Z648" s="25" t="str">
        <f aca="false">IF(ISNUMBER(A648),IF(COUNTIF(祝日!$A:$A,A648)&gt;0,"祝",CHOOSE(WEEKDAY(A648,2),"月","火","水","木","金","土","日")),"")</f>
        <v/>
      </c>
      <c r="AA648" s="25" t="str">
        <f aca="false">IF(ISNUMBER(A648),IFERROR(INDEX(集計!$V$3:$V$33,MATCH(A648,集計!$N$3:$N$33,0)),0),"")</f>
        <v/>
      </c>
      <c r="AB648" s="25" t="str">
        <f aca="false">IF(ISNUMBER(A648),IFERROR(INDEX(設定!$F$4:$F$27,MATCH(K648,設定!$E$4:$E$27,0)),""),"")</f>
        <v/>
      </c>
    </row>
    <row r="649" customFormat="false" ht="15" hidden="false" customHeight="false" outlineLevel="0" collapsed="false">
      <c r="Z649" s="25" t="str">
        <f aca="false">IF(ISNUMBER(A649),IF(COUNTIF(祝日!$A:$A,A649)&gt;0,"祝",CHOOSE(WEEKDAY(A649,2),"月","火","水","木","金","土","日")),"")</f>
        <v/>
      </c>
      <c r="AA649" s="25" t="str">
        <f aca="false">IF(ISNUMBER(A649),IFERROR(INDEX(集計!$V$3:$V$33,MATCH(A649,集計!$N$3:$N$33,0)),0),"")</f>
        <v/>
      </c>
      <c r="AB649" s="25" t="str">
        <f aca="false">IF(ISNUMBER(A649),IFERROR(INDEX(設定!$F$4:$F$27,MATCH(K649,設定!$E$4:$E$27,0)),""),"")</f>
        <v/>
      </c>
    </row>
    <row r="650" customFormat="false" ht="15" hidden="false" customHeight="false" outlineLevel="0" collapsed="false">
      <c r="Z650" s="25" t="str">
        <f aca="false">IF(ISNUMBER(A650),IF(COUNTIF(祝日!$A:$A,A650)&gt;0,"祝",CHOOSE(WEEKDAY(A650,2),"月","火","水","木","金","土","日")),"")</f>
        <v/>
      </c>
      <c r="AA650" s="25" t="str">
        <f aca="false">IF(ISNUMBER(A650),IFERROR(INDEX(集計!$V$3:$V$33,MATCH(A650,集計!$N$3:$N$33,0)),0),"")</f>
        <v/>
      </c>
      <c r="AB650" s="25" t="str">
        <f aca="false">IF(ISNUMBER(A650),IFERROR(INDEX(設定!$F$4:$F$27,MATCH(K650,設定!$E$4:$E$27,0)),""),"")</f>
        <v/>
      </c>
    </row>
    <row r="651" customFormat="false" ht="15" hidden="false" customHeight="false" outlineLevel="0" collapsed="false">
      <c r="Z651" s="25" t="str">
        <f aca="false">IF(ISNUMBER(A651),IF(COUNTIF(祝日!$A:$A,A651)&gt;0,"祝",CHOOSE(WEEKDAY(A651,2),"月","火","水","木","金","土","日")),"")</f>
        <v/>
      </c>
      <c r="AA651" s="25" t="str">
        <f aca="false">IF(ISNUMBER(A651),IFERROR(INDEX(集計!$V$3:$V$33,MATCH(A651,集計!$N$3:$N$33,0)),0),"")</f>
        <v/>
      </c>
      <c r="AB651" s="25" t="str">
        <f aca="false">IF(ISNUMBER(A651),IFERROR(INDEX(設定!$F$4:$F$27,MATCH(K651,設定!$E$4:$E$27,0)),""),"")</f>
        <v/>
      </c>
    </row>
    <row r="652" customFormat="false" ht="15" hidden="false" customHeight="false" outlineLevel="0" collapsed="false">
      <c r="Z652" s="25" t="str">
        <f aca="false">IF(ISNUMBER(A652),IF(COUNTIF(祝日!$A:$A,A652)&gt;0,"祝",CHOOSE(WEEKDAY(A652,2),"月","火","水","木","金","土","日")),"")</f>
        <v/>
      </c>
      <c r="AA652" s="25" t="str">
        <f aca="false">IF(ISNUMBER(A652),IFERROR(INDEX(集計!$V$3:$V$33,MATCH(A652,集計!$N$3:$N$33,0)),0),"")</f>
        <v/>
      </c>
      <c r="AB652" s="25" t="str">
        <f aca="false">IF(ISNUMBER(A652),IFERROR(INDEX(設定!$F$4:$F$27,MATCH(K652,設定!$E$4:$E$27,0)),""),"")</f>
        <v/>
      </c>
    </row>
    <row r="653" customFormat="false" ht="15" hidden="false" customHeight="false" outlineLevel="0" collapsed="false">
      <c r="Z653" s="25" t="str">
        <f aca="false">IF(ISNUMBER(A653),IF(COUNTIF(祝日!$A:$A,A653)&gt;0,"祝",CHOOSE(WEEKDAY(A653,2),"月","火","水","木","金","土","日")),"")</f>
        <v/>
      </c>
      <c r="AA653" s="25" t="str">
        <f aca="false">IF(ISNUMBER(A653),IFERROR(INDEX(集計!$V$3:$V$33,MATCH(A653,集計!$N$3:$N$33,0)),0),"")</f>
        <v/>
      </c>
      <c r="AB653" s="25" t="str">
        <f aca="false">IF(ISNUMBER(A653),IFERROR(INDEX(設定!$F$4:$F$27,MATCH(K653,設定!$E$4:$E$27,0)),""),"")</f>
        <v/>
      </c>
    </row>
    <row r="654" customFormat="false" ht="15" hidden="false" customHeight="false" outlineLevel="0" collapsed="false">
      <c r="Z654" s="25" t="str">
        <f aca="false">IF(ISNUMBER(A654),IF(COUNTIF(祝日!$A:$A,A654)&gt;0,"祝",CHOOSE(WEEKDAY(A654,2),"月","火","水","木","金","土","日")),"")</f>
        <v/>
      </c>
      <c r="AA654" s="25" t="str">
        <f aca="false">IF(ISNUMBER(A654),IFERROR(INDEX(集計!$V$3:$V$33,MATCH(A654,集計!$N$3:$N$33,0)),0),"")</f>
        <v/>
      </c>
      <c r="AB654" s="25" t="str">
        <f aca="false">IF(ISNUMBER(A654),IFERROR(INDEX(設定!$F$4:$F$27,MATCH(K654,設定!$E$4:$E$27,0)),""),"")</f>
        <v/>
      </c>
    </row>
    <row r="655" customFormat="false" ht="15" hidden="false" customHeight="false" outlineLevel="0" collapsed="false">
      <c r="Z655" s="25" t="str">
        <f aca="false">IF(ISNUMBER(A655),IF(COUNTIF(祝日!$A:$A,A655)&gt;0,"祝",CHOOSE(WEEKDAY(A655,2),"月","火","水","木","金","土","日")),"")</f>
        <v/>
      </c>
      <c r="AA655" s="25" t="str">
        <f aca="false">IF(ISNUMBER(A655),IFERROR(INDEX(集計!$V$3:$V$33,MATCH(A655,集計!$N$3:$N$33,0)),0),"")</f>
        <v/>
      </c>
      <c r="AB655" s="25" t="str">
        <f aca="false">IF(ISNUMBER(A655),IFERROR(INDEX(設定!$F$4:$F$27,MATCH(K655,設定!$E$4:$E$27,0)),""),"")</f>
        <v/>
      </c>
    </row>
    <row r="656" customFormat="false" ht="15" hidden="false" customHeight="false" outlineLevel="0" collapsed="false">
      <c r="Z656" s="25" t="str">
        <f aca="false">IF(ISNUMBER(A656),IF(COUNTIF(祝日!$A:$A,A656)&gt;0,"祝",CHOOSE(WEEKDAY(A656,2),"月","火","水","木","金","土","日")),"")</f>
        <v/>
      </c>
      <c r="AA656" s="25" t="str">
        <f aca="false">IF(ISNUMBER(A656),IFERROR(INDEX(集計!$V$3:$V$33,MATCH(A656,集計!$N$3:$N$33,0)),0),"")</f>
        <v/>
      </c>
      <c r="AB656" s="25" t="str">
        <f aca="false">IF(ISNUMBER(A656),IFERROR(INDEX(設定!$F$4:$F$27,MATCH(K656,設定!$E$4:$E$27,0)),""),"")</f>
        <v/>
      </c>
    </row>
    <row r="657" customFormat="false" ht="15" hidden="false" customHeight="false" outlineLevel="0" collapsed="false">
      <c r="Z657" s="25" t="str">
        <f aca="false">IF(ISNUMBER(A657),IF(COUNTIF(祝日!$A:$A,A657)&gt;0,"祝",CHOOSE(WEEKDAY(A657,2),"月","火","水","木","金","土","日")),"")</f>
        <v/>
      </c>
      <c r="AA657" s="25" t="str">
        <f aca="false">IF(ISNUMBER(A657),IFERROR(INDEX(集計!$V$3:$V$33,MATCH(A657,集計!$N$3:$N$33,0)),0),"")</f>
        <v/>
      </c>
      <c r="AB657" s="25" t="str">
        <f aca="false">IF(ISNUMBER(A657),IFERROR(INDEX(設定!$F$4:$F$27,MATCH(K657,設定!$E$4:$E$27,0)),""),"")</f>
        <v/>
      </c>
    </row>
    <row r="658" customFormat="false" ht="15" hidden="false" customHeight="false" outlineLevel="0" collapsed="false">
      <c r="Z658" s="25" t="str">
        <f aca="false">IF(ISNUMBER(A658),IF(COUNTIF(祝日!$A:$A,A658)&gt;0,"祝",CHOOSE(WEEKDAY(A658,2),"月","火","水","木","金","土","日")),"")</f>
        <v/>
      </c>
      <c r="AA658" s="25" t="str">
        <f aca="false">IF(ISNUMBER(A658),IFERROR(INDEX(集計!$V$3:$V$33,MATCH(A658,集計!$N$3:$N$33,0)),0),"")</f>
        <v/>
      </c>
      <c r="AB658" s="25" t="str">
        <f aca="false">IF(ISNUMBER(A658),IFERROR(INDEX(設定!$F$4:$F$27,MATCH(K658,設定!$E$4:$E$27,0)),""),"")</f>
        <v/>
      </c>
    </row>
    <row r="659" customFormat="false" ht="15" hidden="false" customHeight="false" outlineLevel="0" collapsed="false">
      <c r="Z659" s="25" t="str">
        <f aca="false">IF(ISNUMBER(A659),IF(COUNTIF(祝日!$A:$A,A659)&gt;0,"祝",CHOOSE(WEEKDAY(A659,2),"月","火","水","木","金","土","日")),"")</f>
        <v/>
      </c>
      <c r="AA659" s="25" t="str">
        <f aca="false">IF(ISNUMBER(A659),IFERROR(INDEX(集計!$V$3:$V$33,MATCH(A659,集計!$N$3:$N$33,0)),0),"")</f>
        <v/>
      </c>
      <c r="AB659" s="25" t="str">
        <f aca="false">IF(ISNUMBER(A659),IFERROR(INDEX(設定!$F$4:$F$27,MATCH(K659,設定!$E$4:$E$27,0)),""),"")</f>
        <v/>
      </c>
    </row>
    <row r="660" customFormat="false" ht="15" hidden="false" customHeight="false" outlineLevel="0" collapsed="false">
      <c r="Z660" s="25" t="str">
        <f aca="false">IF(ISNUMBER(A660),IF(COUNTIF(祝日!$A:$A,A660)&gt;0,"祝",CHOOSE(WEEKDAY(A660,2),"月","火","水","木","金","土","日")),"")</f>
        <v/>
      </c>
      <c r="AA660" s="25" t="str">
        <f aca="false">IF(ISNUMBER(A660),IFERROR(INDEX(集計!$V$3:$V$33,MATCH(A660,集計!$N$3:$N$33,0)),0),"")</f>
        <v/>
      </c>
      <c r="AB660" s="25" t="str">
        <f aca="false">IF(ISNUMBER(A660),IFERROR(INDEX(設定!$F$4:$F$27,MATCH(K660,設定!$E$4:$E$27,0)),""),"")</f>
        <v/>
      </c>
    </row>
    <row r="661" customFormat="false" ht="15" hidden="false" customHeight="false" outlineLevel="0" collapsed="false">
      <c r="Z661" s="25" t="str">
        <f aca="false">IF(ISNUMBER(A661),IF(COUNTIF(祝日!$A:$A,A661)&gt;0,"祝",CHOOSE(WEEKDAY(A661,2),"月","火","水","木","金","土","日")),"")</f>
        <v/>
      </c>
      <c r="AA661" s="25" t="str">
        <f aca="false">IF(ISNUMBER(A661),IFERROR(INDEX(集計!$V$3:$V$33,MATCH(A661,集計!$N$3:$N$33,0)),0),"")</f>
        <v/>
      </c>
      <c r="AB661" s="25" t="str">
        <f aca="false">IF(ISNUMBER(A661),IFERROR(INDEX(設定!$F$4:$F$27,MATCH(K661,設定!$E$4:$E$27,0)),""),"")</f>
        <v/>
      </c>
    </row>
    <row r="662" customFormat="false" ht="15" hidden="false" customHeight="false" outlineLevel="0" collapsed="false">
      <c r="Z662" s="25" t="str">
        <f aca="false">IF(ISNUMBER(A662),IF(COUNTIF(祝日!$A:$A,A662)&gt;0,"祝",CHOOSE(WEEKDAY(A662,2),"月","火","水","木","金","土","日")),"")</f>
        <v/>
      </c>
      <c r="AA662" s="25" t="str">
        <f aca="false">IF(ISNUMBER(A662),IFERROR(INDEX(集計!$V$3:$V$33,MATCH(A662,集計!$N$3:$N$33,0)),0),"")</f>
        <v/>
      </c>
      <c r="AB662" s="25" t="str">
        <f aca="false">IF(ISNUMBER(A662),IFERROR(INDEX(設定!$F$4:$F$27,MATCH(K662,設定!$E$4:$E$27,0)),""),"")</f>
        <v/>
      </c>
    </row>
    <row r="663" customFormat="false" ht="15" hidden="false" customHeight="false" outlineLevel="0" collapsed="false">
      <c r="Z663" s="25" t="str">
        <f aca="false">IF(ISNUMBER(A663),IF(COUNTIF(祝日!$A:$A,A663)&gt;0,"祝",CHOOSE(WEEKDAY(A663,2),"月","火","水","木","金","土","日")),"")</f>
        <v/>
      </c>
      <c r="AA663" s="25" t="str">
        <f aca="false">IF(ISNUMBER(A663),IFERROR(INDEX(集計!$V$3:$V$33,MATCH(A663,集計!$N$3:$N$33,0)),0),"")</f>
        <v/>
      </c>
      <c r="AB663" s="25" t="str">
        <f aca="false">IF(ISNUMBER(A663),IFERROR(INDEX(設定!$F$4:$F$27,MATCH(K663,設定!$E$4:$E$27,0)),""),"")</f>
        <v/>
      </c>
    </row>
    <row r="664" customFormat="false" ht="15" hidden="false" customHeight="false" outlineLevel="0" collapsed="false">
      <c r="Z664" s="25" t="str">
        <f aca="false">IF(ISNUMBER(A664),IF(COUNTIF(祝日!$A:$A,A664)&gt;0,"祝",CHOOSE(WEEKDAY(A664,2),"月","火","水","木","金","土","日")),"")</f>
        <v/>
      </c>
      <c r="AA664" s="25" t="str">
        <f aca="false">IF(ISNUMBER(A664),IFERROR(INDEX(集計!$V$3:$V$33,MATCH(A664,集計!$N$3:$N$33,0)),0),"")</f>
        <v/>
      </c>
      <c r="AB664" s="25" t="str">
        <f aca="false">IF(ISNUMBER(A664),IFERROR(INDEX(設定!$F$4:$F$27,MATCH(K664,設定!$E$4:$E$27,0)),""),"")</f>
        <v/>
      </c>
    </row>
    <row r="665" customFormat="false" ht="15" hidden="false" customHeight="false" outlineLevel="0" collapsed="false">
      <c r="Z665" s="25" t="str">
        <f aca="false">IF(ISNUMBER(A665),IF(COUNTIF(祝日!$A:$A,A665)&gt;0,"祝",CHOOSE(WEEKDAY(A665,2),"月","火","水","木","金","土","日")),"")</f>
        <v/>
      </c>
      <c r="AA665" s="25" t="str">
        <f aca="false">IF(ISNUMBER(A665),IFERROR(INDEX(集計!$V$3:$V$33,MATCH(A665,集計!$N$3:$N$33,0)),0),"")</f>
        <v/>
      </c>
      <c r="AB665" s="25" t="str">
        <f aca="false">IF(ISNUMBER(A665),IFERROR(INDEX(設定!$F$4:$F$27,MATCH(K665,設定!$E$4:$E$27,0)),""),"")</f>
        <v/>
      </c>
    </row>
    <row r="666" customFormat="false" ht="15" hidden="false" customHeight="false" outlineLevel="0" collapsed="false">
      <c r="Z666" s="25" t="str">
        <f aca="false">IF(ISNUMBER(A666),IF(COUNTIF(祝日!$A:$A,A666)&gt;0,"祝",CHOOSE(WEEKDAY(A666,2),"月","火","水","木","金","土","日")),"")</f>
        <v/>
      </c>
      <c r="AA666" s="25" t="str">
        <f aca="false">IF(ISNUMBER(A666),IFERROR(INDEX(集計!$V$3:$V$33,MATCH(A666,集計!$N$3:$N$33,0)),0),"")</f>
        <v/>
      </c>
      <c r="AB666" s="25" t="str">
        <f aca="false">IF(ISNUMBER(A666),IFERROR(INDEX(設定!$F$4:$F$27,MATCH(K666,設定!$E$4:$E$27,0)),""),"")</f>
        <v/>
      </c>
    </row>
    <row r="667" customFormat="false" ht="15" hidden="false" customHeight="false" outlineLevel="0" collapsed="false">
      <c r="Z667" s="25" t="str">
        <f aca="false">IF(ISNUMBER(A667),IF(COUNTIF(祝日!$A:$A,A667)&gt;0,"祝",CHOOSE(WEEKDAY(A667,2),"月","火","水","木","金","土","日")),"")</f>
        <v/>
      </c>
      <c r="AA667" s="25" t="str">
        <f aca="false">IF(ISNUMBER(A667),IFERROR(INDEX(集計!$V$3:$V$33,MATCH(A667,集計!$N$3:$N$33,0)),0),"")</f>
        <v/>
      </c>
      <c r="AB667" s="25" t="str">
        <f aca="false">IF(ISNUMBER(A667),IFERROR(INDEX(設定!$F$4:$F$27,MATCH(K667,設定!$E$4:$E$27,0)),""),"")</f>
        <v/>
      </c>
    </row>
    <row r="668" customFormat="false" ht="15" hidden="false" customHeight="false" outlineLevel="0" collapsed="false">
      <c r="Z668" s="25" t="str">
        <f aca="false">IF(ISNUMBER(A668),IF(COUNTIF(祝日!$A:$A,A668)&gt;0,"祝",CHOOSE(WEEKDAY(A668,2),"月","火","水","木","金","土","日")),"")</f>
        <v/>
      </c>
      <c r="AA668" s="25" t="str">
        <f aca="false">IF(ISNUMBER(A668),IFERROR(INDEX(集計!$V$3:$V$33,MATCH(A668,集計!$N$3:$N$33,0)),0),"")</f>
        <v/>
      </c>
      <c r="AB668" s="25" t="str">
        <f aca="false">IF(ISNUMBER(A668),IFERROR(INDEX(設定!$F$4:$F$27,MATCH(K668,設定!$E$4:$E$27,0)),""),"")</f>
        <v/>
      </c>
    </row>
    <row r="669" customFormat="false" ht="15" hidden="false" customHeight="false" outlineLevel="0" collapsed="false">
      <c r="Z669" s="25" t="str">
        <f aca="false">IF(ISNUMBER(A669),IF(COUNTIF(祝日!$A:$A,A669)&gt;0,"祝",CHOOSE(WEEKDAY(A669,2),"月","火","水","木","金","土","日")),"")</f>
        <v/>
      </c>
      <c r="AA669" s="25" t="str">
        <f aca="false">IF(ISNUMBER(A669),IFERROR(INDEX(集計!$V$3:$V$33,MATCH(A669,集計!$N$3:$N$33,0)),0),"")</f>
        <v/>
      </c>
      <c r="AB669" s="25" t="str">
        <f aca="false">IF(ISNUMBER(A669),IFERROR(INDEX(設定!$F$4:$F$27,MATCH(K669,設定!$E$4:$E$27,0)),""),"")</f>
        <v/>
      </c>
    </row>
    <row r="670" customFormat="false" ht="15" hidden="false" customHeight="false" outlineLevel="0" collapsed="false">
      <c r="Z670" s="25" t="str">
        <f aca="false">IF(ISNUMBER(A670),IF(COUNTIF(祝日!$A:$A,A670)&gt;0,"祝",CHOOSE(WEEKDAY(A670,2),"月","火","水","木","金","土","日")),"")</f>
        <v/>
      </c>
      <c r="AA670" s="25" t="str">
        <f aca="false">IF(ISNUMBER(A670),IFERROR(INDEX(集計!$V$3:$V$33,MATCH(A670,集計!$N$3:$N$33,0)),0),"")</f>
        <v/>
      </c>
      <c r="AB670" s="25" t="str">
        <f aca="false">IF(ISNUMBER(A670),IFERROR(INDEX(設定!$F$4:$F$27,MATCH(K670,設定!$E$4:$E$27,0)),""),"")</f>
        <v/>
      </c>
    </row>
    <row r="671" customFormat="false" ht="15" hidden="false" customHeight="false" outlineLevel="0" collapsed="false">
      <c r="Z671" s="25" t="str">
        <f aca="false">IF(ISNUMBER(A671),IF(COUNTIF(祝日!$A:$A,A671)&gt;0,"祝",CHOOSE(WEEKDAY(A671,2),"月","火","水","木","金","土","日")),"")</f>
        <v/>
      </c>
      <c r="AA671" s="25" t="str">
        <f aca="false">IF(ISNUMBER(A671),IFERROR(INDEX(集計!$V$3:$V$33,MATCH(A671,集計!$N$3:$N$33,0)),0),"")</f>
        <v/>
      </c>
      <c r="AB671" s="25" t="str">
        <f aca="false">IF(ISNUMBER(A671),IFERROR(INDEX(設定!$F$4:$F$27,MATCH(K671,設定!$E$4:$E$27,0)),""),"")</f>
        <v/>
      </c>
    </row>
    <row r="672" customFormat="false" ht="15" hidden="false" customHeight="false" outlineLevel="0" collapsed="false">
      <c r="Z672" s="25" t="str">
        <f aca="false">IF(ISNUMBER(A672),IF(COUNTIF(祝日!$A:$A,A672)&gt;0,"祝",CHOOSE(WEEKDAY(A672,2),"月","火","水","木","金","土","日")),"")</f>
        <v/>
      </c>
      <c r="AA672" s="25" t="str">
        <f aca="false">IF(ISNUMBER(A672),IFERROR(INDEX(集計!$V$3:$V$33,MATCH(A672,集計!$N$3:$N$33,0)),0),"")</f>
        <v/>
      </c>
      <c r="AB672" s="25" t="str">
        <f aca="false">IF(ISNUMBER(A672),IFERROR(INDEX(設定!$F$4:$F$27,MATCH(K672,設定!$E$4:$E$27,0)),""),"")</f>
        <v/>
      </c>
    </row>
    <row r="673" customFormat="false" ht="15" hidden="false" customHeight="false" outlineLevel="0" collapsed="false">
      <c r="Z673" s="25" t="str">
        <f aca="false">IF(ISNUMBER(A673),IF(COUNTIF(祝日!$A:$A,A673)&gt;0,"祝",CHOOSE(WEEKDAY(A673,2),"月","火","水","木","金","土","日")),"")</f>
        <v/>
      </c>
      <c r="AA673" s="25" t="str">
        <f aca="false">IF(ISNUMBER(A673),IFERROR(INDEX(集計!$V$3:$V$33,MATCH(A673,集計!$N$3:$N$33,0)),0),"")</f>
        <v/>
      </c>
      <c r="AB673" s="25" t="str">
        <f aca="false">IF(ISNUMBER(A673),IFERROR(INDEX(設定!$F$4:$F$27,MATCH(K673,設定!$E$4:$E$27,0)),""),"")</f>
        <v/>
      </c>
    </row>
    <row r="674" customFormat="false" ht="15" hidden="false" customHeight="false" outlineLevel="0" collapsed="false">
      <c r="Z674" s="25" t="str">
        <f aca="false">IF(ISNUMBER(A674),IF(COUNTIF(祝日!$A:$A,A674)&gt;0,"祝",CHOOSE(WEEKDAY(A674,2),"月","火","水","木","金","土","日")),"")</f>
        <v/>
      </c>
      <c r="AA674" s="25" t="str">
        <f aca="false">IF(ISNUMBER(A674),IFERROR(INDEX(集計!$V$3:$V$33,MATCH(A674,集計!$N$3:$N$33,0)),0),"")</f>
        <v/>
      </c>
      <c r="AB674" s="25" t="str">
        <f aca="false">IF(ISNUMBER(A674),IFERROR(INDEX(設定!$F$4:$F$27,MATCH(K674,設定!$E$4:$E$27,0)),""),"")</f>
        <v/>
      </c>
    </row>
    <row r="675" customFormat="false" ht="15" hidden="false" customHeight="false" outlineLevel="0" collapsed="false">
      <c r="Z675" s="25" t="str">
        <f aca="false">IF(ISNUMBER(A675),IF(COUNTIF(祝日!$A:$A,A675)&gt;0,"祝",CHOOSE(WEEKDAY(A675,2),"月","火","水","木","金","土","日")),"")</f>
        <v/>
      </c>
      <c r="AA675" s="25" t="str">
        <f aca="false">IF(ISNUMBER(A675),IFERROR(INDEX(集計!$V$3:$V$33,MATCH(A675,集計!$N$3:$N$33,0)),0),"")</f>
        <v/>
      </c>
      <c r="AB675" s="25" t="str">
        <f aca="false">IF(ISNUMBER(A675),IFERROR(INDEX(設定!$F$4:$F$27,MATCH(K675,設定!$E$4:$E$27,0)),""),"")</f>
        <v/>
      </c>
    </row>
    <row r="676" customFormat="false" ht="15" hidden="false" customHeight="false" outlineLevel="0" collapsed="false">
      <c r="Z676" s="25" t="str">
        <f aca="false">IF(ISNUMBER(A676),IF(COUNTIF(祝日!$A:$A,A676)&gt;0,"祝",CHOOSE(WEEKDAY(A676,2),"月","火","水","木","金","土","日")),"")</f>
        <v/>
      </c>
      <c r="AA676" s="25" t="str">
        <f aca="false">IF(ISNUMBER(A676),IFERROR(INDEX(集計!$V$3:$V$33,MATCH(A676,集計!$N$3:$N$33,0)),0),"")</f>
        <v/>
      </c>
      <c r="AB676" s="25" t="str">
        <f aca="false">IF(ISNUMBER(A676),IFERROR(INDEX(設定!$F$4:$F$27,MATCH(K676,設定!$E$4:$E$27,0)),""),"")</f>
        <v/>
      </c>
    </row>
    <row r="677" customFormat="false" ht="15" hidden="false" customHeight="false" outlineLevel="0" collapsed="false">
      <c r="Z677" s="25" t="str">
        <f aca="false">IF(ISNUMBER(A677),IF(COUNTIF(祝日!$A:$A,A677)&gt;0,"祝",CHOOSE(WEEKDAY(A677,2),"月","火","水","木","金","土","日")),"")</f>
        <v/>
      </c>
      <c r="AA677" s="25" t="str">
        <f aca="false">IF(ISNUMBER(A677),IFERROR(INDEX(集計!$V$3:$V$33,MATCH(A677,集計!$N$3:$N$33,0)),0),"")</f>
        <v/>
      </c>
      <c r="AB677" s="25" t="str">
        <f aca="false">IF(ISNUMBER(A677),IFERROR(INDEX(設定!$F$4:$F$27,MATCH(K677,設定!$E$4:$E$27,0)),""),"")</f>
        <v/>
      </c>
    </row>
    <row r="678" customFormat="false" ht="15" hidden="false" customHeight="false" outlineLevel="0" collapsed="false">
      <c r="Z678" s="25" t="str">
        <f aca="false">IF(ISNUMBER(A678),IF(COUNTIF(祝日!$A:$A,A678)&gt;0,"祝",CHOOSE(WEEKDAY(A678,2),"月","火","水","木","金","土","日")),"")</f>
        <v/>
      </c>
      <c r="AA678" s="25" t="str">
        <f aca="false">IF(ISNUMBER(A678),IFERROR(INDEX(集計!$V$3:$V$33,MATCH(A678,集計!$N$3:$N$33,0)),0),"")</f>
        <v/>
      </c>
      <c r="AB678" s="25" t="str">
        <f aca="false">IF(ISNUMBER(A678),IFERROR(INDEX(設定!$F$4:$F$27,MATCH(K678,設定!$E$4:$E$27,0)),""),"")</f>
        <v/>
      </c>
    </row>
    <row r="679" customFormat="false" ht="15" hidden="false" customHeight="false" outlineLevel="0" collapsed="false">
      <c r="Z679" s="25" t="str">
        <f aca="false">IF(ISNUMBER(A679),IF(COUNTIF(祝日!$A:$A,A679)&gt;0,"祝",CHOOSE(WEEKDAY(A679,2),"月","火","水","木","金","土","日")),"")</f>
        <v/>
      </c>
      <c r="AA679" s="25" t="str">
        <f aca="false">IF(ISNUMBER(A679),IFERROR(INDEX(集計!$V$3:$V$33,MATCH(A679,集計!$N$3:$N$33,0)),0),"")</f>
        <v/>
      </c>
      <c r="AB679" s="25" t="str">
        <f aca="false">IF(ISNUMBER(A679),IFERROR(INDEX(設定!$F$4:$F$27,MATCH(K679,設定!$E$4:$E$27,0)),""),"")</f>
        <v/>
      </c>
    </row>
    <row r="680" customFormat="false" ht="15" hidden="false" customHeight="false" outlineLevel="0" collapsed="false">
      <c r="Z680" s="25" t="str">
        <f aca="false">IF(ISNUMBER(A680),IF(COUNTIF(祝日!$A:$A,A680)&gt;0,"祝",CHOOSE(WEEKDAY(A680,2),"月","火","水","木","金","土","日")),"")</f>
        <v/>
      </c>
      <c r="AA680" s="25" t="str">
        <f aca="false">IF(ISNUMBER(A680),IFERROR(INDEX(集計!$V$3:$V$33,MATCH(A680,集計!$N$3:$N$33,0)),0),"")</f>
        <v/>
      </c>
      <c r="AB680" s="25" t="str">
        <f aca="false">IF(ISNUMBER(A680),IFERROR(INDEX(設定!$F$4:$F$27,MATCH(K680,設定!$E$4:$E$27,0)),""),"")</f>
        <v/>
      </c>
    </row>
    <row r="681" customFormat="false" ht="15" hidden="false" customHeight="false" outlineLevel="0" collapsed="false">
      <c r="Z681" s="25" t="str">
        <f aca="false">IF(ISNUMBER(A681),IF(COUNTIF(祝日!$A:$A,A681)&gt;0,"祝",CHOOSE(WEEKDAY(A681,2),"月","火","水","木","金","土","日")),"")</f>
        <v/>
      </c>
      <c r="AA681" s="25" t="str">
        <f aca="false">IF(ISNUMBER(A681),IFERROR(INDEX(集計!$V$3:$V$33,MATCH(A681,集計!$N$3:$N$33,0)),0),"")</f>
        <v/>
      </c>
      <c r="AB681" s="25" t="str">
        <f aca="false">IF(ISNUMBER(A681),IFERROR(INDEX(設定!$F$4:$F$27,MATCH(K681,設定!$E$4:$E$27,0)),""),"")</f>
        <v/>
      </c>
    </row>
    <row r="682" customFormat="false" ht="15" hidden="false" customHeight="false" outlineLevel="0" collapsed="false">
      <c r="Z682" s="25" t="str">
        <f aca="false">IF(ISNUMBER(A682),IF(COUNTIF(祝日!$A:$A,A682)&gt;0,"祝",CHOOSE(WEEKDAY(A682,2),"月","火","水","木","金","土","日")),"")</f>
        <v/>
      </c>
      <c r="AA682" s="25" t="str">
        <f aca="false">IF(ISNUMBER(A682),IFERROR(INDEX(集計!$V$3:$V$33,MATCH(A682,集計!$N$3:$N$33,0)),0),"")</f>
        <v/>
      </c>
      <c r="AB682" s="25" t="str">
        <f aca="false">IF(ISNUMBER(A682),IFERROR(INDEX(設定!$F$4:$F$27,MATCH(K682,設定!$E$4:$E$27,0)),""),"")</f>
        <v/>
      </c>
    </row>
    <row r="683" customFormat="false" ht="15" hidden="false" customHeight="false" outlineLevel="0" collapsed="false">
      <c r="Z683" s="25" t="str">
        <f aca="false">IF(ISNUMBER(A683),IF(COUNTIF(祝日!$A:$A,A683)&gt;0,"祝",CHOOSE(WEEKDAY(A683,2),"月","火","水","木","金","土","日")),"")</f>
        <v/>
      </c>
      <c r="AA683" s="25" t="str">
        <f aca="false">IF(ISNUMBER(A683),IFERROR(INDEX(集計!$V$3:$V$33,MATCH(A683,集計!$N$3:$N$33,0)),0),"")</f>
        <v/>
      </c>
      <c r="AB683" s="25" t="str">
        <f aca="false">IF(ISNUMBER(A683),IFERROR(INDEX(設定!$F$4:$F$27,MATCH(K683,設定!$E$4:$E$27,0)),""),"")</f>
        <v/>
      </c>
    </row>
    <row r="684" customFormat="false" ht="15" hidden="false" customHeight="false" outlineLevel="0" collapsed="false">
      <c r="Z684" s="25" t="str">
        <f aca="false">IF(ISNUMBER(A684),IF(COUNTIF(祝日!$A:$A,A684)&gt;0,"祝",CHOOSE(WEEKDAY(A684,2),"月","火","水","木","金","土","日")),"")</f>
        <v/>
      </c>
      <c r="AA684" s="25" t="str">
        <f aca="false">IF(ISNUMBER(A684),IFERROR(INDEX(集計!$V$3:$V$33,MATCH(A684,集計!$N$3:$N$33,0)),0),"")</f>
        <v/>
      </c>
      <c r="AB684" s="25" t="str">
        <f aca="false">IF(ISNUMBER(A684),IFERROR(INDEX(設定!$F$4:$F$27,MATCH(K684,設定!$E$4:$E$27,0)),""),"")</f>
        <v/>
      </c>
    </row>
    <row r="685" customFormat="false" ht="15" hidden="false" customHeight="false" outlineLevel="0" collapsed="false">
      <c r="Z685" s="25" t="str">
        <f aca="false">IF(ISNUMBER(A685),IF(COUNTIF(祝日!$A:$A,A685)&gt;0,"祝",CHOOSE(WEEKDAY(A685,2),"月","火","水","木","金","土","日")),"")</f>
        <v/>
      </c>
      <c r="AA685" s="25" t="str">
        <f aca="false">IF(ISNUMBER(A685),IFERROR(INDEX(集計!$V$3:$V$33,MATCH(A685,集計!$N$3:$N$33,0)),0),"")</f>
        <v/>
      </c>
      <c r="AB685" s="25" t="str">
        <f aca="false">IF(ISNUMBER(A685),IFERROR(INDEX(設定!$F$4:$F$27,MATCH(K685,設定!$E$4:$E$27,0)),""),"")</f>
        <v/>
      </c>
    </row>
    <row r="686" customFormat="false" ht="15" hidden="false" customHeight="false" outlineLevel="0" collapsed="false">
      <c r="Z686" s="25" t="str">
        <f aca="false">IF(ISNUMBER(A686),IF(COUNTIF(祝日!$A:$A,A686)&gt;0,"祝",CHOOSE(WEEKDAY(A686,2),"月","火","水","木","金","土","日")),"")</f>
        <v/>
      </c>
      <c r="AA686" s="25" t="str">
        <f aca="false">IF(ISNUMBER(A686),IFERROR(INDEX(集計!$V$3:$V$33,MATCH(A686,集計!$N$3:$N$33,0)),0),"")</f>
        <v/>
      </c>
      <c r="AB686" s="25" t="str">
        <f aca="false">IF(ISNUMBER(A686),IFERROR(INDEX(設定!$F$4:$F$27,MATCH(K686,設定!$E$4:$E$27,0)),""),"")</f>
        <v/>
      </c>
    </row>
    <row r="687" customFormat="false" ht="15" hidden="false" customHeight="false" outlineLevel="0" collapsed="false">
      <c r="Z687" s="25" t="str">
        <f aca="false">IF(ISNUMBER(A687),IF(COUNTIF(祝日!$A:$A,A687)&gt;0,"祝",CHOOSE(WEEKDAY(A687,2),"月","火","水","木","金","土","日")),"")</f>
        <v/>
      </c>
      <c r="AA687" s="25" t="str">
        <f aca="false">IF(ISNUMBER(A687),IFERROR(INDEX(集計!$V$3:$V$33,MATCH(A687,集計!$N$3:$N$33,0)),0),"")</f>
        <v/>
      </c>
      <c r="AB687" s="25" t="str">
        <f aca="false">IF(ISNUMBER(A687),IFERROR(INDEX(設定!$F$4:$F$27,MATCH(K687,設定!$E$4:$E$27,0)),""),"")</f>
        <v/>
      </c>
    </row>
    <row r="688" customFormat="false" ht="15" hidden="false" customHeight="false" outlineLevel="0" collapsed="false">
      <c r="Z688" s="25" t="str">
        <f aca="false">IF(ISNUMBER(A688),IF(COUNTIF(祝日!$A:$A,A688)&gt;0,"祝",CHOOSE(WEEKDAY(A688,2),"月","火","水","木","金","土","日")),"")</f>
        <v/>
      </c>
      <c r="AA688" s="25" t="str">
        <f aca="false">IF(ISNUMBER(A688),IFERROR(INDEX(集計!$V$3:$V$33,MATCH(A688,集計!$N$3:$N$33,0)),0),"")</f>
        <v/>
      </c>
      <c r="AB688" s="25" t="str">
        <f aca="false">IF(ISNUMBER(A688),IFERROR(INDEX(設定!$F$4:$F$27,MATCH(K688,設定!$E$4:$E$27,0)),""),"")</f>
        <v/>
      </c>
    </row>
    <row r="689" customFormat="false" ht="15" hidden="false" customHeight="false" outlineLevel="0" collapsed="false">
      <c r="Z689" s="25" t="str">
        <f aca="false">IF(ISNUMBER(A689),IF(COUNTIF(祝日!$A:$A,A689)&gt;0,"祝",CHOOSE(WEEKDAY(A689,2),"月","火","水","木","金","土","日")),"")</f>
        <v/>
      </c>
      <c r="AA689" s="25" t="str">
        <f aca="false">IF(ISNUMBER(A689),IFERROR(INDEX(集計!$V$3:$V$33,MATCH(A689,集計!$N$3:$N$33,0)),0),"")</f>
        <v/>
      </c>
      <c r="AB689" s="25" t="str">
        <f aca="false">IF(ISNUMBER(A689),IFERROR(INDEX(設定!$F$4:$F$27,MATCH(K689,設定!$E$4:$E$27,0)),""),"")</f>
        <v/>
      </c>
    </row>
    <row r="690" customFormat="false" ht="15" hidden="false" customHeight="false" outlineLevel="0" collapsed="false">
      <c r="Z690" s="25" t="str">
        <f aca="false">IF(ISNUMBER(A690),IF(COUNTIF(祝日!$A:$A,A690)&gt;0,"祝",CHOOSE(WEEKDAY(A690,2),"月","火","水","木","金","土","日")),"")</f>
        <v/>
      </c>
      <c r="AA690" s="25" t="str">
        <f aca="false">IF(ISNUMBER(A690),IFERROR(INDEX(集計!$V$3:$V$33,MATCH(A690,集計!$N$3:$N$33,0)),0),"")</f>
        <v/>
      </c>
      <c r="AB690" s="25" t="str">
        <f aca="false">IF(ISNUMBER(A690),IFERROR(INDEX(設定!$F$4:$F$27,MATCH(K690,設定!$E$4:$E$27,0)),""),"")</f>
        <v/>
      </c>
    </row>
    <row r="691" customFormat="false" ht="15" hidden="false" customHeight="false" outlineLevel="0" collapsed="false">
      <c r="Z691" s="25" t="str">
        <f aca="false">IF(ISNUMBER(A691),IF(COUNTIF(祝日!$A:$A,A691)&gt;0,"祝",CHOOSE(WEEKDAY(A691,2),"月","火","水","木","金","土","日")),"")</f>
        <v/>
      </c>
      <c r="AA691" s="25" t="str">
        <f aca="false">IF(ISNUMBER(A691),IFERROR(INDEX(集計!$V$3:$V$33,MATCH(A691,集計!$N$3:$N$33,0)),0),"")</f>
        <v/>
      </c>
      <c r="AB691" s="25" t="str">
        <f aca="false">IF(ISNUMBER(A691),IFERROR(INDEX(設定!$F$4:$F$27,MATCH(K691,設定!$E$4:$E$27,0)),""),"")</f>
        <v/>
      </c>
    </row>
    <row r="692" customFormat="false" ht="15" hidden="false" customHeight="false" outlineLevel="0" collapsed="false">
      <c r="Z692" s="25" t="str">
        <f aca="false">IF(ISNUMBER(A692),IF(COUNTIF(祝日!$A:$A,A692)&gt;0,"祝",CHOOSE(WEEKDAY(A692,2),"月","火","水","木","金","土","日")),"")</f>
        <v/>
      </c>
      <c r="AA692" s="25" t="str">
        <f aca="false">IF(ISNUMBER(A692),IFERROR(INDEX(集計!$V$3:$V$33,MATCH(A692,集計!$N$3:$N$33,0)),0),"")</f>
        <v/>
      </c>
      <c r="AB692" s="25" t="str">
        <f aca="false">IF(ISNUMBER(A692),IFERROR(INDEX(設定!$F$4:$F$27,MATCH(K692,設定!$E$4:$E$27,0)),""),"")</f>
        <v/>
      </c>
    </row>
    <row r="693" customFormat="false" ht="15" hidden="false" customHeight="false" outlineLevel="0" collapsed="false">
      <c r="Z693" s="25" t="str">
        <f aca="false">IF(ISNUMBER(A693),IF(COUNTIF(祝日!$A:$A,A693)&gt;0,"祝",CHOOSE(WEEKDAY(A693,2),"月","火","水","木","金","土","日")),"")</f>
        <v/>
      </c>
      <c r="AA693" s="25" t="str">
        <f aca="false">IF(ISNUMBER(A693),IFERROR(INDEX(集計!$V$3:$V$33,MATCH(A693,集計!$N$3:$N$33,0)),0),"")</f>
        <v/>
      </c>
      <c r="AB693" s="25" t="str">
        <f aca="false">IF(ISNUMBER(A693),IFERROR(INDEX(設定!$F$4:$F$27,MATCH(K693,設定!$E$4:$E$27,0)),""),"")</f>
        <v/>
      </c>
    </row>
    <row r="694" customFormat="false" ht="15" hidden="false" customHeight="false" outlineLevel="0" collapsed="false">
      <c r="Z694" s="25" t="str">
        <f aca="false">IF(ISNUMBER(A694),IF(COUNTIF(祝日!$A:$A,A694)&gt;0,"祝",CHOOSE(WEEKDAY(A694,2),"月","火","水","木","金","土","日")),"")</f>
        <v/>
      </c>
      <c r="AA694" s="25" t="str">
        <f aca="false">IF(ISNUMBER(A694),IFERROR(INDEX(集計!$V$3:$V$33,MATCH(A694,集計!$N$3:$N$33,0)),0),"")</f>
        <v/>
      </c>
      <c r="AB694" s="25" t="str">
        <f aca="false">IF(ISNUMBER(A694),IFERROR(INDEX(設定!$F$4:$F$27,MATCH(K694,設定!$E$4:$E$27,0)),""),"")</f>
        <v/>
      </c>
    </row>
    <row r="695" customFormat="false" ht="15" hidden="false" customHeight="false" outlineLevel="0" collapsed="false">
      <c r="Z695" s="25" t="str">
        <f aca="false">IF(ISNUMBER(A695),IF(COUNTIF(祝日!$A:$A,A695)&gt;0,"祝",CHOOSE(WEEKDAY(A695,2),"月","火","水","木","金","土","日")),"")</f>
        <v/>
      </c>
      <c r="AA695" s="25" t="str">
        <f aca="false">IF(ISNUMBER(A695),IFERROR(INDEX(集計!$V$3:$V$33,MATCH(A695,集計!$N$3:$N$33,0)),0),"")</f>
        <v/>
      </c>
      <c r="AB695" s="25" t="str">
        <f aca="false">IF(ISNUMBER(A695),IFERROR(INDEX(設定!$F$4:$F$27,MATCH(K695,設定!$E$4:$E$27,0)),""),"")</f>
        <v/>
      </c>
    </row>
    <row r="696" customFormat="false" ht="15" hidden="false" customHeight="false" outlineLevel="0" collapsed="false">
      <c r="Z696" s="25" t="str">
        <f aca="false">IF(ISNUMBER(A696),IF(COUNTIF(祝日!$A:$A,A696)&gt;0,"祝",CHOOSE(WEEKDAY(A696,2),"月","火","水","木","金","土","日")),"")</f>
        <v/>
      </c>
      <c r="AA696" s="25" t="str">
        <f aca="false">IF(ISNUMBER(A696),IFERROR(INDEX(集計!$V$3:$V$33,MATCH(A696,集計!$N$3:$N$33,0)),0),"")</f>
        <v/>
      </c>
      <c r="AB696" s="25" t="str">
        <f aca="false">IF(ISNUMBER(A696),IFERROR(INDEX(設定!$F$4:$F$27,MATCH(K696,設定!$E$4:$E$27,0)),""),"")</f>
        <v/>
      </c>
    </row>
    <row r="697" customFormat="false" ht="15" hidden="false" customHeight="false" outlineLevel="0" collapsed="false">
      <c r="Z697" s="25" t="str">
        <f aca="false">IF(ISNUMBER(A697),IF(COUNTIF(祝日!$A:$A,A697)&gt;0,"祝",CHOOSE(WEEKDAY(A697,2),"月","火","水","木","金","土","日")),"")</f>
        <v/>
      </c>
      <c r="AA697" s="25" t="str">
        <f aca="false">IF(ISNUMBER(A697),IFERROR(INDEX(集計!$V$3:$V$33,MATCH(A697,集計!$N$3:$N$33,0)),0),"")</f>
        <v/>
      </c>
      <c r="AB697" s="25" t="str">
        <f aca="false">IF(ISNUMBER(A697),IFERROR(INDEX(設定!$F$4:$F$27,MATCH(K697,設定!$E$4:$E$27,0)),""),"")</f>
        <v/>
      </c>
    </row>
    <row r="698" customFormat="false" ht="15" hidden="false" customHeight="false" outlineLevel="0" collapsed="false">
      <c r="Z698" s="25" t="str">
        <f aca="false">IF(ISNUMBER(A698),IF(COUNTIF(祝日!$A:$A,A698)&gt;0,"祝",CHOOSE(WEEKDAY(A698,2),"月","火","水","木","金","土","日")),"")</f>
        <v/>
      </c>
      <c r="AA698" s="25" t="str">
        <f aca="false">IF(ISNUMBER(A698),IFERROR(INDEX(集計!$V$3:$V$33,MATCH(A698,集計!$N$3:$N$33,0)),0),"")</f>
        <v/>
      </c>
      <c r="AB698" s="25" t="str">
        <f aca="false">IF(ISNUMBER(A698),IFERROR(INDEX(設定!$F$4:$F$27,MATCH(K698,設定!$E$4:$E$27,0)),""),"")</f>
        <v/>
      </c>
    </row>
    <row r="699" customFormat="false" ht="15" hidden="false" customHeight="false" outlineLevel="0" collapsed="false">
      <c r="Z699" s="25" t="str">
        <f aca="false">IF(ISNUMBER(A699),IF(COUNTIF(祝日!$A:$A,A699)&gt;0,"祝",CHOOSE(WEEKDAY(A699,2),"月","火","水","木","金","土","日")),"")</f>
        <v/>
      </c>
      <c r="AA699" s="25" t="str">
        <f aca="false">IF(ISNUMBER(A699),IFERROR(INDEX(集計!$V$3:$V$33,MATCH(A699,集計!$N$3:$N$33,0)),0),"")</f>
        <v/>
      </c>
      <c r="AB699" s="25" t="str">
        <f aca="false">IF(ISNUMBER(A699),IFERROR(INDEX(設定!$F$4:$F$27,MATCH(K699,設定!$E$4:$E$27,0)),""),"")</f>
        <v/>
      </c>
    </row>
    <row r="700" customFormat="false" ht="15" hidden="false" customHeight="false" outlineLevel="0" collapsed="false">
      <c r="Z700" s="25" t="str">
        <f aca="false">IF(ISNUMBER(A700),IF(COUNTIF(祝日!$A:$A,A700)&gt;0,"祝",CHOOSE(WEEKDAY(A700,2),"月","火","水","木","金","土","日")),"")</f>
        <v/>
      </c>
      <c r="AA700" s="25" t="str">
        <f aca="false">IF(ISNUMBER(A700),IFERROR(INDEX(集計!$V$3:$V$33,MATCH(A700,集計!$N$3:$N$33,0)),0),"")</f>
        <v/>
      </c>
      <c r="AB700" s="25" t="str">
        <f aca="false">IF(ISNUMBER(A700),IFERROR(INDEX(設定!$F$4:$F$27,MATCH(K700,設定!$E$4:$E$27,0)),""),"")</f>
        <v/>
      </c>
    </row>
    <row r="701" customFormat="false" ht="15" hidden="false" customHeight="false" outlineLevel="0" collapsed="false">
      <c r="Z701" s="25" t="str">
        <f aca="false">IF(ISNUMBER(A701),IF(COUNTIF(祝日!$A:$A,A701)&gt;0,"祝",CHOOSE(WEEKDAY(A701,2),"月","火","水","木","金","土","日")),"")</f>
        <v/>
      </c>
      <c r="AA701" s="25" t="str">
        <f aca="false">IF(ISNUMBER(A701),IFERROR(INDEX(集計!$V$3:$V$33,MATCH(A701,集計!$N$3:$N$33,0)),0),"")</f>
        <v/>
      </c>
      <c r="AB701" s="25" t="str">
        <f aca="false">IF(ISNUMBER(A701),IFERROR(INDEX(設定!$F$4:$F$27,MATCH(K701,設定!$E$4:$E$27,0)),""),"")</f>
        <v/>
      </c>
    </row>
    <row r="702" customFormat="false" ht="15" hidden="false" customHeight="false" outlineLevel="0" collapsed="false">
      <c r="Z702" s="25" t="str">
        <f aca="false">IF(ISNUMBER(A702),IF(COUNTIF(祝日!$A:$A,A702)&gt;0,"祝",CHOOSE(WEEKDAY(A702,2),"月","火","水","木","金","土","日")),"")</f>
        <v/>
      </c>
      <c r="AA702" s="25" t="str">
        <f aca="false">IF(ISNUMBER(A702),IFERROR(INDEX(集計!$V$3:$V$33,MATCH(A702,集計!$N$3:$N$33,0)),0),"")</f>
        <v/>
      </c>
      <c r="AB702" s="25" t="str">
        <f aca="false">IF(ISNUMBER(A702),IFERROR(INDEX(設定!$F$4:$F$27,MATCH(K702,設定!$E$4:$E$27,0)),""),"")</f>
        <v/>
      </c>
    </row>
    <row r="703" customFormat="false" ht="15" hidden="false" customHeight="false" outlineLevel="0" collapsed="false">
      <c r="Z703" s="25" t="str">
        <f aca="false">IF(ISNUMBER(A703),IF(COUNTIF(祝日!$A:$A,A703)&gt;0,"祝",CHOOSE(WEEKDAY(A703,2),"月","火","水","木","金","土","日")),"")</f>
        <v/>
      </c>
      <c r="AA703" s="25" t="str">
        <f aca="false">IF(ISNUMBER(A703),IFERROR(INDEX(集計!$V$3:$V$33,MATCH(A703,集計!$N$3:$N$33,0)),0),"")</f>
        <v/>
      </c>
      <c r="AB703" s="25" t="str">
        <f aca="false">IF(ISNUMBER(A703),IFERROR(INDEX(設定!$F$4:$F$27,MATCH(K703,設定!$E$4:$E$27,0)),""),"")</f>
        <v/>
      </c>
    </row>
    <row r="704" customFormat="false" ht="15" hidden="false" customHeight="false" outlineLevel="0" collapsed="false">
      <c r="Z704" s="25" t="str">
        <f aca="false">IF(ISNUMBER(A704),IF(COUNTIF(祝日!$A:$A,A704)&gt;0,"祝",CHOOSE(WEEKDAY(A704,2),"月","火","水","木","金","土","日")),"")</f>
        <v/>
      </c>
      <c r="AA704" s="25" t="str">
        <f aca="false">IF(ISNUMBER(A704),IFERROR(INDEX(集計!$V$3:$V$33,MATCH(A704,集計!$N$3:$N$33,0)),0),"")</f>
        <v/>
      </c>
      <c r="AB704" s="25" t="str">
        <f aca="false">IF(ISNUMBER(A704),IFERROR(INDEX(設定!$F$4:$F$27,MATCH(K704,設定!$E$4:$E$27,0)),""),"")</f>
        <v/>
      </c>
    </row>
    <row r="705" customFormat="false" ht="15" hidden="false" customHeight="false" outlineLevel="0" collapsed="false">
      <c r="Z705" s="25" t="str">
        <f aca="false">IF(ISNUMBER(A705),IF(COUNTIF(祝日!$A:$A,A705)&gt;0,"祝",CHOOSE(WEEKDAY(A705,2),"月","火","水","木","金","土","日")),"")</f>
        <v/>
      </c>
      <c r="AA705" s="25" t="str">
        <f aca="false">IF(ISNUMBER(A705),IFERROR(INDEX(集計!$V$3:$V$33,MATCH(A705,集計!$N$3:$N$33,0)),0),"")</f>
        <v/>
      </c>
      <c r="AB705" s="25" t="str">
        <f aca="false">IF(ISNUMBER(A705),IFERROR(INDEX(設定!$F$4:$F$27,MATCH(K705,設定!$E$4:$E$27,0)),""),"")</f>
        <v/>
      </c>
    </row>
    <row r="706" customFormat="false" ht="15" hidden="false" customHeight="false" outlineLevel="0" collapsed="false">
      <c r="Z706" s="25" t="str">
        <f aca="false">IF(ISNUMBER(A706),IF(COUNTIF(祝日!$A:$A,A706)&gt;0,"祝",CHOOSE(WEEKDAY(A706,2),"月","火","水","木","金","土","日")),"")</f>
        <v/>
      </c>
      <c r="AA706" s="25" t="str">
        <f aca="false">IF(ISNUMBER(A706),IFERROR(INDEX(集計!$V$3:$V$33,MATCH(A706,集計!$N$3:$N$33,0)),0),"")</f>
        <v/>
      </c>
      <c r="AB706" s="25" t="str">
        <f aca="false">IF(ISNUMBER(A706),IFERROR(INDEX(設定!$F$4:$F$27,MATCH(K706,設定!$E$4:$E$27,0)),""),"")</f>
        <v/>
      </c>
    </row>
    <row r="707" customFormat="false" ht="15" hidden="false" customHeight="false" outlineLevel="0" collapsed="false">
      <c r="Z707" s="25" t="str">
        <f aca="false">IF(ISNUMBER(A707),IF(COUNTIF(祝日!$A:$A,A707)&gt;0,"祝",CHOOSE(WEEKDAY(A707,2),"月","火","水","木","金","土","日")),"")</f>
        <v/>
      </c>
      <c r="AA707" s="25" t="str">
        <f aca="false">IF(ISNUMBER(A707),IFERROR(INDEX(集計!$V$3:$V$33,MATCH(A707,集計!$N$3:$N$33,0)),0),"")</f>
        <v/>
      </c>
      <c r="AB707" s="25" t="str">
        <f aca="false">IF(ISNUMBER(A707),IFERROR(INDEX(設定!$F$4:$F$27,MATCH(K707,設定!$E$4:$E$27,0)),""),"")</f>
        <v/>
      </c>
    </row>
    <row r="708" customFormat="false" ht="15" hidden="false" customHeight="false" outlineLevel="0" collapsed="false">
      <c r="Z708" s="25" t="str">
        <f aca="false">IF(ISNUMBER(A708),IF(COUNTIF(祝日!$A:$A,A708)&gt;0,"祝",CHOOSE(WEEKDAY(A708,2),"月","火","水","木","金","土","日")),"")</f>
        <v/>
      </c>
      <c r="AA708" s="25" t="str">
        <f aca="false">IF(ISNUMBER(A708),IFERROR(INDEX(集計!$V$3:$V$33,MATCH(A708,集計!$N$3:$N$33,0)),0),"")</f>
        <v/>
      </c>
      <c r="AB708" s="25" t="str">
        <f aca="false">IF(ISNUMBER(A708),IFERROR(INDEX(設定!$F$4:$F$27,MATCH(K708,設定!$E$4:$E$27,0)),""),"")</f>
        <v/>
      </c>
    </row>
    <row r="709" customFormat="false" ht="15" hidden="false" customHeight="false" outlineLevel="0" collapsed="false">
      <c r="Z709" s="25" t="str">
        <f aca="false">IF(ISNUMBER(A709),IF(COUNTIF(祝日!$A:$A,A709)&gt;0,"祝",CHOOSE(WEEKDAY(A709,2),"月","火","水","木","金","土","日")),"")</f>
        <v/>
      </c>
      <c r="AA709" s="25" t="str">
        <f aca="false">IF(ISNUMBER(A709),IFERROR(INDEX(集計!$V$3:$V$33,MATCH(A709,集計!$N$3:$N$33,0)),0),"")</f>
        <v/>
      </c>
      <c r="AB709" s="25" t="str">
        <f aca="false">IF(ISNUMBER(A709),IFERROR(INDEX(設定!$F$4:$F$27,MATCH(K709,設定!$E$4:$E$27,0)),""),"")</f>
        <v/>
      </c>
    </row>
    <row r="710" customFormat="false" ht="15" hidden="false" customHeight="false" outlineLevel="0" collapsed="false">
      <c r="Z710" s="25" t="str">
        <f aca="false">IF(ISNUMBER(A710),IF(COUNTIF(祝日!$A:$A,A710)&gt;0,"祝",CHOOSE(WEEKDAY(A710,2),"月","火","水","木","金","土","日")),"")</f>
        <v/>
      </c>
      <c r="AA710" s="25" t="str">
        <f aca="false">IF(ISNUMBER(A710),IFERROR(INDEX(集計!$V$3:$V$33,MATCH(A710,集計!$N$3:$N$33,0)),0),"")</f>
        <v/>
      </c>
      <c r="AB710" s="25" t="str">
        <f aca="false">IF(ISNUMBER(A710),IFERROR(INDEX(設定!$F$4:$F$27,MATCH(K710,設定!$E$4:$E$27,0)),""),"")</f>
        <v/>
      </c>
    </row>
    <row r="711" customFormat="false" ht="15" hidden="false" customHeight="false" outlineLevel="0" collapsed="false">
      <c r="Z711" s="25" t="str">
        <f aca="false">IF(ISNUMBER(A711),IF(COUNTIF(祝日!$A:$A,A711)&gt;0,"祝",CHOOSE(WEEKDAY(A711,2),"月","火","水","木","金","土","日")),"")</f>
        <v/>
      </c>
      <c r="AA711" s="25" t="str">
        <f aca="false">IF(ISNUMBER(A711),IFERROR(INDEX(集計!$V$3:$V$33,MATCH(A711,集計!$N$3:$N$33,0)),0),"")</f>
        <v/>
      </c>
      <c r="AB711" s="25" t="str">
        <f aca="false">IF(ISNUMBER(A711),IFERROR(INDEX(設定!$F$4:$F$27,MATCH(K711,設定!$E$4:$E$27,0)),""),"")</f>
        <v/>
      </c>
    </row>
    <row r="712" customFormat="false" ht="15" hidden="false" customHeight="false" outlineLevel="0" collapsed="false">
      <c r="Z712" s="25" t="str">
        <f aca="false">IF(ISNUMBER(A712),IF(COUNTIF(祝日!$A:$A,A712)&gt;0,"祝",CHOOSE(WEEKDAY(A712,2),"月","火","水","木","金","土","日")),"")</f>
        <v/>
      </c>
      <c r="AA712" s="25" t="str">
        <f aca="false">IF(ISNUMBER(A712),IFERROR(INDEX(集計!$V$3:$V$33,MATCH(A712,集計!$N$3:$N$33,0)),0),"")</f>
        <v/>
      </c>
      <c r="AB712" s="25" t="str">
        <f aca="false">IF(ISNUMBER(A712),IFERROR(INDEX(設定!$F$4:$F$27,MATCH(K712,設定!$E$4:$E$27,0)),""),"")</f>
        <v/>
      </c>
    </row>
    <row r="713" customFormat="false" ht="15" hidden="false" customHeight="false" outlineLevel="0" collapsed="false">
      <c r="Z713" s="25" t="str">
        <f aca="false">IF(ISNUMBER(A713),IF(COUNTIF(祝日!$A:$A,A713)&gt;0,"祝",CHOOSE(WEEKDAY(A713,2),"月","火","水","木","金","土","日")),"")</f>
        <v/>
      </c>
      <c r="AA713" s="25" t="str">
        <f aca="false">IF(ISNUMBER(A713),IFERROR(INDEX(集計!$V$3:$V$33,MATCH(A713,集計!$N$3:$N$33,0)),0),"")</f>
        <v/>
      </c>
      <c r="AB713" s="25" t="str">
        <f aca="false">IF(ISNUMBER(A713),IFERROR(INDEX(設定!$F$4:$F$27,MATCH(K713,設定!$E$4:$E$27,0)),""),"")</f>
        <v/>
      </c>
    </row>
    <row r="714" customFormat="false" ht="15" hidden="false" customHeight="false" outlineLevel="0" collapsed="false">
      <c r="Z714" s="25" t="str">
        <f aca="false">IF(ISNUMBER(A714),IF(COUNTIF(祝日!$A:$A,A714)&gt;0,"祝",CHOOSE(WEEKDAY(A714,2),"月","火","水","木","金","土","日")),"")</f>
        <v/>
      </c>
      <c r="AA714" s="25" t="str">
        <f aca="false">IF(ISNUMBER(A714),IFERROR(INDEX(集計!$V$3:$V$33,MATCH(A714,集計!$N$3:$N$33,0)),0),"")</f>
        <v/>
      </c>
      <c r="AB714" s="25" t="str">
        <f aca="false">IF(ISNUMBER(A714),IFERROR(INDEX(設定!$F$4:$F$27,MATCH(K714,設定!$E$4:$E$27,0)),""),"")</f>
        <v/>
      </c>
    </row>
    <row r="715" customFormat="false" ht="15" hidden="false" customHeight="false" outlineLevel="0" collapsed="false">
      <c r="Z715" s="25" t="str">
        <f aca="false">IF(ISNUMBER(A715),IF(COUNTIF(祝日!$A:$A,A715)&gt;0,"祝",CHOOSE(WEEKDAY(A715,2),"月","火","水","木","金","土","日")),"")</f>
        <v/>
      </c>
      <c r="AA715" s="25" t="str">
        <f aca="false">IF(ISNUMBER(A715),IFERROR(INDEX(集計!$V$3:$V$33,MATCH(A715,集計!$N$3:$N$33,0)),0),"")</f>
        <v/>
      </c>
      <c r="AB715" s="25" t="str">
        <f aca="false">IF(ISNUMBER(A715),IFERROR(INDEX(設定!$F$4:$F$27,MATCH(K715,設定!$E$4:$E$27,0)),""),"")</f>
        <v/>
      </c>
    </row>
    <row r="716" customFormat="false" ht="15" hidden="false" customHeight="false" outlineLevel="0" collapsed="false">
      <c r="Z716" s="25" t="str">
        <f aca="false">IF(ISNUMBER(A716),IF(COUNTIF(祝日!$A:$A,A716)&gt;0,"祝",CHOOSE(WEEKDAY(A716,2),"月","火","水","木","金","土","日")),"")</f>
        <v/>
      </c>
      <c r="AA716" s="25" t="str">
        <f aca="false">IF(ISNUMBER(A716),IFERROR(INDEX(集計!$V$3:$V$33,MATCH(A716,集計!$N$3:$N$33,0)),0),"")</f>
        <v/>
      </c>
      <c r="AB716" s="25" t="str">
        <f aca="false">IF(ISNUMBER(A716),IFERROR(INDEX(設定!$F$4:$F$27,MATCH(K716,設定!$E$4:$E$27,0)),""),"")</f>
        <v/>
      </c>
    </row>
    <row r="717" customFormat="false" ht="15" hidden="false" customHeight="false" outlineLevel="0" collapsed="false">
      <c r="Z717" s="25" t="str">
        <f aca="false">IF(ISNUMBER(A717),IF(COUNTIF(祝日!$A:$A,A717)&gt;0,"祝",CHOOSE(WEEKDAY(A717,2),"月","火","水","木","金","土","日")),"")</f>
        <v/>
      </c>
      <c r="AA717" s="25" t="str">
        <f aca="false">IF(ISNUMBER(A717),IFERROR(INDEX(集計!$V$3:$V$33,MATCH(A717,集計!$N$3:$N$33,0)),0),"")</f>
        <v/>
      </c>
      <c r="AB717" s="25" t="str">
        <f aca="false">IF(ISNUMBER(A717),IFERROR(INDEX(設定!$F$4:$F$27,MATCH(K717,設定!$E$4:$E$27,0)),""),"")</f>
        <v/>
      </c>
    </row>
    <row r="718" customFormat="false" ht="15" hidden="false" customHeight="false" outlineLevel="0" collapsed="false">
      <c r="Z718" s="25" t="str">
        <f aca="false">IF(ISNUMBER(A718),IF(COUNTIF(祝日!$A:$A,A718)&gt;0,"祝",CHOOSE(WEEKDAY(A718,2),"月","火","水","木","金","土","日")),"")</f>
        <v/>
      </c>
      <c r="AA718" s="25" t="str">
        <f aca="false">IF(ISNUMBER(A718),IFERROR(INDEX(集計!$V$3:$V$33,MATCH(A718,集計!$N$3:$N$33,0)),0),"")</f>
        <v/>
      </c>
      <c r="AB718" s="25" t="str">
        <f aca="false">IF(ISNUMBER(A718),IFERROR(INDEX(設定!$F$4:$F$27,MATCH(K718,設定!$E$4:$E$27,0)),""),"")</f>
        <v/>
      </c>
    </row>
    <row r="719" customFormat="false" ht="15" hidden="false" customHeight="false" outlineLevel="0" collapsed="false">
      <c r="Z719" s="25" t="str">
        <f aca="false">IF(ISNUMBER(A719),IF(COUNTIF(祝日!$A:$A,A719)&gt;0,"祝",CHOOSE(WEEKDAY(A719,2),"月","火","水","木","金","土","日")),"")</f>
        <v/>
      </c>
      <c r="AA719" s="25" t="str">
        <f aca="false">IF(ISNUMBER(A719),IFERROR(INDEX(集計!$V$3:$V$33,MATCH(A719,集計!$N$3:$N$33,0)),0),"")</f>
        <v/>
      </c>
      <c r="AB719" s="25" t="str">
        <f aca="false">IF(ISNUMBER(A719),IFERROR(INDEX(設定!$F$4:$F$27,MATCH(K719,設定!$E$4:$E$27,0)),""),"")</f>
        <v/>
      </c>
    </row>
    <row r="720" customFormat="false" ht="15" hidden="false" customHeight="false" outlineLevel="0" collapsed="false">
      <c r="Z720" s="25" t="str">
        <f aca="false">IF(ISNUMBER(A720),IF(COUNTIF(祝日!$A:$A,A720)&gt;0,"祝",CHOOSE(WEEKDAY(A720,2),"月","火","水","木","金","土","日")),"")</f>
        <v/>
      </c>
      <c r="AA720" s="25" t="str">
        <f aca="false">IF(ISNUMBER(A720),IFERROR(INDEX(集計!$V$3:$V$33,MATCH(A720,集計!$N$3:$N$33,0)),0),"")</f>
        <v/>
      </c>
      <c r="AB720" s="25" t="str">
        <f aca="false">IF(ISNUMBER(A720),IFERROR(INDEX(設定!$F$4:$F$27,MATCH(K720,設定!$E$4:$E$27,0)),""),"")</f>
        <v/>
      </c>
    </row>
    <row r="721" customFormat="false" ht="15" hidden="false" customHeight="false" outlineLevel="0" collapsed="false">
      <c r="Z721" s="25" t="str">
        <f aca="false">IF(ISNUMBER(A721),IF(COUNTIF(祝日!$A:$A,A721)&gt;0,"祝",CHOOSE(WEEKDAY(A721,2),"月","火","水","木","金","土","日")),"")</f>
        <v/>
      </c>
      <c r="AA721" s="25" t="str">
        <f aca="false">IF(ISNUMBER(A721),IFERROR(INDEX(集計!$V$3:$V$33,MATCH(A721,集計!$N$3:$N$33,0)),0),"")</f>
        <v/>
      </c>
      <c r="AB721" s="25" t="str">
        <f aca="false">IF(ISNUMBER(A721),IFERROR(INDEX(設定!$F$4:$F$27,MATCH(K721,設定!$E$4:$E$27,0)),""),"")</f>
        <v/>
      </c>
    </row>
    <row r="722" customFormat="false" ht="15" hidden="false" customHeight="false" outlineLevel="0" collapsed="false">
      <c r="Z722" s="25" t="str">
        <f aca="false">IF(ISNUMBER(A722),IF(COUNTIF(祝日!$A:$A,A722)&gt;0,"祝",CHOOSE(WEEKDAY(A722,2),"月","火","水","木","金","土","日")),"")</f>
        <v/>
      </c>
      <c r="AA722" s="25" t="str">
        <f aca="false">IF(ISNUMBER(A722),IFERROR(INDEX(集計!$V$3:$V$33,MATCH(A722,集計!$N$3:$N$33,0)),0),"")</f>
        <v/>
      </c>
      <c r="AB722" s="25" t="str">
        <f aca="false">IF(ISNUMBER(A722),IFERROR(INDEX(設定!$F$4:$F$27,MATCH(K722,設定!$E$4:$E$27,0)),""),"")</f>
        <v/>
      </c>
    </row>
    <row r="723" customFormat="false" ht="15" hidden="false" customHeight="false" outlineLevel="0" collapsed="false">
      <c r="Z723" s="25" t="str">
        <f aca="false">IF(ISNUMBER(A723),IF(COUNTIF(祝日!$A:$A,A723)&gt;0,"祝",CHOOSE(WEEKDAY(A723,2),"月","火","水","木","金","土","日")),"")</f>
        <v/>
      </c>
      <c r="AA723" s="25" t="str">
        <f aca="false">IF(ISNUMBER(A723),IFERROR(INDEX(集計!$V$3:$V$33,MATCH(A723,集計!$N$3:$N$33,0)),0),"")</f>
        <v/>
      </c>
      <c r="AB723" s="25" t="str">
        <f aca="false">IF(ISNUMBER(A723),IFERROR(INDEX(設定!$F$4:$F$27,MATCH(K723,設定!$E$4:$E$27,0)),""),"")</f>
        <v/>
      </c>
    </row>
    <row r="724" customFormat="false" ht="15" hidden="false" customHeight="false" outlineLevel="0" collapsed="false">
      <c r="Z724" s="25" t="str">
        <f aca="false">IF(ISNUMBER(A724),IF(COUNTIF(祝日!$A:$A,A724)&gt;0,"祝",CHOOSE(WEEKDAY(A724,2),"月","火","水","木","金","土","日")),"")</f>
        <v/>
      </c>
      <c r="AA724" s="25" t="str">
        <f aca="false">IF(ISNUMBER(A724),IFERROR(INDEX(集計!$V$3:$V$33,MATCH(A724,集計!$N$3:$N$33,0)),0),"")</f>
        <v/>
      </c>
      <c r="AB724" s="25" t="str">
        <f aca="false">IF(ISNUMBER(A724),IFERROR(INDEX(設定!$F$4:$F$27,MATCH(K724,設定!$E$4:$E$27,0)),""),"")</f>
        <v/>
      </c>
    </row>
    <row r="725" customFormat="false" ht="15" hidden="false" customHeight="false" outlineLevel="0" collapsed="false">
      <c r="Z725" s="25" t="str">
        <f aca="false">IF(ISNUMBER(A725),IF(COUNTIF(祝日!$A:$A,A725)&gt;0,"祝",CHOOSE(WEEKDAY(A725,2),"月","火","水","木","金","土","日")),"")</f>
        <v/>
      </c>
      <c r="AA725" s="25" t="str">
        <f aca="false">IF(ISNUMBER(A725),IFERROR(INDEX(集計!$V$3:$V$33,MATCH(A725,集計!$N$3:$N$33,0)),0),"")</f>
        <v/>
      </c>
      <c r="AB725" s="25" t="str">
        <f aca="false">IF(ISNUMBER(A725),IFERROR(INDEX(設定!$F$4:$F$27,MATCH(K725,設定!$E$4:$E$27,0)),""),"")</f>
        <v/>
      </c>
    </row>
    <row r="726" customFormat="false" ht="15" hidden="false" customHeight="false" outlineLevel="0" collapsed="false">
      <c r="Z726" s="25" t="str">
        <f aca="false">IF(ISNUMBER(A726),IF(COUNTIF(祝日!$A:$A,A726)&gt;0,"祝",CHOOSE(WEEKDAY(A726,2),"月","火","水","木","金","土","日")),"")</f>
        <v/>
      </c>
      <c r="AA726" s="25" t="str">
        <f aca="false">IF(ISNUMBER(A726),IFERROR(INDEX(集計!$V$3:$V$33,MATCH(A726,集計!$N$3:$N$33,0)),0),"")</f>
        <v/>
      </c>
      <c r="AB726" s="25" t="str">
        <f aca="false">IF(ISNUMBER(A726),IFERROR(INDEX(設定!$F$4:$F$27,MATCH(K726,設定!$E$4:$E$27,0)),""),"")</f>
        <v/>
      </c>
    </row>
    <row r="727" customFormat="false" ht="15" hidden="false" customHeight="false" outlineLevel="0" collapsed="false">
      <c r="Z727" s="25" t="str">
        <f aca="false">IF(ISNUMBER(A727),IF(COUNTIF(祝日!$A:$A,A727)&gt;0,"祝",CHOOSE(WEEKDAY(A727,2),"月","火","水","木","金","土","日")),"")</f>
        <v/>
      </c>
      <c r="AA727" s="25" t="str">
        <f aca="false">IF(ISNUMBER(A727),IFERROR(INDEX(集計!$V$3:$V$33,MATCH(A727,集計!$N$3:$N$33,0)),0),"")</f>
        <v/>
      </c>
      <c r="AB727" s="25" t="str">
        <f aca="false">IF(ISNUMBER(A727),IFERROR(INDEX(設定!$F$4:$F$27,MATCH(K727,設定!$E$4:$E$27,0)),""),"")</f>
        <v/>
      </c>
    </row>
    <row r="728" customFormat="false" ht="15" hidden="false" customHeight="false" outlineLevel="0" collapsed="false">
      <c r="Z728" s="25" t="str">
        <f aca="false">IF(ISNUMBER(A728),IF(COUNTIF(祝日!$A:$A,A728)&gt;0,"祝",CHOOSE(WEEKDAY(A728,2),"月","火","水","木","金","土","日")),"")</f>
        <v/>
      </c>
      <c r="AA728" s="25" t="str">
        <f aca="false">IF(ISNUMBER(A728),IFERROR(INDEX(集計!$V$3:$V$33,MATCH(A728,集計!$N$3:$N$33,0)),0),"")</f>
        <v/>
      </c>
      <c r="AB728" s="25" t="str">
        <f aca="false">IF(ISNUMBER(A728),IFERROR(INDEX(設定!$F$4:$F$27,MATCH(K728,設定!$E$4:$E$27,0)),""),"")</f>
        <v/>
      </c>
    </row>
    <row r="729" customFormat="false" ht="15" hidden="false" customHeight="false" outlineLevel="0" collapsed="false">
      <c r="Z729" s="25" t="str">
        <f aca="false">IF(ISNUMBER(A729),IF(COUNTIF(祝日!$A:$A,A729)&gt;0,"祝",CHOOSE(WEEKDAY(A729,2),"月","火","水","木","金","土","日")),"")</f>
        <v/>
      </c>
      <c r="AA729" s="25" t="str">
        <f aca="false">IF(ISNUMBER(A729),IFERROR(INDEX(集計!$V$3:$V$33,MATCH(A729,集計!$N$3:$N$33,0)),0),"")</f>
        <v/>
      </c>
      <c r="AB729" s="25" t="str">
        <f aca="false">IF(ISNUMBER(A729),IFERROR(INDEX(設定!$F$4:$F$27,MATCH(K729,設定!$E$4:$E$27,0)),""),"")</f>
        <v/>
      </c>
    </row>
    <row r="730" customFormat="false" ht="15" hidden="false" customHeight="false" outlineLevel="0" collapsed="false">
      <c r="Z730" s="25" t="str">
        <f aca="false">IF(ISNUMBER(A730),IF(COUNTIF(祝日!$A:$A,A730)&gt;0,"祝",CHOOSE(WEEKDAY(A730,2),"月","火","水","木","金","土","日")),"")</f>
        <v/>
      </c>
      <c r="AA730" s="25" t="str">
        <f aca="false">IF(ISNUMBER(A730),IFERROR(INDEX(集計!$V$3:$V$33,MATCH(A730,集計!$N$3:$N$33,0)),0),"")</f>
        <v/>
      </c>
      <c r="AB730" s="25" t="str">
        <f aca="false">IF(ISNUMBER(A730),IFERROR(INDEX(設定!$F$4:$F$27,MATCH(K730,設定!$E$4:$E$27,0)),""),"")</f>
        <v/>
      </c>
    </row>
    <row r="731" customFormat="false" ht="15" hidden="false" customHeight="false" outlineLevel="0" collapsed="false">
      <c r="Z731" s="25" t="str">
        <f aca="false">IF(ISNUMBER(A731),IF(COUNTIF(祝日!$A:$A,A731)&gt;0,"祝",CHOOSE(WEEKDAY(A731,2),"月","火","水","木","金","土","日")),"")</f>
        <v/>
      </c>
      <c r="AA731" s="25" t="str">
        <f aca="false">IF(ISNUMBER(A731),IFERROR(INDEX(集計!$V$3:$V$33,MATCH(A731,集計!$N$3:$N$33,0)),0),"")</f>
        <v/>
      </c>
      <c r="AB731" s="25" t="str">
        <f aca="false">IF(ISNUMBER(A731),IFERROR(INDEX(設定!$F$4:$F$27,MATCH(K731,設定!$E$4:$E$27,0)),""),"")</f>
        <v/>
      </c>
    </row>
    <row r="732" customFormat="false" ht="15" hidden="false" customHeight="false" outlineLevel="0" collapsed="false">
      <c r="Z732" s="25" t="str">
        <f aca="false">IF(ISNUMBER(A732),IF(COUNTIF(祝日!$A:$A,A732)&gt;0,"祝",CHOOSE(WEEKDAY(A732,2),"月","火","水","木","金","土","日")),"")</f>
        <v/>
      </c>
      <c r="AA732" s="25" t="str">
        <f aca="false">IF(ISNUMBER(A732),IFERROR(INDEX(集計!$V$3:$V$33,MATCH(A732,集計!$N$3:$N$33,0)),0),"")</f>
        <v/>
      </c>
      <c r="AB732" s="25" t="str">
        <f aca="false">IF(ISNUMBER(A732),IFERROR(INDEX(設定!$F$4:$F$27,MATCH(K732,設定!$E$4:$E$27,0)),""),"")</f>
        <v/>
      </c>
    </row>
    <row r="733" customFormat="false" ht="15" hidden="false" customHeight="false" outlineLevel="0" collapsed="false">
      <c r="Z733" s="25" t="str">
        <f aca="false">IF(ISNUMBER(A733),IF(COUNTIF(祝日!$A:$A,A733)&gt;0,"祝",CHOOSE(WEEKDAY(A733,2),"月","火","水","木","金","土","日")),"")</f>
        <v/>
      </c>
      <c r="AA733" s="25" t="str">
        <f aca="false">IF(ISNUMBER(A733),IFERROR(INDEX(集計!$V$3:$V$33,MATCH(A733,集計!$N$3:$N$33,0)),0),"")</f>
        <v/>
      </c>
      <c r="AB733" s="25" t="str">
        <f aca="false">IF(ISNUMBER(A733),IFERROR(INDEX(設定!$F$4:$F$27,MATCH(K733,設定!$E$4:$E$27,0)),""),"")</f>
        <v/>
      </c>
    </row>
    <row r="734" customFormat="false" ht="15" hidden="false" customHeight="false" outlineLevel="0" collapsed="false">
      <c r="Z734" s="25" t="str">
        <f aca="false">IF(ISNUMBER(A734),IF(COUNTIF(祝日!$A:$A,A734)&gt;0,"祝",CHOOSE(WEEKDAY(A734,2),"月","火","水","木","金","土","日")),"")</f>
        <v/>
      </c>
      <c r="AA734" s="25" t="str">
        <f aca="false">IF(ISNUMBER(A734),IFERROR(INDEX(集計!$V$3:$V$33,MATCH(A734,集計!$N$3:$N$33,0)),0),"")</f>
        <v/>
      </c>
      <c r="AB734" s="25" t="str">
        <f aca="false">IF(ISNUMBER(A734),IFERROR(INDEX(設定!$F$4:$F$27,MATCH(K734,設定!$E$4:$E$27,0)),""),"")</f>
        <v/>
      </c>
    </row>
    <row r="735" customFormat="false" ht="15" hidden="false" customHeight="false" outlineLevel="0" collapsed="false">
      <c r="Z735" s="25" t="str">
        <f aca="false">IF(ISNUMBER(A735),IF(COUNTIF(祝日!$A:$A,A735)&gt;0,"祝",CHOOSE(WEEKDAY(A735,2),"月","火","水","木","金","土","日")),"")</f>
        <v/>
      </c>
      <c r="AA735" s="25" t="str">
        <f aca="false">IF(ISNUMBER(A735),IFERROR(INDEX(集計!$V$3:$V$33,MATCH(A735,集計!$N$3:$N$33,0)),0),"")</f>
        <v/>
      </c>
      <c r="AB735" s="25" t="str">
        <f aca="false">IF(ISNUMBER(A735),IFERROR(INDEX(設定!$F$4:$F$27,MATCH(K735,設定!$E$4:$E$27,0)),""),"")</f>
        <v/>
      </c>
    </row>
    <row r="736" customFormat="false" ht="15" hidden="false" customHeight="false" outlineLevel="0" collapsed="false">
      <c r="Z736" s="25" t="str">
        <f aca="false">IF(ISNUMBER(A736),IF(COUNTIF(祝日!$A:$A,A736)&gt;0,"祝",CHOOSE(WEEKDAY(A736,2),"月","火","水","木","金","土","日")),"")</f>
        <v/>
      </c>
      <c r="AA736" s="25" t="str">
        <f aca="false">IF(ISNUMBER(A736),IFERROR(INDEX(集計!$V$3:$V$33,MATCH(A736,集計!$N$3:$N$33,0)),0),"")</f>
        <v/>
      </c>
      <c r="AB736" s="25" t="str">
        <f aca="false">IF(ISNUMBER(A736),IFERROR(INDEX(設定!$F$4:$F$27,MATCH(K736,設定!$E$4:$E$27,0)),""),"")</f>
        <v/>
      </c>
    </row>
    <row r="737" customFormat="false" ht="15" hidden="false" customHeight="false" outlineLevel="0" collapsed="false">
      <c r="Z737" s="25" t="str">
        <f aca="false">IF(ISNUMBER(A737),IF(COUNTIF(祝日!$A:$A,A737)&gt;0,"祝",CHOOSE(WEEKDAY(A737,2),"月","火","水","木","金","土","日")),"")</f>
        <v/>
      </c>
      <c r="AA737" s="25" t="str">
        <f aca="false">IF(ISNUMBER(A737),IFERROR(INDEX(集計!$V$3:$V$33,MATCH(A737,集計!$N$3:$N$33,0)),0),"")</f>
        <v/>
      </c>
      <c r="AB737" s="25" t="str">
        <f aca="false">IF(ISNUMBER(A737),IFERROR(INDEX(設定!$F$4:$F$27,MATCH(K737,設定!$E$4:$E$27,0)),""),"")</f>
        <v/>
      </c>
    </row>
    <row r="738" customFormat="false" ht="15" hidden="false" customHeight="false" outlineLevel="0" collapsed="false">
      <c r="Z738" s="25" t="str">
        <f aca="false">IF(ISNUMBER(A738),IF(COUNTIF(祝日!$A:$A,A738)&gt;0,"祝",CHOOSE(WEEKDAY(A738,2),"月","火","水","木","金","土","日")),"")</f>
        <v/>
      </c>
      <c r="AA738" s="25" t="str">
        <f aca="false">IF(ISNUMBER(A738),IFERROR(INDEX(集計!$V$3:$V$33,MATCH(A738,集計!$N$3:$N$33,0)),0),"")</f>
        <v/>
      </c>
      <c r="AB738" s="25" t="str">
        <f aca="false">IF(ISNUMBER(A738),IFERROR(INDEX(設定!$F$4:$F$27,MATCH(K738,設定!$E$4:$E$27,0)),""),"")</f>
        <v/>
      </c>
    </row>
    <row r="739" customFormat="false" ht="15" hidden="false" customHeight="false" outlineLevel="0" collapsed="false">
      <c r="Z739" s="25" t="str">
        <f aca="false">IF(ISNUMBER(A739),IF(COUNTIF(祝日!$A:$A,A739)&gt;0,"祝",CHOOSE(WEEKDAY(A739,2),"月","火","水","木","金","土","日")),"")</f>
        <v/>
      </c>
      <c r="AA739" s="25" t="str">
        <f aca="false">IF(ISNUMBER(A739),IFERROR(INDEX(集計!$V$3:$V$33,MATCH(A739,集計!$N$3:$N$33,0)),0),"")</f>
        <v/>
      </c>
      <c r="AB739" s="25" t="str">
        <f aca="false">IF(ISNUMBER(A739),IFERROR(INDEX(設定!$F$4:$F$27,MATCH(K739,設定!$E$4:$E$27,0)),""),"")</f>
        <v/>
      </c>
    </row>
    <row r="740" customFormat="false" ht="15" hidden="false" customHeight="false" outlineLevel="0" collapsed="false">
      <c r="Z740" s="25" t="str">
        <f aca="false">IF(ISNUMBER(A740),IF(COUNTIF(祝日!$A:$A,A740)&gt;0,"祝",CHOOSE(WEEKDAY(A740,2),"月","火","水","木","金","土","日")),"")</f>
        <v/>
      </c>
      <c r="AA740" s="25" t="str">
        <f aca="false">IF(ISNUMBER(A740),IFERROR(INDEX(集計!$V$3:$V$33,MATCH(A740,集計!$N$3:$N$33,0)),0),"")</f>
        <v/>
      </c>
      <c r="AB740" s="25" t="str">
        <f aca="false">IF(ISNUMBER(A740),IFERROR(INDEX(設定!$F$4:$F$27,MATCH(K740,設定!$E$4:$E$27,0)),""),"")</f>
        <v/>
      </c>
    </row>
    <row r="741" customFormat="false" ht="15" hidden="false" customHeight="false" outlineLevel="0" collapsed="false">
      <c r="Z741" s="25" t="str">
        <f aca="false">IF(ISNUMBER(A741),IF(COUNTIF(祝日!$A:$A,A741)&gt;0,"祝",CHOOSE(WEEKDAY(A741,2),"月","火","水","木","金","土","日")),"")</f>
        <v/>
      </c>
      <c r="AA741" s="25" t="str">
        <f aca="false">IF(ISNUMBER(A741),IFERROR(INDEX(集計!$V$3:$V$33,MATCH(A741,集計!$N$3:$N$33,0)),0),"")</f>
        <v/>
      </c>
      <c r="AB741" s="25" t="str">
        <f aca="false">IF(ISNUMBER(A741),IFERROR(INDEX(設定!$F$4:$F$27,MATCH(K741,設定!$E$4:$E$27,0)),""),"")</f>
        <v/>
      </c>
    </row>
    <row r="742" customFormat="false" ht="15" hidden="false" customHeight="false" outlineLevel="0" collapsed="false">
      <c r="Z742" s="25" t="str">
        <f aca="false">IF(ISNUMBER(A742),IF(COUNTIF(祝日!$A:$A,A742)&gt;0,"祝",CHOOSE(WEEKDAY(A742,2),"月","火","水","木","金","土","日")),"")</f>
        <v/>
      </c>
      <c r="AA742" s="25" t="str">
        <f aca="false">IF(ISNUMBER(A742),IFERROR(INDEX(集計!$V$3:$V$33,MATCH(A742,集計!$N$3:$N$33,0)),0),"")</f>
        <v/>
      </c>
      <c r="AB742" s="25" t="str">
        <f aca="false">IF(ISNUMBER(A742),IFERROR(INDEX(設定!$F$4:$F$27,MATCH(K742,設定!$E$4:$E$27,0)),""),"")</f>
        <v/>
      </c>
    </row>
    <row r="743" customFormat="false" ht="15" hidden="false" customHeight="false" outlineLevel="0" collapsed="false">
      <c r="Z743" s="25" t="str">
        <f aca="false">IF(ISNUMBER(A743),IF(COUNTIF(祝日!$A:$A,A743)&gt;0,"祝",CHOOSE(WEEKDAY(A743,2),"月","火","水","木","金","土","日")),"")</f>
        <v/>
      </c>
      <c r="AA743" s="25" t="str">
        <f aca="false">IF(ISNUMBER(A743),IFERROR(INDEX(集計!$V$3:$V$33,MATCH(A743,集計!$N$3:$N$33,0)),0),"")</f>
        <v/>
      </c>
      <c r="AB743" s="25" t="str">
        <f aca="false">IF(ISNUMBER(A743),IFERROR(INDEX(設定!$F$4:$F$27,MATCH(K743,設定!$E$4:$E$27,0)),""),"")</f>
        <v/>
      </c>
    </row>
    <row r="744" customFormat="false" ht="15" hidden="false" customHeight="false" outlineLevel="0" collapsed="false">
      <c r="Z744" s="25" t="str">
        <f aca="false">IF(ISNUMBER(A744),IF(COUNTIF(祝日!$A:$A,A744)&gt;0,"祝",CHOOSE(WEEKDAY(A744,2),"月","火","水","木","金","土","日")),"")</f>
        <v/>
      </c>
      <c r="AA744" s="25" t="str">
        <f aca="false">IF(ISNUMBER(A744),IFERROR(INDEX(集計!$V$3:$V$33,MATCH(A744,集計!$N$3:$N$33,0)),0),"")</f>
        <v/>
      </c>
      <c r="AB744" s="25" t="str">
        <f aca="false">IF(ISNUMBER(A744),IFERROR(INDEX(設定!$F$4:$F$27,MATCH(K744,設定!$E$4:$E$27,0)),""),"")</f>
        <v/>
      </c>
    </row>
    <row r="745" customFormat="false" ht="15" hidden="false" customHeight="false" outlineLevel="0" collapsed="false">
      <c r="Z745" s="25" t="str">
        <f aca="false">IF(ISNUMBER(A745),IF(COUNTIF(祝日!$A:$A,A745)&gt;0,"祝",CHOOSE(WEEKDAY(A745,2),"月","火","水","木","金","土","日")),"")</f>
        <v/>
      </c>
      <c r="AA745" s="25" t="str">
        <f aca="false">IF(ISNUMBER(A745),IFERROR(INDEX(集計!$V$3:$V$33,MATCH(A745,集計!$N$3:$N$33,0)),0),"")</f>
        <v/>
      </c>
      <c r="AB745" s="25" t="str">
        <f aca="false">IF(ISNUMBER(A745),IFERROR(INDEX(設定!$F$4:$F$27,MATCH(K745,設定!$E$4:$E$27,0)),""),"")</f>
        <v/>
      </c>
    </row>
    <row r="746" customFormat="false" ht="15" hidden="false" customHeight="false" outlineLevel="0" collapsed="false">
      <c r="Z746" s="25" t="str">
        <f aca="false">IF(ISNUMBER(A746),IF(COUNTIF(祝日!$A:$A,A746)&gt;0,"祝",CHOOSE(WEEKDAY(A746,2),"月","火","水","木","金","土","日")),"")</f>
        <v/>
      </c>
      <c r="AA746" s="25" t="str">
        <f aca="false">IF(ISNUMBER(A746),IFERROR(INDEX(集計!$V$3:$V$33,MATCH(A746,集計!$N$3:$N$33,0)),0),"")</f>
        <v/>
      </c>
      <c r="AB746" s="25" t="str">
        <f aca="false">IF(ISNUMBER(A746),IFERROR(INDEX(設定!$F$4:$F$27,MATCH(K746,設定!$E$4:$E$27,0)),""),"")</f>
        <v/>
      </c>
    </row>
    <row r="747" customFormat="false" ht="15" hidden="false" customHeight="false" outlineLevel="0" collapsed="false">
      <c r="Z747" s="25" t="str">
        <f aca="false">IF(ISNUMBER(A747),IF(COUNTIF(祝日!$A:$A,A747)&gt;0,"祝",CHOOSE(WEEKDAY(A747,2),"月","火","水","木","金","土","日")),"")</f>
        <v/>
      </c>
      <c r="AA747" s="25" t="str">
        <f aca="false">IF(ISNUMBER(A747),IFERROR(INDEX(集計!$V$3:$V$33,MATCH(A747,集計!$N$3:$N$33,0)),0),"")</f>
        <v/>
      </c>
      <c r="AB747" s="25" t="str">
        <f aca="false">IF(ISNUMBER(A747),IFERROR(INDEX(設定!$F$4:$F$27,MATCH(K747,設定!$E$4:$E$27,0)),""),"")</f>
        <v/>
      </c>
    </row>
    <row r="748" customFormat="false" ht="15" hidden="false" customHeight="false" outlineLevel="0" collapsed="false">
      <c r="Z748" s="25" t="str">
        <f aca="false">IF(ISNUMBER(A748),IF(COUNTIF(祝日!$A:$A,A748)&gt;0,"祝",CHOOSE(WEEKDAY(A748,2),"月","火","水","木","金","土","日")),"")</f>
        <v/>
      </c>
      <c r="AA748" s="25" t="str">
        <f aca="false">IF(ISNUMBER(A748),IFERROR(INDEX(集計!$V$3:$V$33,MATCH(A748,集計!$N$3:$N$33,0)),0),"")</f>
        <v/>
      </c>
      <c r="AB748" s="25" t="str">
        <f aca="false">IF(ISNUMBER(A748),IFERROR(INDEX(設定!$F$4:$F$27,MATCH(K748,設定!$E$4:$E$27,0)),""),"")</f>
        <v/>
      </c>
    </row>
    <row r="749" customFormat="false" ht="15" hidden="false" customHeight="false" outlineLevel="0" collapsed="false">
      <c r="Z749" s="25" t="str">
        <f aca="false">IF(ISNUMBER(A749),IF(COUNTIF(祝日!$A:$A,A749)&gt;0,"祝",CHOOSE(WEEKDAY(A749,2),"月","火","水","木","金","土","日")),"")</f>
        <v/>
      </c>
      <c r="AA749" s="25" t="str">
        <f aca="false">IF(ISNUMBER(A749),IFERROR(INDEX(集計!$V$3:$V$33,MATCH(A749,集計!$N$3:$N$33,0)),0),"")</f>
        <v/>
      </c>
      <c r="AB749" s="25" t="str">
        <f aca="false">IF(ISNUMBER(A749),IFERROR(INDEX(設定!$F$4:$F$27,MATCH(K749,設定!$E$4:$E$27,0)),""),"")</f>
        <v/>
      </c>
    </row>
    <row r="750" customFormat="false" ht="15" hidden="false" customHeight="false" outlineLevel="0" collapsed="false">
      <c r="Z750" s="25" t="str">
        <f aca="false">IF(ISNUMBER(A750),IF(COUNTIF(祝日!$A:$A,A750)&gt;0,"祝",CHOOSE(WEEKDAY(A750,2),"月","火","水","木","金","土","日")),"")</f>
        <v/>
      </c>
      <c r="AA750" s="25" t="str">
        <f aca="false">IF(ISNUMBER(A750),IFERROR(INDEX(集計!$V$3:$V$33,MATCH(A750,集計!$N$3:$N$33,0)),0),"")</f>
        <v/>
      </c>
      <c r="AB750" s="25" t="str">
        <f aca="false">IF(ISNUMBER(A750),IFERROR(INDEX(設定!$F$4:$F$27,MATCH(K750,設定!$E$4:$E$27,0)),""),"")</f>
        <v/>
      </c>
    </row>
    <row r="751" customFormat="false" ht="15" hidden="false" customHeight="false" outlineLevel="0" collapsed="false">
      <c r="Z751" s="25" t="str">
        <f aca="false">IF(ISNUMBER(A751),IF(COUNTIF(祝日!$A:$A,A751)&gt;0,"祝",CHOOSE(WEEKDAY(A751,2),"月","火","水","木","金","土","日")),"")</f>
        <v/>
      </c>
      <c r="AA751" s="25" t="str">
        <f aca="false">IF(ISNUMBER(A751),IFERROR(INDEX(集計!$V$3:$V$33,MATCH(A751,集計!$N$3:$N$33,0)),0),"")</f>
        <v/>
      </c>
      <c r="AB751" s="25" t="str">
        <f aca="false">IF(ISNUMBER(A751),IFERROR(INDEX(設定!$F$4:$F$27,MATCH(K751,設定!$E$4:$E$27,0)),""),"")</f>
        <v/>
      </c>
    </row>
    <row r="752" customFormat="false" ht="15" hidden="false" customHeight="false" outlineLevel="0" collapsed="false">
      <c r="Z752" s="25" t="str">
        <f aca="false">IF(ISNUMBER(A752),IF(COUNTIF(祝日!$A:$A,A752)&gt;0,"祝",CHOOSE(WEEKDAY(A752,2),"月","火","水","木","金","土","日")),"")</f>
        <v/>
      </c>
      <c r="AA752" s="25" t="str">
        <f aca="false">IF(ISNUMBER(A752),IFERROR(INDEX(集計!$V$3:$V$33,MATCH(A752,集計!$N$3:$N$33,0)),0),"")</f>
        <v/>
      </c>
      <c r="AB752" s="25" t="str">
        <f aca="false">IF(ISNUMBER(A752),IFERROR(INDEX(設定!$F$4:$F$27,MATCH(K752,設定!$E$4:$E$27,0)),""),"")</f>
        <v/>
      </c>
    </row>
    <row r="753" customFormat="false" ht="15" hidden="false" customHeight="false" outlineLevel="0" collapsed="false">
      <c r="Z753" s="25" t="str">
        <f aca="false">IF(ISNUMBER(A753),IF(COUNTIF(祝日!$A:$A,A753)&gt;0,"祝",CHOOSE(WEEKDAY(A753,2),"月","火","水","木","金","土","日")),"")</f>
        <v/>
      </c>
      <c r="AA753" s="25" t="str">
        <f aca="false">IF(ISNUMBER(A753),IFERROR(INDEX(集計!$V$3:$V$33,MATCH(A753,集計!$N$3:$N$33,0)),0),"")</f>
        <v/>
      </c>
      <c r="AB753" s="25" t="str">
        <f aca="false">IF(ISNUMBER(A753),IFERROR(INDEX(設定!$F$4:$F$27,MATCH(K753,設定!$E$4:$E$27,0)),""),"")</f>
        <v/>
      </c>
    </row>
    <row r="754" customFormat="false" ht="15" hidden="false" customHeight="false" outlineLevel="0" collapsed="false">
      <c r="Z754" s="25" t="str">
        <f aca="false">IF(ISNUMBER(A754),IF(COUNTIF(祝日!$A:$A,A754)&gt;0,"祝",CHOOSE(WEEKDAY(A754,2),"月","火","水","木","金","土","日")),"")</f>
        <v/>
      </c>
      <c r="AA754" s="25" t="str">
        <f aca="false">IF(ISNUMBER(A754),IFERROR(INDEX(集計!$V$3:$V$33,MATCH(A754,集計!$N$3:$N$33,0)),0),"")</f>
        <v/>
      </c>
      <c r="AB754" s="25" t="str">
        <f aca="false">IF(ISNUMBER(A754),IFERROR(INDEX(設定!$F$4:$F$27,MATCH(K754,設定!$E$4:$E$27,0)),""),"")</f>
        <v/>
      </c>
    </row>
    <row r="755" customFormat="false" ht="15" hidden="false" customHeight="false" outlineLevel="0" collapsed="false">
      <c r="Z755" s="25" t="str">
        <f aca="false">IF(ISNUMBER(A755),IF(COUNTIF(祝日!$A:$A,A755)&gt;0,"祝",CHOOSE(WEEKDAY(A755,2),"月","火","水","木","金","土","日")),"")</f>
        <v/>
      </c>
      <c r="AA755" s="25" t="str">
        <f aca="false">IF(ISNUMBER(A755),IFERROR(INDEX(集計!$V$3:$V$33,MATCH(A755,集計!$N$3:$N$33,0)),0),"")</f>
        <v/>
      </c>
      <c r="AB755" s="25" t="str">
        <f aca="false">IF(ISNUMBER(A755),IFERROR(INDEX(設定!$F$4:$F$27,MATCH(K755,設定!$E$4:$E$27,0)),""),"")</f>
        <v/>
      </c>
    </row>
    <row r="756" customFormat="false" ht="15" hidden="false" customHeight="false" outlineLevel="0" collapsed="false">
      <c r="Z756" s="25" t="str">
        <f aca="false">IF(ISNUMBER(A756),IF(COUNTIF(祝日!$A:$A,A756)&gt;0,"祝",CHOOSE(WEEKDAY(A756,2),"月","火","水","木","金","土","日")),"")</f>
        <v/>
      </c>
      <c r="AA756" s="25" t="str">
        <f aca="false">IF(ISNUMBER(A756),IFERROR(INDEX(集計!$V$3:$V$33,MATCH(A756,集計!$N$3:$N$33,0)),0),"")</f>
        <v/>
      </c>
      <c r="AB756" s="25" t="str">
        <f aca="false">IF(ISNUMBER(A756),IFERROR(INDEX(設定!$F$4:$F$27,MATCH(K756,設定!$E$4:$E$27,0)),""),"")</f>
        <v/>
      </c>
    </row>
    <row r="757" customFormat="false" ht="15" hidden="false" customHeight="false" outlineLevel="0" collapsed="false">
      <c r="Z757" s="25" t="str">
        <f aca="false">IF(ISNUMBER(A757),IF(COUNTIF(祝日!$A:$A,A757)&gt;0,"祝",CHOOSE(WEEKDAY(A757,2),"月","火","水","木","金","土","日")),"")</f>
        <v/>
      </c>
      <c r="AA757" s="25" t="str">
        <f aca="false">IF(ISNUMBER(A757),IFERROR(INDEX(集計!$V$3:$V$33,MATCH(A757,集計!$N$3:$N$33,0)),0),"")</f>
        <v/>
      </c>
      <c r="AB757" s="25" t="str">
        <f aca="false">IF(ISNUMBER(A757),IFERROR(INDEX(設定!$F$4:$F$27,MATCH(K757,設定!$E$4:$E$27,0)),""),"")</f>
        <v/>
      </c>
    </row>
    <row r="758" customFormat="false" ht="15" hidden="false" customHeight="false" outlineLevel="0" collapsed="false">
      <c r="Z758" s="25" t="str">
        <f aca="false">IF(ISNUMBER(A758),IF(COUNTIF(祝日!$A:$A,A758)&gt;0,"祝",CHOOSE(WEEKDAY(A758,2),"月","火","水","木","金","土","日")),"")</f>
        <v/>
      </c>
      <c r="AA758" s="25" t="str">
        <f aca="false">IF(ISNUMBER(A758),IFERROR(INDEX(集計!$V$3:$V$33,MATCH(A758,集計!$N$3:$N$33,0)),0),"")</f>
        <v/>
      </c>
      <c r="AB758" s="25" t="str">
        <f aca="false">IF(ISNUMBER(A758),IFERROR(INDEX(設定!$F$4:$F$27,MATCH(K758,設定!$E$4:$E$27,0)),""),"")</f>
        <v/>
      </c>
    </row>
    <row r="759" customFormat="false" ht="15" hidden="false" customHeight="false" outlineLevel="0" collapsed="false">
      <c r="Z759" s="25" t="str">
        <f aca="false">IF(ISNUMBER(A759),IF(COUNTIF(祝日!$A:$A,A759)&gt;0,"祝",CHOOSE(WEEKDAY(A759,2),"月","火","水","木","金","土","日")),"")</f>
        <v/>
      </c>
      <c r="AA759" s="25" t="str">
        <f aca="false">IF(ISNUMBER(A759),IFERROR(INDEX(集計!$V$3:$V$33,MATCH(A759,集計!$N$3:$N$33,0)),0),"")</f>
        <v/>
      </c>
      <c r="AB759" s="25" t="str">
        <f aca="false">IF(ISNUMBER(A759),IFERROR(INDEX(設定!$F$4:$F$27,MATCH(K759,設定!$E$4:$E$27,0)),""),"")</f>
        <v/>
      </c>
    </row>
    <row r="760" customFormat="false" ht="15" hidden="false" customHeight="false" outlineLevel="0" collapsed="false">
      <c r="Z760" s="25" t="str">
        <f aca="false">IF(ISNUMBER(A760),IF(COUNTIF(祝日!$A:$A,A760)&gt;0,"祝",CHOOSE(WEEKDAY(A760,2),"月","火","水","木","金","土","日")),"")</f>
        <v/>
      </c>
      <c r="AA760" s="25" t="str">
        <f aca="false">IF(ISNUMBER(A760),IFERROR(INDEX(集計!$V$3:$V$33,MATCH(A760,集計!$N$3:$N$33,0)),0),"")</f>
        <v/>
      </c>
      <c r="AB760" s="25" t="str">
        <f aca="false">IF(ISNUMBER(A760),IFERROR(INDEX(設定!$F$4:$F$27,MATCH(K760,設定!$E$4:$E$27,0)),""),"")</f>
        <v/>
      </c>
    </row>
    <row r="761" customFormat="false" ht="15" hidden="false" customHeight="false" outlineLevel="0" collapsed="false">
      <c r="Z761" s="25" t="str">
        <f aca="false">IF(ISNUMBER(A761),IF(COUNTIF(祝日!$A:$A,A761)&gt;0,"祝",CHOOSE(WEEKDAY(A761,2),"月","火","水","木","金","土","日")),"")</f>
        <v/>
      </c>
      <c r="AA761" s="25" t="str">
        <f aca="false">IF(ISNUMBER(A761),IFERROR(INDEX(集計!$V$3:$V$33,MATCH(A761,集計!$N$3:$N$33,0)),0),"")</f>
        <v/>
      </c>
      <c r="AB761" s="25" t="str">
        <f aca="false">IF(ISNUMBER(A761),IFERROR(INDEX(設定!$F$4:$F$27,MATCH(K761,設定!$E$4:$E$27,0)),""),"")</f>
        <v/>
      </c>
    </row>
    <row r="762" customFormat="false" ht="15" hidden="false" customHeight="false" outlineLevel="0" collapsed="false">
      <c r="Z762" s="25" t="str">
        <f aca="false">IF(ISNUMBER(A762),IF(COUNTIF(祝日!$A:$A,A762)&gt;0,"祝",CHOOSE(WEEKDAY(A762,2),"月","火","水","木","金","土","日")),"")</f>
        <v/>
      </c>
      <c r="AA762" s="25" t="str">
        <f aca="false">IF(ISNUMBER(A762),IFERROR(INDEX(集計!$V$3:$V$33,MATCH(A762,集計!$N$3:$N$33,0)),0),"")</f>
        <v/>
      </c>
      <c r="AB762" s="25" t="str">
        <f aca="false">IF(ISNUMBER(A762),IFERROR(INDEX(設定!$F$4:$F$27,MATCH(K762,設定!$E$4:$E$27,0)),""),"")</f>
        <v/>
      </c>
    </row>
    <row r="763" customFormat="false" ht="15" hidden="false" customHeight="false" outlineLevel="0" collapsed="false">
      <c r="Z763" s="25" t="str">
        <f aca="false">IF(ISNUMBER(A763),IF(COUNTIF(祝日!$A:$A,A763)&gt;0,"祝",CHOOSE(WEEKDAY(A763,2),"月","火","水","木","金","土","日")),"")</f>
        <v/>
      </c>
      <c r="AA763" s="25" t="str">
        <f aca="false">IF(ISNUMBER(A763),IFERROR(INDEX(集計!$V$3:$V$33,MATCH(A763,集計!$N$3:$N$33,0)),0),"")</f>
        <v/>
      </c>
      <c r="AB763" s="25" t="str">
        <f aca="false">IF(ISNUMBER(A763),IFERROR(INDEX(設定!$F$4:$F$27,MATCH(K763,設定!$E$4:$E$27,0)),""),"")</f>
        <v/>
      </c>
    </row>
    <row r="764" customFormat="false" ht="15" hidden="false" customHeight="false" outlineLevel="0" collapsed="false">
      <c r="Z764" s="25" t="str">
        <f aca="false">IF(ISNUMBER(A764),IF(COUNTIF(祝日!$A:$A,A764)&gt;0,"祝",CHOOSE(WEEKDAY(A764,2),"月","火","水","木","金","土","日")),"")</f>
        <v/>
      </c>
      <c r="AA764" s="25" t="str">
        <f aca="false">IF(ISNUMBER(A764),IFERROR(INDEX(集計!$V$3:$V$33,MATCH(A764,集計!$N$3:$N$33,0)),0),"")</f>
        <v/>
      </c>
      <c r="AB764" s="25" t="str">
        <f aca="false">IF(ISNUMBER(A764),IFERROR(INDEX(設定!$F$4:$F$27,MATCH(K764,設定!$E$4:$E$27,0)),""),"")</f>
        <v/>
      </c>
    </row>
    <row r="765" customFormat="false" ht="15" hidden="false" customHeight="false" outlineLevel="0" collapsed="false">
      <c r="Z765" s="25" t="str">
        <f aca="false">IF(ISNUMBER(A765),IF(COUNTIF(祝日!$A:$A,A765)&gt;0,"祝",CHOOSE(WEEKDAY(A765,2),"月","火","水","木","金","土","日")),"")</f>
        <v/>
      </c>
      <c r="AA765" s="25" t="str">
        <f aca="false">IF(ISNUMBER(A765),IFERROR(INDEX(集計!$V$3:$V$33,MATCH(A765,集計!$N$3:$N$33,0)),0),"")</f>
        <v/>
      </c>
      <c r="AB765" s="25" t="str">
        <f aca="false">IF(ISNUMBER(A765),IFERROR(INDEX(設定!$F$4:$F$27,MATCH(K765,設定!$E$4:$E$27,0)),""),"")</f>
        <v/>
      </c>
    </row>
    <row r="766" customFormat="false" ht="15" hidden="false" customHeight="false" outlineLevel="0" collapsed="false">
      <c r="Z766" s="25" t="str">
        <f aca="false">IF(ISNUMBER(A766),IF(COUNTIF(祝日!$A:$A,A766)&gt;0,"祝",CHOOSE(WEEKDAY(A766,2),"月","火","水","木","金","土","日")),"")</f>
        <v/>
      </c>
      <c r="AA766" s="25" t="str">
        <f aca="false">IF(ISNUMBER(A766),IFERROR(INDEX(集計!$V$3:$V$33,MATCH(A766,集計!$N$3:$N$33,0)),0),"")</f>
        <v/>
      </c>
      <c r="AB766" s="25" t="str">
        <f aca="false">IF(ISNUMBER(A766),IFERROR(INDEX(設定!$F$4:$F$27,MATCH(K766,設定!$E$4:$E$27,0)),""),"")</f>
        <v/>
      </c>
    </row>
    <row r="767" customFormat="false" ht="15" hidden="false" customHeight="false" outlineLevel="0" collapsed="false">
      <c r="Z767" s="25" t="str">
        <f aca="false">IF(ISNUMBER(A767),IF(COUNTIF(祝日!$A:$A,A767)&gt;0,"祝",CHOOSE(WEEKDAY(A767,2),"月","火","水","木","金","土","日")),"")</f>
        <v/>
      </c>
      <c r="AA767" s="25" t="str">
        <f aca="false">IF(ISNUMBER(A767),IFERROR(INDEX(集計!$V$3:$V$33,MATCH(A767,集計!$N$3:$N$33,0)),0),"")</f>
        <v/>
      </c>
      <c r="AB767" s="25" t="str">
        <f aca="false">IF(ISNUMBER(A767),IFERROR(INDEX(設定!$F$4:$F$27,MATCH(K767,設定!$E$4:$E$27,0)),""),"")</f>
        <v/>
      </c>
    </row>
    <row r="768" customFormat="false" ht="15" hidden="false" customHeight="false" outlineLevel="0" collapsed="false">
      <c r="Z768" s="25" t="str">
        <f aca="false">IF(ISNUMBER(A768),IF(COUNTIF(祝日!$A:$A,A768)&gt;0,"祝",CHOOSE(WEEKDAY(A768,2),"月","火","水","木","金","土","日")),"")</f>
        <v/>
      </c>
      <c r="AA768" s="25" t="str">
        <f aca="false">IF(ISNUMBER(A768),IFERROR(INDEX(集計!$V$3:$V$33,MATCH(A768,集計!$N$3:$N$33,0)),0),"")</f>
        <v/>
      </c>
      <c r="AB768" s="25" t="str">
        <f aca="false">IF(ISNUMBER(A768),IFERROR(INDEX(設定!$F$4:$F$27,MATCH(K768,設定!$E$4:$E$27,0)),""),"")</f>
        <v/>
      </c>
    </row>
    <row r="769" customFormat="false" ht="15" hidden="false" customHeight="false" outlineLevel="0" collapsed="false">
      <c r="Z769" s="25" t="str">
        <f aca="false">IF(ISNUMBER(A769),IF(COUNTIF(祝日!$A:$A,A769)&gt;0,"祝",CHOOSE(WEEKDAY(A769,2),"月","火","水","木","金","土","日")),"")</f>
        <v/>
      </c>
      <c r="AA769" s="25" t="str">
        <f aca="false">IF(ISNUMBER(A769),IFERROR(INDEX(集計!$V$3:$V$33,MATCH(A769,集計!$N$3:$N$33,0)),0),"")</f>
        <v/>
      </c>
      <c r="AB769" s="25" t="str">
        <f aca="false">IF(ISNUMBER(A769),IFERROR(INDEX(設定!$F$4:$F$27,MATCH(K769,設定!$E$4:$E$27,0)),""),"")</f>
        <v/>
      </c>
    </row>
    <row r="770" customFormat="false" ht="15" hidden="false" customHeight="false" outlineLevel="0" collapsed="false">
      <c r="Z770" s="25" t="str">
        <f aca="false">IF(ISNUMBER(A770),IF(COUNTIF(祝日!$A:$A,A770)&gt;0,"祝",CHOOSE(WEEKDAY(A770,2),"月","火","水","木","金","土","日")),"")</f>
        <v/>
      </c>
      <c r="AA770" s="25" t="str">
        <f aca="false">IF(ISNUMBER(A770),IFERROR(INDEX(集計!$V$3:$V$33,MATCH(A770,集計!$N$3:$N$33,0)),0),"")</f>
        <v/>
      </c>
      <c r="AB770" s="25" t="str">
        <f aca="false">IF(ISNUMBER(A770),IFERROR(INDEX(設定!$F$4:$F$27,MATCH(K770,設定!$E$4:$E$27,0)),""),"")</f>
        <v/>
      </c>
    </row>
    <row r="771" customFormat="false" ht="15" hidden="false" customHeight="false" outlineLevel="0" collapsed="false">
      <c r="Z771" s="25" t="str">
        <f aca="false">IF(ISNUMBER(A771),IF(COUNTIF(祝日!$A:$A,A771)&gt;0,"祝",CHOOSE(WEEKDAY(A771,2),"月","火","水","木","金","土","日")),"")</f>
        <v/>
      </c>
      <c r="AA771" s="25" t="str">
        <f aca="false">IF(ISNUMBER(A771),IFERROR(INDEX(集計!$V$3:$V$33,MATCH(A771,集計!$N$3:$N$33,0)),0),"")</f>
        <v/>
      </c>
      <c r="AB771" s="25" t="str">
        <f aca="false">IF(ISNUMBER(A771),IFERROR(INDEX(設定!$F$4:$F$27,MATCH(K771,設定!$E$4:$E$27,0)),""),"")</f>
        <v/>
      </c>
    </row>
    <row r="772" customFormat="false" ht="15" hidden="false" customHeight="false" outlineLevel="0" collapsed="false">
      <c r="Z772" s="25" t="str">
        <f aca="false">IF(ISNUMBER(A772),IF(COUNTIF(祝日!$A:$A,A772)&gt;0,"祝",CHOOSE(WEEKDAY(A772,2),"月","火","水","木","金","土","日")),"")</f>
        <v/>
      </c>
      <c r="AA772" s="25" t="str">
        <f aca="false">IF(ISNUMBER(A772),IFERROR(INDEX(集計!$V$3:$V$33,MATCH(A772,集計!$N$3:$N$33,0)),0),"")</f>
        <v/>
      </c>
      <c r="AB772" s="25" t="str">
        <f aca="false">IF(ISNUMBER(A772),IFERROR(INDEX(設定!$F$4:$F$27,MATCH(K772,設定!$E$4:$E$27,0)),""),"")</f>
        <v/>
      </c>
    </row>
    <row r="773" customFormat="false" ht="15" hidden="false" customHeight="false" outlineLevel="0" collapsed="false">
      <c r="Z773" s="25" t="str">
        <f aca="false">IF(ISNUMBER(A773),IF(COUNTIF(祝日!$A:$A,A773)&gt;0,"祝",CHOOSE(WEEKDAY(A773,2),"月","火","水","木","金","土","日")),"")</f>
        <v/>
      </c>
      <c r="AA773" s="25" t="str">
        <f aca="false">IF(ISNUMBER(A773),IFERROR(INDEX(集計!$V$3:$V$33,MATCH(A773,集計!$N$3:$N$33,0)),0),"")</f>
        <v/>
      </c>
      <c r="AB773" s="25" t="str">
        <f aca="false">IF(ISNUMBER(A773),IFERROR(INDEX(設定!$F$4:$F$27,MATCH(K773,設定!$E$4:$E$27,0)),""),"")</f>
        <v/>
      </c>
    </row>
    <row r="774" customFormat="false" ht="15" hidden="false" customHeight="false" outlineLevel="0" collapsed="false">
      <c r="Z774" s="25" t="str">
        <f aca="false">IF(ISNUMBER(A774),IF(COUNTIF(祝日!$A:$A,A774)&gt;0,"祝",CHOOSE(WEEKDAY(A774,2),"月","火","水","木","金","土","日")),"")</f>
        <v/>
      </c>
      <c r="AA774" s="25" t="str">
        <f aca="false">IF(ISNUMBER(A774),IFERROR(INDEX(集計!$V$3:$V$33,MATCH(A774,集計!$N$3:$N$33,0)),0),"")</f>
        <v/>
      </c>
      <c r="AB774" s="25" t="str">
        <f aca="false">IF(ISNUMBER(A774),IFERROR(INDEX(設定!$F$4:$F$27,MATCH(K774,設定!$E$4:$E$27,0)),""),"")</f>
        <v/>
      </c>
    </row>
    <row r="775" customFormat="false" ht="15" hidden="false" customHeight="false" outlineLevel="0" collapsed="false">
      <c r="Z775" s="25" t="str">
        <f aca="false">IF(ISNUMBER(A775),IF(COUNTIF(祝日!$A:$A,A775)&gt;0,"祝",CHOOSE(WEEKDAY(A775,2),"月","火","水","木","金","土","日")),"")</f>
        <v/>
      </c>
      <c r="AA775" s="25" t="str">
        <f aca="false">IF(ISNUMBER(A775),IFERROR(INDEX(集計!$V$3:$V$33,MATCH(A775,集計!$N$3:$N$33,0)),0),"")</f>
        <v/>
      </c>
      <c r="AB775" s="25" t="str">
        <f aca="false">IF(ISNUMBER(A775),IFERROR(INDEX(設定!$F$4:$F$27,MATCH(K775,設定!$E$4:$E$27,0)),""),"")</f>
        <v/>
      </c>
    </row>
    <row r="776" customFormat="false" ht="15" hidden="false" customHeight="false" outlineLevel="0" collapsed="false">
      <c r="Z776" s="25" t="str">
        <f aca="false">IF(ISNUMBER(A776),IF(COUNTIF(祝日!$A:$A,A776)&gt;0,"祝",CHOOSE(WEEKDAY(A776,2),"月","火","水","木","金","土","日")),"")</f>
        <v/>
      </c>
      <c r="AA776" s="25" t="str">
        <f aca="false">IF(ISNUMBER(A776),IFERROR(INDEX(集計!$V$3:$V$33,MATCH(A776,集計!$N$3:$N$33,0)),0),"")</f>
        <v/>
      </c>
      <c r="AB776" s="25" t="str">
        <f aca="false">IF(ISNUMBER(A776),IFERROR(INDEX(設定!$F$4:$F$27,MATCH(K776,設定!$E$4:$E$27,0)),""),"")</f>
        <v/>
      </c>
    </row>
    <row r="777" customFormat="false" ht="15" hidden="false" customHeight="false" outlineLevel="0" collapsed="false">
      <c r="Z777" s="25" t="str">
        <f aca="false">IF(ISNUMBER(A777),IF(COUNTIF(祝日!$A:$A,A777)&gt;0,"祝",CHOOSE(WEEKDAY(A777,2),"月","火","水","木","金","土","日")),"")</f>
        <v/>
      </c>
      <c r="AA777" s="25" t="str">
        <f aca="false">IF(ISNUMBER(A777),IFERROR(INDEX(集計!$V$3:$V$33,MATCH(A777,集計!$N$3:$N$33,0)),0),"")</f>
        <v/>
      </c>
      <c r="AB777" s="25" t="str">
        <f aca="false">IF(ISNUMBER(A777),IFERROR(INDEX(設定!$F$4:$F$27,MATCH(K777,設定!$E$4:$E$27,0)),""),"")</f>
        <v/>
      </c>
    </row>
    <row r="778" customFormat="false" ht="15" hidden="false" customHeight="false" outlineLevel="0" collapsed="false">
      <c r="Z778" s="25" t="str">
        <f aca="false">IF(ISNUMBER(A778),IF(COUNTIF(祝日!$A:$A,A778)&gt;0,"祝",CHOOSE(WEEKDAY(A778,2),"月","火","水","木","金","土","日")),"")</f>
        <v/>
      </c>
      <c r="AA778" s="25" t="str">
        <f aca="false">IF(ISNUMBER(A778),IFERROR(INDEX(集計!$V$3:$V$33,MATCH(A778,集計!$N$3:$N$33,0)),0),"")</f>
        <v/>
      </c>
      <c r="AB778" s="25" t="str">
        <f aca="false">IF(ISNUMBER(A778),IFERROR(INDEX(設定!$F$4:$F$27,MATCH(K778,設定!$E$4:$E$27,0)),""),"")</f>
        <v/>
      </c>
    </row>
    <row r="779" customFormat="false" ht="15" hidden="false" customHeight="false" outlineLevel="0" collapsed="false">
      <c r="Z779" s="25" t="str">
        <f aca="false">IF(ISNUMBER(A779),IF(COUNTIF(祝日!$A:$A,A779)&gt;0,"祝",CHOOSE(WEEKDAY(A779,2),"月","火","水","木","金","土","日")),"")</f>
        <v/>
      </c>
      <c r="AA779" s="25" t="str">
        <f aca="false">IF(ISNUMBER(A779),IFERROR(INDEX(集計!$V$3:$V$33,MATCH(A779,集計!$N$3:$N$33,0)),0),"")</f>
        <v/>
      </c>
      <c r="AB779" s="25" t="str">
        <f aca="false">IF(ISNUMBER(A779),IFERROR(INDEX(設定!$F$4:$F$27,MATCH(K779,設定!$E$4:$E$27,0)),""),"")</f>
        <v/>
      </c>
    </row>
    <row r="780" customFormat="false" ht="15" hidden="false" customHeight="false" outlineLevel="0" collapsed="false">
      <c r="Z780" s="25" t="str">
        <f aca="false">IF(ISNUMBER(A780),IF(COUNTIF(祝日!$A:$A,A780)&gt;0,"祝",CHOOSE(WEEKDAY(A780,2),"月","火","水","木","金","土","日")),"")</f>
        <v/>
      </c>
      <c r="AA780" s="25" t="str">
        <f aca="false">IF(ISNUMBER(A780),IFERROR(INDEX(集計!$V$3:$V$33,MATCH(A780,集計!$N$3:$N$33,0)),0),"")</f>
        <v/>
      </c>
      <c r="AB780" s="25" t="str">
        <f aca="false">IF(ISNUMBER(A780),IFERROR(INDEX(設定!$F$4:$F$27,MATCH(K780,設定!$E$4:$E$27,0)),""),"")</f>
        <v/>
      </c>
    </row>
    <row r="781" customFormat="false" ht="15" hidden="false" customHeight="false" outlineLevel="0" collapsed="false">
      <c r="Z781" s="25" t="str">
        <f aca="false">IF(ISNUMBER(A781),IF(COUNTIF(祝日!$A:$A,A781)&gt;0,"祝",CHOOSE(WEEKDAY(A781,2),"月","火","水","木","金","土","日")),"")</f>
        <v/>
      </c>
      <c r="AA781" s="25" t="str">
        <f aca="false">IF(ISNUMBER(A781),IFERROR(INDEX(集計!$V$3:$V$33,MATCH(A781,集計!$N$3:$N$33,0)),0),"")</f>
        <v/>
      </c>
      <c r="AB781" s="25" t="str">
        <f aca="false">IF(ISNUMBER(A781),IFERROR(INDEX(設定!$F$4:$F$27,MATCH(K781,設定!$E$4:$E$27,0)),""),"")</f>
        <v/>
      </c>
    </row>
    <row r="782" customFormat="false" ht="15" hidden="false" customHeight="false" outlineLevel="0" collapsed="false">
      <c r="Z782" s="25" t="str">
        <f aca="false">IF(ISNUMBER(A782),IF(COUNTIF(祝日!$A:$A,A782)&gt;0,"祝",CHOOSE(WEEKDAY(A782,2),"月","火","水","木","金","土","日")),"")</f>
        <v/>
      </c>
      <c r="AA782" s="25" t="str">
        <f aca="false">IF(ISNUMBER(A782),IFERROR(INDEX(集計!$V$3:$V$33,MATCH(A782,集計!$N$3:$N$33,0)),0),"")</f>
        <v/>
      </c>
      <c r="AB782" s="25" t="str">
        <f aca="false">IF(ISNUMBER(A782),IFERROR(INDEX(設定!$F$4:$F$27,MATCH(K782,設定!$E$4:$E$27,0)),""),"")</f>
        <v/>
      </c>
    </row>
    <row r="783" customFormat="false" ht="15" hidden="false" customHeight="false" outlineLevel="0" collapsed="false">
      <c r="Z783" s="25" t="str">
        <f aca="false">IF(ISNUMBER(A783),IF(COUNTIF(祝日!$A:$A,A783)&gt;0,"祝",CHOOSE(WEEKDAY(A783,2),"月","火","水","木","金","土","日")),"")</f>
        <v/>
      </c>
      <c r="AA783" s="25" t="str">
        <f aca="false">IF(ISNUMBER(A783),IFERROR(INDEX(集計!$V$3:$V$33,MATCH(A783,集計!$N$3:$N$33,0)),0),"")</f>
        <v/>
      </c>
      <c r="AB783" s="25" t="str">
        <f aca="false">IF(ISNUMBER(A783),IFERROR(INDEX(設定!$F$4:$F$27,MATCH(K783,設定!$E$4:$E$27,0)),""),"")</f>
        <v/>
      </c>
    </row>
    <row r="784" customFormat="false" ht="15" hidden="false" customHeight="false" outlineLevel="0" collapsed="false">
      <c r="Z784" s="25" t="str">
        <f aca="false">IF(ISNUMBER(A784),IF(COUNTIF(祝日!$A:$A,A784)&gt;0,"祝",CHOOSE(WEEKDAY(A784,2),"月","火","水","木","金","土","日")),"")</f>
        <v/>
      </c>
      <c r="AA784" s="25" t="str">
        <f aca="false">IF(ISNUMBER(A784),IFERROR(INDEX(集計!$V$3:$V$33,MATCH(A784,集計!$N$3:$N$33,0)),0),"")</f>
        <v/>
      </c>
      <c r="AB784" s="25" t="str">
        <f aca="false">IF(ISNUMBER(A784),IFERROR(INDEX(設定!$F$4:$F$27,MATCH(K784,設定!$E$4:$E$27,0)),""),"")</f>
        <v/>
      </c>
    </row>
    <row r="785" customFormat="false" ht="15" hidden="false" customHeight="false" outlineLevel="0" collapsed="false">
      <c r="Z785" s="25" t="str">
        <f aca="false">IF(ISNUMBER(A785),IF(COUNTIF(祝日!$A:$A,A785)&gt;0,"祝",CHOOSE(WEEKDAY(A785,2),"月","火","水","木","金","土","日")),"")</f>
        <v/>
      </c>
      <c r="AA785" s="25" t="str">
        <f aca="false">IF(ISNUMBER(A785),IFERROR(INDEX(集計!$V$3:$V$33,MATCH(A785,集計!$N$3:$N$33,0)),0),"")</f>
        <v/>
      </c>
      <c r="AB785" s="25" t="str">
        <f aca="false">IF(ISNUMBER(A785),IFERROR(INDEX(設定!$F$4:$F$27,MATCH(K785,設定!$E$4:$E$27,0)),""),"")</f>
        <v/>
      </c>
    </row>
    <row r="786" customFormat="false" ht="15" hidden="false" customHeight="false" outlineLevel="0" collapsed="false">
      <c r="Z786" s="25" t="str">
        <f aca="false">IF(ISNUMBER(A786),IF(COUNTIF(祝日!$A:$A,A786)&gt;0,"祝",CHOOSE(WEEKDAY(A786,2),"月","火","水","木","金","土","日")),"")</f>
        <v/>
      </c>
      <c r="AA786" s="25" t="str">
        <f aca="false">IF(ISNUMBER(A786),IFERROR(INDEX(集計!$V$3:$V$33,MATCH(A786,集計!$N$3:$N$33,0)),0),"")</f>
        <v/>
      </c>
      <c r="AB786" s="25" t="str">
        <f aca="false">IF(ISNUMBER(A786),IFERROR(INDEX(設定!$F$4:$F$27,MATCH(K786,設定!$E$4:$E$27,0)),""),"")</f>
        <v/>
      </c>
    </row>
    <row r="787" customFormat="false" ht="15" hidden="false" customHeight="false" outlineLevel="0" collapsed="false">
      <c r="Z787" s="25" t="str">
        <f aca="false">IF(ISNUMBER(A787),IF(COUNTIF(祝日!$A:$A,A787)&gt;0,"祝",CHOOSE(WEEKDAY(A787,2),"月","火","水","木","金","土","日")),"")</f>
        <v/>
      </c>
      <c r="AA787" s="25" t="str">
        <f aca="false">IF(ISNUMBER(A787),IFERROR(INDEX(集計!$V$3:$V$33,MATCH(A787,集計!$N$3:$N$33,0)),0),"")</f>
        <v/>
      </c>
      <c r="AB787" s="25" t="str">
        <f aca="false">IF(ISNUMBER(A787),IFERROR(INDEX(設定!$F$4:$F$27,MATCH(K787,設定!$E$4:$E$27,0)),""),"")</f>
        <v/>
      </c>
    </row>
    <row r="788" customFormat="false" ht="15" hidden="false" customHeight="false" outlineLevel="0" collapsed="false">
      <c r="Z788" s="25" t="str">
        <f aca="false">IF(ISNUMBER(A788),IF(COUNTIF(祝日!$A:$A,A788)&gt;0,"祝",CHOOSE(WEEKDAY(A788,2),"月","火","水","木","金","土","日")),"")</f>
        <v/>
      </c>
      <c r="AA788" s="25" t="str">
        <f aca="false">IF(ISNUMBER(A788),IFERROR(INDEX(集計!$V$3:$V$33,MATCH(A788,集計!$N$3:$N$33,0)),0),"")</f>
        <v/>
      </c>
      <c r="AB788" s="25" t="str">
        <f aca="false">IF(ISNUMBER(A788),IFERROR(INDEX(設定!$F$4:$F$27,MATCH(K788,設定!$E$4:$E$27,0)),""),"")</f>
        <v/>
      </c>
    </row>
    <row r="789" customFormat="false" ht="15" hidden="false" customHeight="false" outlineLevel="0" collapsed="false">
      <c r="Z789" s="25" t="str">
        <f aca="false">IF(ISNUMBER(A789),IF(COUNTIF(祝日!$A:$A,A789)&gt;0,"祝",CHOOSE(WEEKDAY(A789,2),"月","火","水","木","金","土","日")),"")</f>
        <v/>
      </c>
      <c r="AA789" s="25" t="str">
        <f aca="false">IF(ISNUMBER(A789),IFERROR(INDEX(集計!$V$3:$V$33,MATCH(A789,集計!$N$3:$N$33,0)),0),"")</f>
        <v/>
      </c>
      <c r="AB789" s="25" t="str">
        <f aca="false">IF(ISNUMBER(A789),IFERROR(INDEX(設定!$F$4:$F$27,MATCH(K789,設定!$E$4:$E$27,0)),""),"")</f>
        <v/>
      </c>
    </row>
    <row r="790" customFormat="false" ht="15" hidden="false" customHeight="false" outlineLevel="0" collapsed="false">
      <c r="Z790" s="25" t="str">
        <f aca="false">IF(ISNUMBER(A790),IF(COUNTIF(祝日!$A:$A,A790)&gt;0,"祝",CHOOSE(WEEKDAY(A790,2),"月","火","水","木","金","土","日")),"")</f>
        <v/>
      </c>
      <c r="AA790" s="25" t="str">
        <f aca="false">IF(ISNUMBER(A790),IFERROR(INDEX(集計!$V$3:$V$33,MATCH(A790,集計!$N$3:$N$33,0)),0),"")</f>
        <v/>
      </c>
      <c r="AB790" s="25" t="str">
        <f aca="false">IF(ISNUMBER(A790),IFERROR(INDEX(設定!$F$4:$F$27,MATCH(K790,設定!$E$4:$E$27,0)),""),"")</f>
        <v/>
      </c>
    </row>
    <row r="791" customFormat="false" ht="15" hidden="false" customHeight="false" outlineLevel="0" collapsed="false">
      <c r="Z791" s="25" t="str">
        <f aca="false">IF(ISNUMBER(A791),IF(COUNTIF(祝日!$A:$A,A791)&gt;0,"祝",CHOOSE(WEEKDAY(A791,2),"月","火","水","木","金","土","日")),"")</f>
        <v/>
      </c>
      <c r="AA791" s="25" t="str">
        <f aca="false">IF(ISNUMBER(A791),IFERROR(INDEX(集計!$V$3:$V$33,MATCH(A791,集計!$N$3:$N$33,0)),0),"")</f>
        <v/>
      </c>
      <c r="AB791" s="25" t="str">
        <f aca="false">IF(ISNUMBER(A791),IFERROR(INDEX(設定!$F$4:$F$27,MATCH(K791,設定!$E$4:$E$27,0)),""),"")</f>
        <v/>
      </c>
    </row>
    <row r="792" customFormat="false" ht="15" hidden="false" customHeight="false" outlineLevel="0" collapsed="false">
      <c r="Z792" s="25" t="str">
        <f aca="false">IF(ISNUMBER(A792),IF(COUNTIF(祝日!$A:$A,A792)&gt;0,"祝",CHOOSE(WEEKDAY(A792,2),"月","火","水","木","金","土","日")),"")</f>
        <v/>
      </c>
      <c r="AA792" s="25" t="str">
        <f aca="false">IF(ISNUMBER(A792),IFERROR(INDEX(集計!$V$3:$V$33,MATCH(A792,集計!$N$3:$N$33,0)),0),"")</f>
        <v/>
      </c>
      <c r="AB792" s="25" t="str">
        <f aca="false">IF(ISNUMBER(A792),IFERROR(INDEX(設定!$F$4:$F$27,MATCH(K792,設定!$E$4:$E$27,0)),""),"")</f>
        <v/>
      </c>
    </row>
    <row r="793" customFormat="false" ht="15" hidden="false" customHeight="false" outlineLevel="0" collapsed="false">
      <c r="Z793" s="25" t="str">
        <f aca="false">IF(ISNUMBER(A793),IF(COUNTIF(祝日!$A:$A,A793)&gt;0,"祝",CHOOSE(WEEKDAY(A793,2),"月","火","水","木","金","土","日")),"")</f>
        <v/>
      </c>
      <c r="AA793" s="25" t="str">
        <f aca="false">IF(ISNUMBER(A793),IFERROR(INDEX(集計!$V$3:$V$33,MATCH(A793,集計!$N$3:$N$33,0)),0),"")</f>
        <v/>
      </c>
      <c r="AB793" s="25" t="str">
        <f aca="false">IF(ISNUMBER(A793),IFERROR(INDEX(設定!$F$4:$F$27,MATCH(K793,設定!$E$4:$E$27,0)),""),"")</f>
        <v/>
      </c>
    </row>
    <row r="794" customFormat="false" ht="15" hidden="false" customHeight="false" outlineLevel="0" collapsed="false">
      <c r="Z794" s="25" t="str">
        <f aca="false">IF(ISNUMBER(A794),IF(COUNTIF(祝日!$A:$A,A794)&gt;0,"祝",CHOOSE(WEEKDAY(A794,2),"月","火","水","木","金","土","日")),"")</f>
        <v/>
      </c>
      <c r="AA794" s="25" t="str">
        <f aca="false">IF(ISNUMBER(A794),IFERROR(INDEX(集計!$V$3:$V$33,MATCH(A794,集計!$N$3:$N$33,0)),0),"")</f>
        <v/>
      </c>
      <c r="AB794" s="25" t="str">
        <f aca="false">IF(ISNUMBER(A794),IFERROR(INDEX(設定!$F$4:$F$27,MATCH(K794,設定!$E$4:$E$27,0)),""),"")</f>
        <v/>
      </c>
    </row>
    <row r="795" customFormat="false" ht="15" hidden="false" customHeight="false" outlineLevel="0" collapsed="false">
      <c r="Z795" s="25" t="str">
        <f aca="false">IF(ISNUMBER(A795),IF(COUNTIF(祝日!$A:$A,A795)&gt;0,"祝",CHOOSE(WEEKDAY(A795,2),"月","火","水","木","金","土","日")),"")</f>
        <v/>
      </c>
      <c r="AA795" s="25" t="str">
        <f aca="false">IF(ISNUMBER(A795),IFERROR(INDEX(集計!$V$3:$V$33,MATCH(A795,集計!$N$3:$N$33,0)),0),"")</f>
        <v/>
      </c>
      <c r="AB795" s="25" t="str">
        <f aca="false">IF(ISNUMBER(A795),IFERROR(INDEX(設定!$F$4:$F$27,MATCH(K795,設定!$E$4:$E$27,0)),""),"")</f>
        <v/>
      </c>
    </row>
    <row r="796" customFormat="false" ht="15" hidden="false" customHeight="false" outlineLevel="0" collapsed="false">
      <c r="Z796" s="25" t="str">
        <f aca="false">IF(ISNUMBER(A796),IF(COUNTIF(祝日!$A:$A,A796)&gt;0,"祝",CHOOSE(WEEKDAY(A796,2),"月","火","水","木","金","土","日")),"")</f>
        <v/>
      </c>
      <c r="AA796" s="25" t="str">
        <f aca="false">IF(ISNUMBER(A796),IFERROR(INDEX(集計!$V$3:$V$33,MATCH(A796,集計!$N$3:$N$33,0)),0),"")</f>
        <v/>
      </c>
      <c r="AB796" s="25" t="str">
        <f aca="false">IF(ISNUMBER(A796),IFERROR(INDEX(設定!$F$4:$F$27,MATCH(K796,設定!$E$4:$E$27,0)),""),"")</f>
        <v/>
      </c>
    </row>
    <row r="797" customFormat="false" ht="15" hidden="false" customHeight="false" outlineLevel="0" collapsed="false">
      <c r="Z797" s="25" t="str">
        <f aca="false">IF(ISNUMBER(A797),IF(COUNTIF(祝日!$A:$A,A797)&gt;0,"祝",CHOOSE(WEEKDAY(A797,2),"月","火","水","木","金","土","日")),"")</f>
        <v/>
      </c>
      <c r="AA797" s="25" t="str">
        <f aca="false">IF(ISNUMBER(A797),IFERROR(INDEX(集計!$V$3:$V$33,MATCH(A797,集計!$N$3:$N$33,0)),0),"")</f>
        <v/>
      </c>
      <c r="AB797" s="25" t="str">
        <f aca="false">IF(ISNUMBER(A797),IFERROR(INDEX(設定!$F$4:$F$27,MATCH(K797,設定!$E$4:$E$27,0)),""),"")</f>
        <v/>
      </c>
    </row>
    <row r="798" customFormat="false" ht="15" hidden="false" customHeight="false" outlineLevel="0" collapsed="false">
      <c r="Z798" s="25" t="str">
        <f aca="false">IF(ISNUMBER(A798),IF(COUNTIF(祝日!$A:$A,A798)&gt;0,"祝",CHOOSE(WEEKDAY(A798,2),"月","火","水","木","金","土","日")),"")</f>
        <v/>
      </c>
      <c r="AA798" s="25" t="str">
        <f aca="false">IF(ISNUMBER(A798),IFERROR(INDEX(集計!$V$3:$V$33,MATCH(A798,集計!$N$3:$N$33,0)),0),"")</f>
        <v/>
      </c>
      <c r="AB798" s="25" t="str">
        <f aca="false">IF(ISNUMBER(A798),IFERROR(INDEX(設定!$F$4:$F$27,MATCH(K798,設定!$E$4:$E$27,0)),""),"")</f>
        <v/>
      </c>
    </row>
    <row r="799" customFormat="false" ht="15" hidden="false" customHeight="false" outlineLevel="0" collapsed="false">
      <c r="Z799" s="25" t="str">
        <f aca="false">IF(ISNUMBER(A799),IF(COUNTIF(祝日!$A:$A,A799)&gt;0,"祝",CHOOSE(WEEKDAY(A799,2),"月","火","水","木","金","土","日")),"")</f>
        <v/>
      </c>
      <c r="AA799" s="25" t="str">
        <f aca="false">IF(ISNUMBER(A799),IFERROR(INDEX(集計!$V$3:$V$33,MATCH(A799,集計!$N$3:$N$33,0)),0),"")</f>
        <v/>
      </c>
      <c r="AB799" s="25" t="str">
        <f aca="false">IF(ISNUMBER(A799),IFERROR(INDEX(設定!$F$4:$F$27,MATCH(K799,設定!$E$4:$E$27,0)),""),"")</f>
        <v/>
      </c>
    </row>
    <row r="800" customFormat="false" ht="15" hidden="false" customHeight="false" outlineLevel="0" collapsed="false">
      <c r="Z800" s="25" t="str">
        <f aca="false">IF(ISNUMBER(A800),IF(COUNTIF(祝日!$A:$A,A800)&gt;0,"祝",CHOOSE(WEEKDAY(A800,2),"月","火","水","木","金","土","日")),"")</f>
        <v/>
      </c>
      <c r="AA800" s="25" t="str">
        <f aca="false">IF(ISNUMBER(A800),IFERROR(INDEX(集計!$V$3:$V$33,MATCH(A800,集計!$N$3:$N$33,0)),0),"")</f>
        <v/>
      </c>
      <c r="AB800" s="25" t="str">
        <f aca="false">IF(ISNUMBER(A800),IFERROR(INDEX(設定!$F$4:$F$27,MATCH(K800,設定!$E$4:$E$27,0)),""),"")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C8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26" min="26" style="0" width="14"/>
  </cols>
  <sheetData>
    <row r="1" customFormat="false" ht="15" hidden="false" customHeight="false" outlineLevel="0" collapsed="false">
      <c r="A1" s="48" t="s">
        <v>152</v>
      </c>
      <c r="Z1" s="49" t="s">
        <v>148</v>
      </c>
      <c r="AC1" s="32" t="s">
        <v>153</v>
      </c>
    </row>
    <row r="2" customFormat="false" ht="15" hidden="false" customHeight="false" outlineLevel="0" collapsed="false">
      <c r="Z2" s="25" t="str">
        <f aca="false">IF(ISNUMBER(A2),IF(COUNTIF(祝日!$A:$A,A2)&gt;0,"祝",CHOOSE(WEEKDAY(A2,2),"月","火","水","木","金","土","日")),"")</f>
        <v/>
      </c>
    </row>
    <row r="3" customFormat="false" ht="15" hidden="false" customHeight="false" outlineLevel="0" collapsed="false">
      <c r="Z3" s="25" t="str">
        <f aca="false">IF(ISNUMBER(A3),IF(COUNTIF(祝日!$A:$A,A3)&gt;0,"祝",CHOOSE(WEEKDAY(A3,2),"月","火","水","木","金","土","日")),"")</f>
        <v/>
      </c>
    </row>
    <row r="4" customFormat="false" ht="15" hidden="false" customHeight="false" outlineLevel="0" collapsed="false">
      <c r="Z4" s="25" t="str">
        <f aca="false">IF(ISNUMBER(A4),IF(COUNTIF(祝日!$A:$A,A4)&gt;0,"祝",CHOOSE(WEEKDAY(A4,2),"月","火","水","木","金","土","日")),"")</f>
        <v/>
      </c>
    </row>
    <row r="5" customFormat="false" ht="15" hidden="false" customHeight="false" outlineLevel="0" collapsed="false">
      <c r="Z5" s="25" t="str">
        <f aca="false">IF(ISNUMBER(A5),IF(COUNTIF(祝日!$A:$A,A5)&gt;0,"祝",CHOOSE(WEEKDAY(A5,2),"月","火","水","木","金","土","日")),"")</f>
        <v/>
      </c>
    </row>
    <row r="6" customFormat="false" ht="15" hidden="false" customHeight="false" outlineLevel="0" collapsed="false">
      <c r="Z6" s="25" t="str">
        <f aca="false">IF(ISNUMBER(A6),IF(COUNTIF(祝日!$A:$A,A6)&gt;0,"祝",CHOOSE(WEEKDAY(A6,2),"月","火","水","木","金","土","日")),"")</f>
        <v/>
      </c>
    </row>
    <row r="7" customFormat="false" ht="15" hidden="false" customHeight="false" outlineLevel="0" collapsed="false">
      <c r="Z7" s="25" t="str">
        <f aca="false">IF(ISNUMBER(A7),IF(COUNTIF(祝日!$A:$A,A7)&gt;0,"祝",CHOOSE(WEEKDAY(A7,2),"月","火","水","木","金","土","日")),"")</f>
        <v/>
      </c>
    </row>
    <row r="8" customFormat="false" ht="15" hidden="false" customHeight="false" outlineLevel="0" collapsed="false">
      <c r="Z8" s="25" t="str">
        <f aca="false">IF(ISNUMBER(A8),IF(COUNTIF(祝日!$A:$A,A8)&gt;0,"祝",CHOOSE(WEEKDAY(A8,2),"月","火","水","木","金","土","日")),"")</f>
        <v/>
      </c>
    </row>
    <row r="9" customFormat="false" ht="15" hidden="false" customHeight="false" outlineLevel="0" collapsed="false">
      <c r="Z9" s="25" t="str">
        <f aca="false">IF(ISNUMBER(A9),IF(COUNTIF(祝日!$A:$A,A9)&gt;0,"祝",CHOOSE(WEEKDAY(A9,2),"月","火","水","木","金","土","日")),"")</f>
        <v/>
      </c>
    </row>
    <row r="10" customFormat="false" ht="15" hidden="false" customHeight="false" outlineLevel="0" collapsed="false">
      <c r="Z10" s="25" t="str">
        <f aca="false">IF(ISNUMBER(A10),IF(COUNTIF(祝日!$A:$A,A10)&gt;0,"祝",CHOOSE(WEEKDAY(A10,2),"月","火","水","木","金","土","日")),"")</f>
        <v/>
      </c>
    </row>
    <row r="11" customFormat="false" ht="15" hidden="false" customHeight="false" outlineLevel="0" collapsed="false">
      <c r="Z11" s="25" t="str">
        <f aca="false">IF(ISNUMBER(A11),IF(COUNTIF(祝日!$A:$A,A11)&gt;0,"祝",CHOOSE(WEEKDAY(A11,2),"月","火","水","木","金","土","日")),"")</f>
        <v/>
      </c>
    </row>
    <row r="12" customFormat="false" ht="15" hidden="false" customHeight="false" outlineLevel="0" collapsed="false">
      <c r="Z12" s="25" t="str">
        <f aca="false">IF(ISNUMBER(A12),IF(COUNTIF(祝日!$A:$A,A12)&gt;0,"祝",CHOOSE(WEEKDAY(A12,2),"月","火","水","木","金","土","日")),"")</f>
        <v/>
      </c>
    </row>
    <row r="13" customFormat="false" ht="15" hidden="false" customHeight="false" outlineLevel="0" collapsed="false">
      <c r="Z13" s="25" t="str">
        <f aca="false">IF(ISNUMBER(A13),IF(COUNTIF(祝日!$A:$A,A13)&gt;0,"祝",CHOOSE(WEEKDAY(A13,2),"月","火","水","木","金","土","日")),"")</f>
        <v/>
      </c>
    </row>
    <row r="14" customFormat="false" ht="15" hidden="false" customHeight="false" outlineLevel="0" collapsed="false">
      <c r="Z14" s="25" t="str">
        <f aca="false">IF(ISNUMBER(A14),IF(COUNTIF(祝日!$A:$A,A14)&gt;0,"祝",CHOOSE(WEEKDAY(A14,2),"月","火","水","木","金","土","日")),"")</f>
        <v/>
      </c>
    </row>
    <row r="15" customFormat="false" ht="15" hidden="false" customHeight="false" outlineLevel="0" collapsed="false">
      <c r="Z15" s="25" t="str">
        <f aca="false">IF(ISNUMBER(A15),IF(COUNTIF(祝日!$A:$A,A15)&gt;0,"祝",CHOOSE(WEEKDAY(A15,2),"月","火","水","木","金","土","日")),"")</f>
        <v/>
      </c>
    </row>
    <row r="16" customFormat="false" ht="15" hidden="false" customHeight="false" outlineLevel="0" collapsed="false">
      <c r="Z16" s="25" t="str">
        <f aca="false">IF(ISNUMBER(A16),IF(COUNTIF(祝日!$A:$A,A16)&gt;0,"祝",CHOOSE(WEEKDAY(A16,2),"月","火","水","木","金","土","日")),"")</f>
        <v/>
      </c>
    </row>
    <row r="17" customFormat="false" ht="15" hidden="false" customHeight="false" outlineLevel="0" collapsed="false">
      <c r="Z17" s="25" t="str">
        <f aca="false">IF(ISNUMBER(A17),IF(COUNTIF(祝日!$A:$A,A17)&gt;0,"祝",CHOOSE(WEEKDAY(A17,2),"月","火","水","木","金","土","日")),"")</f>
        <v/>
      </c>
    </row>
    <row r="18" customFormat="false" ht="15" hidden="false" customHeight="false" outlineLevel="0" collapsed="false">
      <c r="Z18" s="25" t="str">
        <f aca="false">IF(ISNUMBER(A18),IF(COUNTIF(祝日!$A:$A,A18)&gt;0,"祝",CHOOSE(WEEKDAY(A18,2),"月","火","水","木","金","土","日")),"")</f>
        <v/>
      </c>
    </row>
    <row r="19" customFormat="false" ht="15" hidden="false" customHeight="false" outlineLevel="0" collapsed="false">
      <c r="Z19" s="25" t="str">
        <f aca="false">IF(ISNUMBER(A19),IF(COUNTIF(祝日!$A:$A,A19)&gt;0,"祝",CHOOSE(WEEKDAY(A19,2),"月","火","水","木","金","土","日")),"")</f>
        <v/>
      </c>
    </row>
    <row r="20" customFormat="false" ht="15" hidden="false" customHeight="false" outlineLevel="0" collapsed="false">
      <c r="Z20" s="25" t="str">
        <f aca="false">IF(ISNUMBER(A20),IF(COUNTIF(祝日!$A:$A,A20)&gt;0,"祝",CHOOSE(WEEKDAY(A20,2),"月","火","水","木","金","土","日")),"")</f>
        <v/>
      </c>
    </row>
    <row r="21" customFormat="false" ht="15" hidden="false" customHeight="false" outlineLevel="0" collapsed="false">
      <c r="Z21" s="25" t="str">
        <f aca="false">IF(ISNUMBER(A21),IF(COUNTIF(祝日!$A:$A,A21)&gt;0,"祝",CHOOSE(WEEKDAY(A21,2),"月","火","水","木","金","土","日")),"")</f>
        <v/>
      </c>
    </row>
    <row r="22" customFormat="false" ht="15" hidden="false" customHeight="false" outlineLevel="0" collapsed="false">
      <c r="Z22" s="25" t="str">
        <f aca="false">IF(ISNUMBER(A22),IF(COUNTIF(祝日!$A:$A,A22)&gt;0,"祝",CHOOSE(WEEKDAY(A22,2),"月","火","水","木","金","土","日")),"")</f>
        <v/>
      </c>
    </row>
    <row r="23" customFormat="false" ht="15" hidden="false" customHeight="false" outlineLevel="0" collapsed="false">
      <c r="Z23" s="25" t="str">
        <f aca="false">IF(ISNUMBER(A23),IF(COUNTIF(祝日!$A:$A,A23)&gt;0,"祝",CHOOSE(WEEKDAY(A23,2),"月","火","水","木","金","土","日")),"")</f>
        <v/>
      </c>
    </row>
    <row r="24" customFormat="false" ht="15" hidden="false" customHeight="false" outlineLevel="0" collapsed="false">
      <c r="Z24" s="25" t="str">
        <f aca="false">IF(ISNUMBER(A24),IF(COUNTIF(祝日!$A:$A,A24)&gt;0,"祝",CHOOSE(WEEKDAY(A24,2),"月","火","水","木","金","土","日")),"")</f>
        <v/>
      </c>
    </row>
    <row r="25" customFormat="false" ht="15" hidden="false" customHeight="false" outlineLevel="0" collapsed="false">
      <c r="Z25" s="25" t="str">
        <f aca="false">IF(ISNUMBER(A25),IF(COUNTIF(祝日!$A:$A,A25)&gt;0,"祝",CHOOSE(WEEKDAY(A25,2),"月","火","水","木","金","土","日")),"")</f>
        <v/>
      </c>
    </row>
    <row r="26" customFormat="false" ht="15" hidden="false" customHeight="false" outlineLevel="0" collapsed="false">
      <c r="Z26" s="25" t="str">
        <f aca="false">IF(ISNUMBER(A26),IF(COUNTIF(祝日!$A:$A,A26)&gt;0,"祝",CHOOSE(WEEKDAY(A26,2),"月","火","水","木","金","土","日")),"")</f>
        <v/>
      </c>
    </row>
    <row r="27" customFormat="false" ht="15" hidden="false" customHeight="false" outlineLevel="0" collapsed="false">
      <c r="Z27" s="25" t="str">
        <f aca="false">IF(ISNUMBER(A27),IF(COUNTIF(祝日!$A:$A,A27)&gt;0,"祝",CHOOSE(WEEKDAY(A27,2),"月","火","水","木","金","土","日")),"")</f>
        <v/>
      </c>
    </row>
    <row r="28" customFormat="false" ht="15" hidden="false" customHeight="false" outlineLevel="0" collapsed="false">
      <c r="Z28" s="25" t="str">
        <f aca="false">IF(ISNUMBER(A28),IF(COUNTIF(祝日!$A:$A,A28)&gt;0,"祝",CHOOSE(WEEKDAY(A28,2),"月","火","水","木","金","土","日")),"")</f>
        <v/>
      </c>
    </row>
    <row r="29" customFormat="false" ht="15" hidden="false" customHeight="false" outlineLevel="0" collapsed="false">
      <c r="Z29" s="25" t="str">
        <f aca="false">IF(ISNUMBER(A29),IF(COUNTIF(祝日!$A:$A,A29)&gt;0,"祝",CHOOSE(WEEKDAY(A29,2),"月","火","水","木","金","土","日")),"")</f>
        <v/>
      </c>
    </row>
    <row r="30" customFormat="false" ht="15" hidden="false" customHeight="false" outlineLevel="0" collapsed="false">
      <c r="Z30" s="25" t="str">
        <f aca="false">IF(ISNUMBER(A30),IF(COUNTIF(祝日!$A:$A,A30)&gt;0,"祝",CHOOSE(WEEKDAY(A30,2),"月","火","水","木","金","土","日")),"")</f>
        <v/>
      </c>
    </row>
    <row r="31" customFormat="false" ht="15" hidden="false" customHeight="false" outlineLevel="0" collapsed="false">
      <c r="Z31" s="25" t="str">
        <f aca="false">IF(ISNUMBER(A31),IF(COUNTIF(祝日!$A:$A,A31)&gt;0,"祝",CHOOSE(WEEKDAY(A31,2),"月","火","水","木","金","土","日")),"")</f>
        <v/>
      </c>
    </row>
    <row r="32" customFormat="false" ht="15" hidden="false" customHeight="false" outlineLevel="0" collapsed="false">
      <c r="Z32" s="25" t="str">
        <f aca="false">IF(ISNUMBER(A32),IF(COUNTIF(祝日!$A:$A,A32)&gt;0,"祝",CHOOSE(WEEKDAY(A32,2),"月","火","水","木","金","土","日")),"")</f>
        <v/>
      </c>
    </row>
    <row r="33" customFormat="false" ht="15" hidden="false" customHeight="false" outlineLevel="0" collapsed="false">
      <c r="Z33" s="25" t="str">
        <f aca="false">IF(ISNUMBER(A33),IF(COUNTIF(祝日!$A:$A,A33)&gt;0,"祝",CHOOSE(WEEKDAY(A33,2),"月","火","水","木","金","土","日")),"")</f>
        <v/>
      </c>
    </row>
    <row r="34" customFormat="false" ht="15" hidden="false" customHeight="false" outlineLevel="0" collapsed="false">
      <c r="Z34" s="25" t="str">
        <f aca="false">IF(ISNUMBER(A34),IF(COUNTIF(祝日!$A:$A,A34)&gt;0,"祝",CHOOSE(WEEKDAY(A34,2),"月","火","水","木","金","土","日")),"")</f>
        <v/>
      </c>
    </row>
    <row r="35" customFormat="false" ht="15" hidden="false" customHeight="false" outlineLevel="0" collapsed="false">
      <c r="Z35" s="25" t="str">
        <f aca="false">IF(ISNUMBER(A35),IF(COUNTIF(祝日!$A:$A,A35)&gt;0,"祝",CHOOSE(WEEKDAY(A35,2),"月","火","水","木","金","土","日")),"")</f>
        <v/>
      </c>
    </row>
    <row r="36" customFormat="false" ht="15" hidden="false" customHeight="false" outlineLevel="0" collapsed="false">
      <c r="Z36" s="25" t="str">
        <f aca="false">IF(ISNUMBER(A36),IF(COUNTIF(祝日!$A:$A,A36)&gt;0,"祝",CHOOSE(WEEKDAY(A36,2),"月","火","水","木","金","土","日")),"")</f>
        <v/>
      </c>
    </row>
    <row r="37" customFormat="false" ht="15" hidden="false" customHeight="false" outlineLevel="0" collapsed="false">
      <c r="Z37" s="25" t="str">
        <f aca="false">IF(ISNUMBER(A37),IF(COUNTIF(祝日!$A:$A,A37)&gt;0,"祝",CHOOSE(WEEKDAY(A37,2),"月","火","水","木","金","土","日")),"")</f>
        <v/>
      </c>
    </row>
    <row r="38" customFormat="false" ht="15" hidden="false" customHeight="false" outlineLevel="0" collapsed="false">
      <c r="Z38" s="25" t="str">
        <f aca="false">IF(ISNUMBER(A38),IF(COUNTIF(祝日!$A:$A,A38)&gt;0,"祝",CHOOSE(WEEKDAY(A38,2),"月","火","水","木","金","土","日")),"")</f>
        <v/>
      </c>
    </row>
    <row r="39" customFormat="false" ht="15" hidden="false" customHeight="false" outlineLevel="0" collapsed="false">
      <c r="Z39" s="25" t="str">
        <f aca="false">IF(ISNUMBER(A39),IF(COUNTIF(祝日!$A:$A,A39)&gt;0,"祝",CHOOSE(WEEKDAY(A39,2),"月","火","水","木","金","土","日")),"")</f>
        <v/>
      </c>
    </row>
    <row r="40" customFormat="false" ht="15" hidden="false" customHeight="false" outlineLevel="0" collapsed="false">
      <c r="Z40" s="25" t="str">
        <f aca="false">IF(ISNUMBER(A40),IF(COUNTIF(祝日!$A:$A,A40)&gt;0,"祝",CHOOSE(WEEKDAY(A40,2),"月","火","水","木","金","土","日")),"")</f>
        <v/>
      </c>
    </row>
    <row r="41" customFormat="false" ht="15" hidden="false" customHeight="false" outlineLevel="0" collapsed="false">
      <c r="Z41" s="25" t="str">
        <f aca="false">IF(ISNUMBER(A41),IF(COUNTIF(祝日!$A:$A,A41)&gt;0,"祝",CHOOSE(WEEKDAY(A41,2),"月","火","水","木","金","土","日")),"")</f>
        <v/>
      </c>
    </row>
    <row r="42" customFormat="false" ht="15" hidden="false" customHeight="false" outlineLevel="0" collapsed="false">
      <c r="Z42" s="25" t="str">
        <f aca="false">IF(ISNUMBER(A42),IF(COUNTIF(祝日!$A:$A,A42)&gt;0,"祝",CHOOSE(WEEKDAY(A42,2),"月","火","水","木","金","土","日")),"")</f>
        <v/>
      </c>
    </row>
    <row r="43" customFormat="false" ht="15" hidden="false" customHeight="false" outlineLevel="0" collapsed="false">
      <c r="Z43" s="25" t="str">
        <f aca="false">IF(ISNUMBER(A43),IF(COUNTIF(祝日!$A:$A,A43)&gt;0,"祝",CHOOSE(WEEKDAY(A43,2),"月","火","水","木","金","土","日")),"")</f>
        <v/>
      </c>
    </row>
    <row r="44" customFormat="false" ht="15" hidden="false" customHeight="false" outlineLevel="0" collapsed="false">
      <c r="Z44" s="25" t="str">
        <f aca="false">IF(ISNUMBER(A44),IF(COUNTIF(祝日!$A:$A,A44)&gt;0,"祝",CHOOSE(WEEKDAY(A44,2),"月","火","水","木","金","土","日")),"")</f>
        <v/>
      </c>
    </row>
    <row r="45" customFormat="false" ht="15" hidden="false" customHeight="false" outlineLevel="0" collapsed="false">
      <c r="Z45" s="25" t="str">
        <f aca="false">IF(ISNUMBER(A45),IF(COUNTIF(祝日!$A:$A,A45)&gt;0,"祝",CHOOSE(WEEKDAY(A45,2),"月","火","水","木","金","土","日")),"")</f>
        <v/>
      </c>
    </row>
    <row r="46" customFormat="false" ht="15" hidden="false" customHeight="false" outlineLevel="0" collapsed="false">
      <c r="Z46" s="25" t="str">
        <f aca="false">IF(ISNUMBER(A46),IF(COUNTIF(祝日!$A:$A,A46)&gt;0,"祝",CHOOSE(WEEKDAY(A46,2),"月","火","水","木","金","土","日")),"")</f>
        <v/>
      </c>
    </row>
    <row r="47" customFormat="false" ht="15" hidden="false" customHeight="false" outlineLevel="0" collapsed="false">
      <c r="Z47" s="25" t="str">
        <f aca="false">IF(ISNUMBER(A47),IF(COUNTIF(祝日!$A:$A,A47)&gt;0,"祝",CHOOSE(WEEKDAY(A47,2),"月","火","水","木","金","土","日")),"")</f>
        <v/>
      </c>
    </row>
    <row r="48" customFormat="false" ht="15" hidden="false" customHeight="false" outlineLevel="0" collapsed="false">
      <c r="Z48" s="25" t="str">
        <f aca="false">IF(ISNUMBER(A48),IF(COUNTIF(祝日!$A:$A,A48)&gt;0,"祝",CHOOSE(WEEKDAY(A48,2),"月","火","水","木","金","土","日")),"")</f>
        <v/>
      </c>
    </row>
    <row r="49" customFormat="false" ht="15" hidden="false" customHeight="false" outlineLevel="0" collapsed="false">
      <c r="Z49" s="25" t="str">
        <f aca="false">IF(ISNUMBER(A49),IF(COUNTIF(祝日!$A:$A,A49)&gt;0,"祝",CHOOSE(WEEKDAY(A49,2),"月","火","水","木","金","土","日")),"")</f>
        <v/>
      </c>
    </row>
    <row r="50" customFormat="false" ht="15" hidden="false" customHeight="false" outlineLevel="0" collapsed="false">
      <c r="Z50" s="25" t="str">
        <f aca="false">IF(ISNUMBER(A50),IF(COUNTIF(祝日!$A:$A,A50)&gt;0,"祝",CHOOSE(WEEKDAY(A50,2),"月","火","水","木","金","土","日")),"")</f>
        <v/>
      </c>
    </row>
    <row r="51" customFormat="false" ht="15" hidden="false" customHeight="false" outlineLevel="0" collapsed="false">
      <c r="Z51" s="25" t="str">
        <f aca="false">IF(ISNUMBER(A51),IF(COUNTIF(祝日!$A:$A,A51)&gt;0,"祝",CHOOSE(WEEKDAY(A51,2),"月","火","水","木","金","土","日")),"")</f>
        <v/>
      </c>
    </row>
    <row r="52" customFormat="false" ht="15" hidden="false" customHeight="false" outlineLevel="0" collapsed="false">
      <c r="Z52" s="25" t="str">
        <f aca="false">IF(ISNUMBER(A52),IF(COUNTIF(祝日!$A:$A,A52)&gt;0,"祝",CHOOSE(WEEKDAY(A52,2),"月","火","水","木","金","土","日")),"")</f>
        <v/>
      </c>
    </row>
    <row r="53" customFormat="false" ht="15" hidden="false" customHeight="false" outlineLevel="0" collapsed="false">
      <c r="Z53" s="25" t="str">
        <f aca="false">IF(ISNUMBER(A53),IF(COUNTIF(祝日!$A:$A,A53)&gt;0,"祝",CHOOSE(WEEKDAY(A53,2),"月","火","水","木","金","土","日")),"")</f>
        <v/>
      </c>
    </row>
    <row r="54" customFormat="false" ht="15" hidden="false" customHeight="false" outlineLevel="0" collapsed="false">
      <c r="Z54" s="25" t="str">
        <f aca="false">IF(ISNUMBER(A54),IF(COUNTIF(祝日!$A:$A,A54)&gt;0,"祝",CHOOSE(WEEKDAY(A54,2),"月","火","水","木","金","土","日")),"")</f>
        <v/>
      </c>
    </row>
    <row r="55" customFormat="false" ht="15" hidden="false" customHeight="false" outlineLevel="0" collapsed="false">
      <c r="Z55" s="25" t="str">
        <f aca="false">IF(ISNUMBER(A55),IF(COUNTIF(祝日!$A:$A,A55)&gt;0,"祝",CHOOSE(WEEKDAY(A55,2),"月","火","水","木","金","土","日")),"")</f>
        <v/>
      </c>
    </row>
    <row r="56" customFormat="false" ht="15" hidden="false" customHeight="false" outlineLevel="0" collapsed="false">
      <c r="Z56" s="25" t="str">
        <f aca="false">IF(ISNUMBER(A56),IF(COUNTIF(祝日!$A:$A,A56)&gt;0,"祝",CHOOSE(WEEKDAY(A56,2),"月","火","水","木","金","土","日")),"")</f>
        <v/>
      </c>
    </row>
    <row r="57" customFormat="false" ht="15" hidden="false" customHeight="false" outlineLevel="0" collapsed="false">
      <c r="Z57" s="25" t="str">
        <f aca="false">IF(ISNUMBER(A57),IF(COUNTIF(祝日!$A:$A,A57)&gt;0,"祝",CHOOSE(WEEKDAY(A57,2),"月","火","水","木","金","土","日")),"")</f>
        <v/>
      </c>
    </row>
    <row r="58" customFormat="false" ht="15" hidden="false" customHeight="false" outlineLevel="0" collapsed="false">
      <c r="Z58" s="25" t="str">
        <f aca="false">IF(ISNUMBER(A58),IF(COUNTIF(祝日!$A:$A,A58)&gt;0,"祝",CHOOSE(WEEKDAY(A58,2),"月","火","水","木","金","土","日")),"")</f>
        <v/>
      </c>
    </row>
    <row r="59" customFormat="false" ht="15" hidden="false" customHeight="false" outlineLevel="0" collapsed="false">
      <c r="Z59" s="25" t="str">
        <f aca="false">IF(ISNUMBER(A59),IF(COUNTIF(祝日!$A:$A,A59)&gt;0,"祝",CHOOSE(WEEKDAY(A59,2),"月","火","水","木","金","土","日")),"")</f>
        <v/>
      </c>
    </row>
    <row r="60" customFormat="false" ht="15" hidden="false" customHeight="false" outlineLevel="0" collapsed="false">
      <c r="Z60" s="25" t="str">
        <f aca="false">IF(ISNUMBER(A60),IF(COUNTIF(祝日!$A:$A,A60)&gt;0,"祝",CHOOSE(WEEKDAY(A60,2),"月","火","水","木","金","土","日")),"")</f>
        <v/>
      </c>
    </row>
    <row r="61" customFormat="false" ht="15" hidden="false" customHeight="false" outlineLevel="0" collapsed="false">
      <c r="Z61" s="25" t="str">
        <f aca="false">IF(ISNUMBER(A61),IF(COUNTIF(祝日!$A:$A,A61)&gt;0,"祝",CHOOSE(WEEKDAY(A61,2),"月","火","水","木","金","土","日")),"")</f>
        <v/>
      </c>
    </row>
    <row r="62" customFormat="false" ht="15" hidden="false" customHeight="false" outlineLevel="0" collapsed="false">
      <c r="Z62" s="25" t="str">
        <f aca="false">IF(ISNUMBER(A62),IF(COUNTIF(祝日!$A:$A,A62)&gt;0,"祝",CHOOSE(WEEKDAY(A62,2),"月","火","水","木","金","土","日")),"")</f>
        <v/>
      </c>
    </row>
    <row r="63" customFormat="false" ht="15" hidden="false" customHeight="false" outlineLevel="0" collapsed="false">
      <c r="Z63" s="25" t="str">
        <f aca="false">IF(ISNUMBER(A63),IF(COUNTIF(祝日!$A:$A,A63)&gt;0,"祝",CHOOSE(WEEKDAY(A63,2),"月","火","水","木","金","土","日")),"")</f>
        <v/>
      </c>
    </row>
    <row r="64" customFormat="false" ht="15" hidden="false" customHeight="false" outlineLevel="0" collapsed="false">
      <c r="Z64" s="25" t="str">
        <f aca="false">IF(ISNUMBER(A64),IF(COUNTIF(祝日!$A:$A,A64)&gt;0,"祝",CHOOSE(WEEKDAY(A64,2),"月","火","水","木","金","土","日")),"")</f>
        <v/>
      </c>
    </row>
    <row r="65" customFormat="false" ht="15" hidden="false" customHeight="false" outlineLevel="0" collapsed="false">
      <c r="Z65" s="25" t="str">
        <f aca="false">IF(ISNUMBER(A65),IF(COUNTIF(祝日!$A:$A,A65)&gt;0,"祝",CHOOSE(WEEKDAY(A65,2),"月","火","水","木","金","土","日")),"")</f>
        <v/>
      </c>
    </row>
    <row r="66" customFormat="false" ht="15" hidden="false" customHeight="false" outlineLevel="0" collapsed="false">
      <c r="Z66" s="25" t="str">
        <f aca="false">IF(ISNUMBER(A66),IF(COUNTIF(祝日!$A:$A,A66)&gt;0,"祝",CHOOSE(WEEKDAY(A66,2),"月","火","水","木","金","土","日")),"")</f>
        <v/>
      </c>
    </row>
    <row r="67" customFormat="false" ht="15" hidden="false" customHeight="false" outlineLevel="0" collapsed="false">
      <c r="Z67" s="25" t="str">
        <f aca="false">IF(ISNUMBER(A67),IF(COUNTIF(祝日!$A:$A,A67)&gt;0,"祝",CHOOSE(WEEKDAY(A67,2),"月","火","水","木","金","土","日")),"")</f>
        <v/>
      </c>
    </row>
    <row r="68" customFormat="false" ht="15" hidden="false" customHeight="false" outlineLevel="0" collapsed="false">
      <c r="Z68" s="25" t="str">
        <f aca="false">IF(ISNUMBER(A68),IF(COUNTIF(祝日!$A:$A,A68)&gt;0,"祝",CHOOSE(WEEKDAY(A68,2),"月","火","水","木","金","土","日")),"")</f>
        <v/>
      </c>
    </row>
    <row r="69" customFormat="false" ht="15" hidden="false" customHeight="false" outlineLevel="0" collapsed="false">
      <c r="Z69" s="25" t="str">
        <f aca="false">IF(ISNUMBER(A69),IF(COUNTIF(祝日!$A:$A,A69)&gt;0,"祝",CHOOSE(WEEKDAY(A69,2),"月","火","水","木","金","土","日")),"")</f>
        <v/>
      </c>
    </row>
    <row r="70" customFormat="false" ht="15" hidden="false" customHeight="false" outlineLevel="0" collapsed="false">
      <c r="Z70" s="25" t="str">
        <f aca="false">IF(ISNUMBER(A70),IF(COUNTIF(祝日!$A:$A,A70)&gt;0,"祝",CHOOSE(WEEKDAY(A70,2),"月","火","水","木","金","土","日")),"")</f>
        <v/>
      </c>
    </row>
    <row r="71" customFormat="false" ht="15" hidden="false" customHeight="false" outlineLevel="0" collapsed="false">
      <c r="Z71" s="25" t="str">
        <f aca="false">IF(ISNUMBER(A71),IF(COUNTIF(祝日!$A:$A,A71)&gt;0,"祝",CHOOSE(WEEKDAY(A71,2),"月","火","水","木","金","土","日")),"")</f>
        <v/>
      </c>
    </row>
    <row r="72" customFormat="false" ht="15" hidden="false" customHeight="false" outlineLevel="0" collapsed="false">
      <c r="Z72" s="25" t="str">
        <f aca="false">IF(ISNUMBER(A72),IF(COUNTIF(祝日!$A:$A,A72)&gt;0,"祝",CHOOSE(WEEKDAY(A72,2),"月","火","水","木","金","土","日")),"")</f>
        <v/>
      </c>
    </row>
    <row r="73" customFormat="false" ht="15" hidden="false" customHeight="false" outlineLevel="0" collapsed="false">
      <c r="Z73" s="25" t="str">
        <f aca="false">IF(ISNUMBER(A73),IF(COUNTIF(祝日!$A:$A,A73)&gt;0,"祝",CHOOSE(WEEKDAY(A73,2),"月","火","水","木","金","土","日")),"")</f>
        <v/>
      </c>
    </row>
    <row r="74" customFormat="false" ht="15" hidden="false" customHeight="false" outlineLevel="0" collapsed="false">
      <c r="Z74" s="25" t="str">
        <f aca="false">IF(ISNUMBER(A74),IF(COUNTIF(祝日!$A:$A,A74)&gt;0,"祝",CHOOSE(WEEKDAY(A74,2),"月","火","水","木","金","土","日")),"")</f>
        <v/>
      </c>
    </row>
    <row r="75" customFormat="false" ht="15" hidden="false" customHeight="false" outlineLevel="0" collapsed="false">
      <c r="Z75" s="25" t="str">
        <f aca="false">IF(ISNUMBER(A75),IF(COUNTIF(祝日!$A:$A,A75)&gt;0,"祝",CHOOSE(WEEKDAY(A75,2),"月","火","水","木","金","土","日")),"")</f>
        <v/>
      </c>
    </row>
    <row r="76" customFormat="false" ht="15" hidden="false" customHeight="false" outlineLevel="0" collapsed="false">
      <c r="Z76" s="25" t="str">
        <f aca="false">IF(ISNUMBER(A76),IF(COUNTIF(祝日!$A:$A,A76)&gt;0,"祝",CHOOSE(WEEKDAY(A76,2),"月","火","水","木","金","土","日")),"")</f>
        <v/>
      </c>
    </row>
    <row r="77" customFormat="false" ht="15" hidden="false" customHeight="false" outlineLevel="0" collapsed="false">
      <c r="Z77" s="25" t="str">
        <f aca="false">IF(ISNUMBER(A77),IF(COUNTIF(祝日!$A:$A,A77)&gt;0,"祝",CHOOSE(WEEKDAY(A77,2),"月","火","水","木","金","土","日")),"")</f>
        <v/>
      </c>
    </row>
    <row r="78" customFormat="false" ht="15" hidden="false" customHeight="false" outlineLevel="0" collapsed="false">
      <c r="Z78" s="25" t="str">
        <f aca="false">IF(ISNUMBER(A78),IF(COUNTIF(祝日!$A:$A,A78)&gt;0,"祝",CHOOSE(WEEKDAY(A78,2),"月","火","水","木","金","土","日")),"")</f>
        <v/>
      </c>
    </row>
    <row r="79" customFormat="false" ht="15" hidden="false" customHeight="false" outlineLevel="0" collapsed="false">
      <c r="Z79" s="25" t="str">
        <f aca="false">IF(ISNUMBER(A79),IF(COUNTIF(祝日!$A:$A,A79)&gt;0,"祝",CHOOSE(WEEKDAY(A79,2),"月","火","水","木","金","土","日")),"")</f>
        <v/>
      </c>
    </row>
    <row r="80" customFormat="false" ht="15" hidden="false" customHeight="false" outlineLevel="0" collapsed="false">
      <c r="Z80" s="25" t="str">
        <f aca="false">IF(ISNUMBER(A80),IF(COUNTIF(祝日!$A:$A,A80)&gt;0,"祝",CHOOSE(WEEKDAY(A80,2),"月","火","水","木","金","土","日")),"")</f>
        <v/>
      </c>
    </row>
    <row r="81" customFormat="false" ht="15" hidden="false" customHeight="false" outlineLevel="0" collapsed="false">
      <c r="Z81" s="25" t="str">
        <f aca="false">IF(ISNUMBER(A81),IF(COUNTIF(祝日!$A:$A,A81)&gt;0,"祝",CHOOSE(WEEKDAY(A81,2),"月","火","水","木","金","土","日")),"")</f>
        <v/>
      </c>
    </row>
    <row r="82" customFormat="false" ht="15" hidden="false" customHeight="false" outlineLevel="0" collapsed="false">
      <c r="Z82" s="25" t="str">
        <f aca="false">IF(ISNUMBER(A82),IF(COUNTIF(祝日!$A:$A,A82)&gt;0,"祝",CHOOSE(WEEKDAY(A82,2),"月","火","水","木","金","土","日")),"")</f>
        <v/>
      </c>
    </row>
    <row r="83" customFormat="false" ht="15" hidden="false" customHeight="false" outlineLevel="0" collapsed="false">
      <c r="Z83" s="25" t="str">
        <f aca="false">IF(ISNUMBER(A83),IF(COUNTIF(祝日!$A:$A,A83)&gt;0,"祝",CHOOSE(WEEKDAY(A83,2),"月","火","水","木","金","土","日")),"")</f>
        <v/>
      </c>
    </row>
    <row r="84" customFormat="false" ht="15" hidden="false" customHeight="false" outlineLevel="0" collapsed="false">
      <c r="Z84" s="25" t="str">
        <f aca="false">IF(ISNUMBER(A84),IF(COUNTIF(祝日!$A:$A,A84)&gt;0,"祝",CHOOSE(WEEKDAY(A84,2),"月","火","水","木","金","土","日")),"")</f>
        <v/>
      </c>
    </row>
    <row r="85" customFormat="false" ht="15" hidden="false" customHeight="false" outlineLevel="0" collapsed="false">
      <c r="Z85" s="25" t="str">
        <f aca="false">IF(ISNUMBER(A85),IF(COUNTIF(祝日!$A:$A,A85)&gt;0,"祝",CHOOSE(WEEKDAY(A85,2),"月","火","水","木","金","土","日")),"")</f>
        <v/>
      </c>
    </row>
    <row r="86" customFormat="false" ht="15" hidden="false" customHeight="false" outlineLevel="0" collapsed="false">
      <c r="Z86" s="25" t="str">
        <f aca="false">IF(ISNUMBER(A86),IF(COUNTIF(祝日!$A:$A,A86)&gt;0,"祝",CHOOSE(WEEKDAY(A86,2),"月","火","水","木","金","土","日")),"")</f>
        <v/>
      </c>
    </row>
    <row r="87" customFormat="false" ht="15" hidden="false" customHeight="false" outlineLevel="0" collapsed="false">
      <c r="Z87" s="25" t="str">
        <f aca="false">IF(ISNUMBER(A87),IF(COUNTIF(祝日!$A:$A,A87)&gt;0,"祝",CHOOSE(WEEKDAY(A87,2),"月","火","水","木","金","土","日")),"")</f>
        <v/>
      </c>
    </row>
    <row r="88" customFormat="false" ht="15" hidden="false" customHeight="false" outlineLevel="0" collapsed="false">
      <c r="Z88" s="25" t="str">
        <f aca="false">IF(ISNUMBER(A88),IF(COUNTIF(祝日!$A:$A,A88)&gt;0,"祝",CHOOSE(WEEKDAY(A88,2),"月","火","水","木","金","土","日")),"")</f>
        <v/>
      </c>
    </row>
    <row r="89" customFormat="false" ht="15" hidden="false" customHeight="false" outlineLevel="0" collapsed="false">
      <c r="Z89" s="25" t="str">
        <f aca="false">IF(ISNUMBER(A89),IF(COUNTIF(祝日!$A:$A,A89)&gt;0,"祝",CHOOSE(WEEKDAY(A89,2),"月","火","水","木","金","土","日")),"")</f>
        <v/>
      </c>
    </row>
    <row r="90" customFormat="false" ht="15" hidden="false" customHeight="false" outlineLevel="0" collapsed="false">
      <c r="Z90" s="25" t="str">
        <f aca="false">IF(ISNUMBER(A90),IF(COUNTIF(祝日!$A:$A,A90)&gt;0,"祝",CHOOSE(WEEKDAY(A90,2),"月","火","水","木","金","土","日")),"")</f>
        <v/>
      </c>
    </row>
    <row r="91" customFormat="false" ht="15" hidden="false" customHeight="false" outlineLevel="0" collapsed="false">
      <c r="Z91" s="25" t="str">
        <f aca="false">IF(ISNUMBER(A91),IF(COUNTIF(祝日!$A:$A,A91)&gt;0,"祝",CHOOSE(WEEKDAY(A91,2),"月","火","水","木","金","土","日")),"")</f>
        <v/>
      </c>
    </row>
    <row r="92" customFormat="false" ht="15" hidden="false" customHeight="false" outlineLevel="0" collapsed="false">
      <c r="Z92" s="25" t="str">
        <f aca="false">IF(ISNUMBER(A92),IF(COUNTIF(祝日!$A:$A,A92)&gt;0,"祝",CHOOSE(WEEKDAY(A92,2),"月","火","水","木","金","土","日")),"")</f>
        <v/>
      </c>
    </row>
    <row r="93" customFormat="false" ht="15" hidden="false" customHeight="false" outlineLevel="0" collapsed="false">
      <c r="Z93" s="25" t="str">
        <f aca="false">IF(ISNUMBER(A93),IF(COUNTIF(祝日!$A:$A,A93)&gt;0,"祝",CHOOSE(WEEKDAY(A93,2),"月","火","水","木","金","土","日")),"")</f>
        <v/>
      </c>
    </row>
    <row r="94" customFormat="false" ht="15" hidden="false" customHeight="false" outlineLevel="0" collapsed="false">
      <c r="Z94" s="25" t="str">
        <f aca="false">IF(ISNUMBER(A94),IF(COUNTIF(祝日!$A:$A,A94)&gt;0,"祝",CHOOSE(WEEKDAY(A94,2),"月","火","水","木","金","土","日")),"")</f>
        <v/>
      </c>
    </row>
    <row r="95" customFormat="false" ht="15" hidden="false" customHeight="false" outlineLevel="0" collapsed="false">
      <c r="Z95" s="25" t="str">
        <f aca="false">IF(ISNUMBER(A95),IF(COUNTIF(祝日!$A:$A,A95)&gt;0,"祝",CHOOSE(WEEKDAY(A95,2),"月","火","水","木","金","土","日")),"")</f>
        <v/>
      </c>
    </row>
    <row r="96" customFormat="false" ht="15" hidden="false" customHeight="false" outlineLevel="0" collapsed="false">
      <c r="Z96" s="25" t="str">
        <f aca="false">IF(ISNUMBER(A96),IF(COUNTIF(祝日!$A:$A,A96)&gt;0,"祝",CHOOSE(WEEKDAY(A96,2),"月","火","水","木","金","土","日")),"")</f>
        <v/>
      </c>
    </row>
    <row r="97" customFormat="false" ht="15" hidden="false" customHeight="false" outlineLevel="0" collapsed="false">
      <c r="Z97" s="25" t="str">
        <f aca="false">IF(ISNUMBER(A97),IF(COUNTIF(祝日!$A:$A,A97)&gt;0,"祝",CHOOSE(WEEKDAY(A97,2),"月","火","水","木","金","土","日")),"")</f>
        <v/>
      </c>
    </row>
    <row r="98" customFormat="false" ht="15" hidden="false" customHeight="false" outlineLevel="0" collapsed="false">
      <c r="Z98" s="25" t="str">
        <f aca="false">IF(ISNUMBER(A98),IF(COUNTIF(祝日!$A:$A,A98)&gt;0,"祝",CHOOSE(WEEKDAY(A98,2),"月","火","水","木","金","土","日")),"")</f>
        <v/>
      </c>
    </row>
    <row r="99" customFormat="false" ht="15" hidden="false" customHeight="false" outlineLevel="0" collapsed="false">
      <c r="Z99" s="25" t="str">
        <f aca="false">IF(ISNUMBER(A99),IF(COUNTIF(祝日!$A:$A,A99)&gt;0,"祝",CHOOSE(WEEKDAY(A99,2),"月","火","水","木","金","土","日")),"")</f>
        <v/>
      </c>
    </row>
    <row r="100" customFormat="false" ht="15" hidden="false" customHeight="false" outlineLevel="0" collapsed="false">
      <c r="Z100" s="25" t="str">
        <f aca="false">IF(ISNUMBER(A100),IF(COUNTIF(祝日!$A:$A,A100)&gt;0,"祝",CHOOSE(WEEKDAY(A100,2),"月","火","水","木","金","土","日")),"")</f>
        <v/>
      </c>
    </row>
    <row r="101" customFormat="false" ht="15" hidden="false" customHeight="false" outlineLevel="0" collapsed="false">
      <c r="Z101" s="25" t="str">
        <f aca="false">IF(ISNUMBER(A101),IF(COUNTIF(祝日!$A:$A,A101)&gt;0,"祝",CHOOSE(WEEKDAY(A101,2),"月","火","水","木","金","土","日")),"")</f>
        <v/>
      </c>
    </row>
    <row r="102" customFormat="false" ht="15" hidden="false" customHeight="false" outlineLevel="0" collapsed="false">
      <c r="Z102" s="25" t="str">
        <f aca="false">IF(ISNUMBER(A102),IF(COUNTIF(祝日!$A:$A,A102)&gt;0,"祝",CHOOSE(WEEKDAY(A102,2),"月","火","水","木","金","土","日")),"")</f>
        <v/>
      </c>
    </row>
    <row r="103" customFormat="false" ht="15" hidden="false" customHeight="false" outlineLevel="0" collapsed="false">
      <c r="Z103" s="25" t="str">
        <f aca="false">IF(ISNUMBER(A103),IF(COUNTIF(祝日!$A:$A,A103)&gt;0,"祝",CHOOSE(WEEKDAY(A103,2),"月","火","水","木","金","土","日")),"")</f>
        <v/>
      </c>
    </row>
    <row r="104" customFormat="false" ht="15" hidden="false" customHeight="false" outlineLevel="0" collapsed="false">
      <c r="Z104" s="25" t="str">
        <f aca="false">IF(ISNUMBER(A104),IF(COUNTIF(祝日!$A:$A,A104)&gt;0,"祝",CHOOSE(WEEKDAY(A104,2),"月","火","水","木","金","土","日")),"")</f>
        <v/>
      </c>
    </row>
    <row r="105" customFormat="false" ht="15" hidden="false" customHeight="false" outlineLevel="0" collapsed="false">
      <c r="Z105" s="25" t="str">
        <f aca="false">IF(ISNUMBER(A105),IF(COUNTIF(祝日!$A:$A,A105)&gt;0,"祝",CHOOSE(WEEKDAY(A105,2),"月","火","水","木","金","土","日")),"")</f>
        <v/>
      </c>
    </row>
    <row r="106" customFormat="false" ht="15" hidden="false" customHeight="false" outlineLevel="0" collapsed="false">
      <c r="Z106" s="25" t="str">
        <f aca="false">IF(ISNUMBER(A106),IF(COUNTIF(祝日!$A:$A,A106)&gt;0,"祝",CHOOSE(WEEKDAY(A106,2),"月","火","水","木","金","土","日")),"")</f>
        <v/>
      </c>
    </row>
    <row r="107" customFormat="false" ht="15" hidden="false" customHeight="false" outlineLevel="0" collapsed="false">
      <c r="Z107" s="25" t="str">
        <f aca="false">IF(ISNUMBER(A107),IF(COUNTIF(祝日!$A:$A,A107)&gt;0,"祝",CHOOSE(WEEKDAY(A107,2),"月","火","水","木","金","土","日")),"")</f>
        <v/>
      </c>
    </row>
    <row r="108" customFormat="false" ht="15" hidden="false" customHeight="false" outlineLevel="0" collapsed="false">
      <c r="Z108" s="25" t="str">
        <f aca="false">IF(ISNUMBER(A108),IF(COUNTIF(祝日!$A:$A,A108)&gt;0,"祝",CHOOSE(WEEKDAY(A108,2),"月","火","水","木","金","土","日")),"")</f>
        <v/>
      </c>
    </row>
    <row r="109" customFormat="false" ht="15" hidden="false" customHeight="false" outlineLevel="0" collapsed="false">
      <c r="Z109" s="25" t="str">
        <f aca="false">IF(ISNUMBER(A109),IF(COUNTIF(祝日!$A:$A,A109)&gt;0,"祝",CHOOSE(WEEKDAY(A109,2),"月","火","水","木","金","土","日")),"")</f>
        <v/>
      </c>
    </row>
    <row r="110" customFormat="false" ht="15" hidden="false" customHeight="false" outlineLevel="0" collapsed="false">
      <c r="Z110" s="25" t="str">
        <f aca="false">IF(ISNUMBER(A110),IF(COUNTIF(祝日!$A:$A,A110)&gt;0,"祝",CHOOSE(WEEKDAY(A110,2),"月","火","水","木","金","土","日")),"")</f>
        <v/>
      </c>
    </row>
    <row r="111" customFormat="false" ht="15" hidden="false" customHeight="false" outlineLevel="0" collapsed="false">
      <c r="Z111" s="25" t="str">
        <f aca="false">IF(ISNUMBER(A111),IF(COUNTIF(祝日!$A:$A,A111)&gt;0,"祝",CHOOSE(WEEKDAY(A111,2),"月","火","水","木","金","土","日")),"")</f>
        <v/>
      </c>
    </row>
    <row r="112" customFormat="false" ht="15" hidden="false" customHeight="false" outlineLevel="0" collapsed="false">
      <c r="Z112" s="25" t="str">
        <f aca="false">IF(ISNUMBER(A112),IF(COUNTIF(祝日!$A:$A,A112)&gt;0,"祝",CHOOSE(WEEKDAY(A112,2),"月","火","水","木","金","土","日")),"")</f>
        <v/>
      </c>
    </row>
    <row r="113" customFormat="false" ht="15" hidden="false" customHeight="false" outlineLevel="0" collapsed="false">
      <c r="Z113" s="25" t="str">
        <f aca="false">IF(ISNUMBER(A113),IF(COUNTIF(祝日!$A:$A,A113)&gt;0,"祝",CHOOSE(WEEKDAY(A113,2),"月","火","水","木","金","土","日")),"")</f>
        <v/>
      </c>
    </row>
    <row r="114" customFormat="false" ht="15" hidden="false" customHeight="false" outlineLevel="0" collapsed="false">
      <c r="Z114" s="25" t="str">
        <f aca="false">IF(ISNUMBER(A114),IF(COUNTIF(祝日!$A:$A,A114)&gt;0,"祝",CHOOSE(WEEKDAY(A114,2),"月","火","水","木","金","土","日")),"")</f>
        <v/>
      </c>
    </row>
    <row r="115" customFormat="false" ht="15" hidden="false" customHeight="false" outlineLevel="0" collapsed="false">
      <c r="Z115" s="25" t="str">
        <f aca="false">IF(ISNUMBER(A115),IF(COUNTIF(祝日!$A:$A,A115)&gt;0,"祝",CHOOSE(WEEKDAY(A115,2),"月","火","水","木","金","土","日")),"")</f>
        <v/>
      </c>
    </row>
    <row r="116" customFormat="false" ht="15" hidden="false" customHeight="false" outlineLevel="0" collapsed="false">
      <c r="Z116" s="25" t="str">
        <f aca="false">IF(ISNUMBER(A116),IF(COUNTIF(祝日!$A:$A,A116)&gt;0,"祝",CHOOSE(WEEKDAY(A116,2),"月","火","水","木","金","土","日")),"")</f>
        <v/>
      </c>
    </row>
    <row r="117" customFormat="false" ht="15" hidden="false" customHeight="false" outlineLevel="0" collapsed="false">
      <c r="Z117" s="25" t="str">
        <f aca="false">IF(ISNUMBER(A117),IF(COUNTIF(祝日!$A:$A,A117)&gt;0,"祝",CHOOSE(WEEKDAY(A117,2),"月","火","水","木","金","土","日")),"")</f>
        <v/>
      </c>
    </row>
    <row r="118" customFormat="false" ht="15" hidden="false" customHeight="false" outlineLevel="0" collapsed="false">
      <c r="Z118" s="25" t="str">
        <f aca="false">IF(ISNUMBER(A118),IF(COUNTIF(祝日!$A:$A,A118)&gt;0,"祝",CHOOSE(WEEKDAY(A118,2),"月","火","水","木","金","土","日")),"")</f>
        <v/>
      </c>
    </row>
    <row r="119" customFormat="false" ht="15" hidden="false" customHeight="false" outlineLevel="0" collapsed="false">
      <c r="Z119" s="25" t="str">
        <f aca="false">IF(ISNUMBER(A119),IF(COUNTIF(祝日!$A:$A,A119)&gt;0,"祝",CHOOSE(WEEKDAY(A119,2),"月","火","水","木","金","土","日")),"")</f>
        <v/>
      </c>
    </row>
    <row r="120" customFormat="false" ht="15" hidden="false" customHeight="false" outlineLevel="0" collapsed="false">
      <c r="Z120" s="25" t="str">
        <f aca="false">IF(ISNUMBER(A120),IF(COUNTIF(祝日!$A:$A,A120)&gt;0,"祝",CHOOSE(WEEKDAY(A120,2),"月","火","水","木","金","土","日")),"")</f>
        <v/>
      </c>
    </row>
    <row r="121" customFormat="false" ht="15" hidden="false" customHeight="false" outlineLevel="0" collapsed="false">
      <c r="Z121" s="25" t="str">
        <f aca="false">IF(ISNUMBER(A121),IF(COUNTIF(祝日!$A:$A,A121)&gt;0,"祝",CHOOSE(WEEKDAY(A121,2),"月","火","水","木","金","土","日")),"")</f>
        <v/>
      </c>
    </row>
    <row r="122" customFormat="false" ht="15" hidden="false" customHeight="false" outlineLevel="0" collapsed="false">
      <c r="Z122" s="25" t="str">
        <f aca="false">IF(ISNUMBER(A122),IF(COUNTIF(祝日!$A:$A,A122)&gt;0,"祝",CHOOSE(WEEKDAY(A122,2),"月","火","水","木","金","土","日")),"")</f>
        <v/>
      </c>
    </row>
    <row r="123" customFormat="false" ht="15" hidden="false" customHeight="false" outlineLevel="0" collapsed="false">
      <c r="Z123" s="25" t="str">
        <f aca="false">IF(ISNUMBER(A123),IF(COUNTIF(祝日!$A:$A,A123)&gt;0,"祝",CHOOSE(WEEKDAY(A123,2),"月","火","水","木","金","土","日")),"")</f>
        <v/>
      </c>
    </row>
    <row r="124" customFormat="false" ht="15" hidden="false" customHeight="false" outlineLevel="0" collapsed="false">
      <c r="Z124" s="25" t="str">
        <f aca="false">IF(ISNUMBER(A124),IF(COUNTIF(祝日!$A:$A,A124)&gt;0,"祝",CHOOSE(WEEKDAY(A124,2),"月","火","水","木","金","土","日")),"")</f>
        <v/>
      </c>
    </row>
    <row r="125" customFormat="false" ht="15" hidden="false" customHeight="false" outlineLevel="0" collapsed="false">
      <c r="Z125" s="25" t="str">
        <f aca="false">IF(ISNUMBER(A125),IF(COUNTIF(祝日!$A:$A,A125)&gt;0,"祝",CHOOSE(WEEKDAY(A125,2),"月","火","水","木","金","土","日")),"")</f>
        <v/>
      </c>
    </row>
    <row r="126" customFormat="false" ht="15" hidden="false" customHeight="false" outlineLevel="0" collapsed="false">
      <c r="Z126" s="25" t="str">
        <f aca="false">IF(ISNUMBER(A126),IF(COUNTIF(祝日!$A:$A,A126)&gt;0,"祝",CHOOSE(WEEKDAY(A126,2),"月","火","水","木","金","土","日")),"")</f>
        <v/>
      </c>
    </row>
    <row r="127" customFormat="false" ht="15" hidden="false" customHeight="false" outlineLevel="0" collapsed="false">
      <c r="Z127" s="25" t="str">
        <f aca="false">IF(ISNUMBER(A127),IF(COUNTIF(祝日!$A:$A,A127)&gt;0,"祝",CHOOSE(WEEKDAY(A127,2),"月","火","水","木","金","土","日")),"")</f>
        <v/>
      </c>
    </row>
    <row r="128" customFormat="false" ht="15" hidden="false" customHeight="false" outlineLevel="0" collapsed="false">
      <c r="Z128" s="25" t="str">
        <f aca="false">IF(ISNUMBER(A128),IF(COUNTIF(祝日!$A:$A,A128)&gt;0,"祝",CHOOSE(WEEKDAY(A128,2),"月","火","水","木","金","土","日")),"")</f>
        <v/>
      </c>
    </row>
    <row r="129" customFormat="false" ht="15" hidden="false" customHeight="false" outlineLevel="0" collapsed="false">
      <c r="Z129" s="25" t="str">
        <f aca="false">IF(ISNUMBER(A129),IF(COUNTIF(祝日!$A:$A,A129)&gt;0,"祝",CHOOSE(WEEKDAY(A129,2),"月","火","水","木","金","土","日")),"")</f>
        <v/>
      </c>
    </row>
    <row r="130" customFormat="false" ht="15" hidden="false" customHeight="false" outlineLevel="0" collapsed="false">
      <c r="Z130" s="25" t="str">
        <f aca="false">IF(ISNUMBER(A130),IF(COUNTIF(祝日!$A:$A,A130)&gt;0,"祝",CHOOSE(WEEKDAY(A130,2),"月","火","水","木","金","土","日")),"")</f>
        <v/>
      </c>
    </row>
    <row r="131" customFormat="false" ht="15" hidden="false" customHeight="false" outlineLevel="0" collapsed="false">
      <c r="Z131" s="25" t="str">
        <f aca="false">IF(ISNUMBER(A131),IF(COUNTIF(祝日!$A:$A,A131)&gt;0,"祝",CHOOSE(WEEKDAY(A131,2),"月","火","水","木","金","土","日")),"")</f>
        <v/>
      </c>
    </row>
    <row r="132" customFormat="false" ht="15" hidden="false" customHeight="false" outlineLevel="0" collapsed="false">
      <c r="Z132" s="25" t="str">
        <f aca="false">IF(ISNUMBER(A132),IF(COUNTIF(祝日!$A:$A,A132)&gt;0,"祝",CHOOSE(WEEKDAY(A132,2),"月","火","水","木","金","土","日")),"")</f>
        <v/>
      </c>
    </row>
    <row r="133" customFormat="false" ht="15" hidden="false" customHeight="false" outlineLevel="0" collapsed="false">
      <c r="Z133" s="25" t="str">
        <f aca="false">IF(ISNUMBER(A133),IF(COUNTIF(祝日!$A:$A,A133)&gt;0,"祝",CHOOSE(WEEKDAY(A133,2),"月","火","水","木","金","土","日")),"")</f>
        <v/>
      </c>
    </row>
    <row r="134" customFormat="false" ht="15" hidden="false" customHeight="false" outlineLevel="0" collapsed="false">
      <c r="Z134" s="25" t="str">
        <f aca="false">IF(ISNUMBER(A134),IF(COUNTIF(祝日!$A:$A,A134)&gt;0,"祝",CHOOSE(WEEKDAY(A134,2),"月","火","水","木","金","土","日")),"")</f>
        <v/>
      </c>
    </row>
    <row r="135" customFormat="false" ht="15" hidden="false" customHeight="false" outlineLevel="0" collapsed="false">
      <c r="Z135" s="25" t="str">
        <f aca="false">IF(ISNUMBER(A135),IF(COUNTIF(祝日!$A:$A,A135)&gt;0,"祝",CHOOSE(WEEKDAY(A135,2),"月","火","水","木","金","土","日")),"")</f>
        <v/>
      </c>
    </row>
    <row r="136" customFormat="false" ht="15" hidden="false" customHeight="false" outlineLevel="0" collapsed="false">
      <c r="Z136" s="25" t="str">
        <f aca="false">IF(ISNUMBER(A136),IF(COUNTIF(祝日!$A:$A,A136)&gt;0,"祝",CHOOSE(WEEKDAY(A136,2),"月","火","水","木","金","土","日")),"")</f>
        <v/>
      </c>
    </row>
    <row r="137" customFormat="false" ht="15" hidden="false" customHeight="false" outlineLevel="0" collapsed="false">
      <c r="Z137" s="25" t="str">
        <f aca="false">IF(ISNUMBER(A137),IF(COUNTIF(祝日!$A:$A,A137)&gt;0,"祝",CHOOSE(WEEKDAY(A137,2),"月","火","水","木","金","土","日")),"")</f>
        <v/>
      </c>
    </row>
    <row r="138" customFormat="false" ht="15" hidden="false" customHeight="false" outlineLevel="0" collapsed="false">
      <c r="Z138" s="25" t="str">
        <f aca="false">IF(ISNUMBER(A138),IF(COUNTIF(祝日!$A:$A,A138)&gt;0,"祝",CHOOSE(WEEKDAY(A138,2),"月","火","水","木","金","土","日")),"")</f>
        <v/>
      </c>
    </row>
    <row r="139" customFormat="false" ht="15" hidden="false" customHeight="false" outlineLevel="0" collapsed="false">
      <c r="Z139" s="25" t="str">
        <f aca="false">IF(ISNUMBER(A139),IF(COUNTIF(祝日!$A:$A,A139)&gt;0,"祝",CHOOSE(WEEKDAY(A139,2),"月","火","水","木","金","土","日")),"")</f>
        <v/>
      </c>
    </row>
    <row r="140" customFormat="false" ht="15" hidden="false" customHeight="false" outlineLevel="0" collapsed="false">
      <c r="Z140" s="25" t="str">
        <f aca="false">IF(ISNUMBER(A140),IF(COUNTIF(祝日!$A:$A,A140)&gt;0,"祝",CHOOSE(WEEKDAY(A140,2),"月","火","水","木","金","土","日")),"")</f>
        <v/>
      </c>
    </row>
    <row r="141" customFormat="false" ht="15" hidden="false" customHeight="false" outlineLevel="0" collapsed="false">
      <c r="Z141" s="25" t="str">
        <f aca="false">IF(ISNUMBER(A141),IF(COUNTIF(祝日!$A:$A,A141)&gt;0,"祝",CHOOSE(WEEKDAY(A141,2),"月","火","水","木","金","土","日")),"")</f>
        <v/>
      </c>
    </row>
    <row r="142" customFormat="false" ht="15" hidden="false" customHeight="false" outlineLevel="0" collapsed="false">
      <c r="Z142" s="25" t="str">
        <f aca="false">IF(ISNUMBER(A142),IF(COUNTIF(祝日!$A:$A,A142)&gt;0,"祝",CHOOSE(WEEKDAY(A142,2),"月","火","水","木","金","土","日")),"")</f>
        <v/>
      </c>
    </row>
    <row r="143" customFormat="false" ht="15" hidden="false" customHeight="false" outlineLevel="0" collapsed="false">
      <c r="Z143" s="25" t="str">
        <f aca="false">IF(ISNUMBER(A143),IF(COUNTIF(祝日!$A:$A,A143)&gt;0,"祝",CHOOSE(WEEKDAY(A143,2),"月","火","水","木","金","土","日")),"")</f>
        <v/>
      </c>
    </row>
    <row r="144" customFormat="false" ht="15" hidden="false" customHeight="false" outlineLevel="0" collapsed="false">
      <c r="Z144" s="25" t="str">
        <f aca="false">IF(ISNUMBER(A144),IF(COUNTIF(祝日!$A:$A,A144)&gt;0,"祝",CHOOSE(WEEKDAY(A144,2),"月","火","水","木","金","土","日")),"")</f>
        <v/>
      </c>
    </row>
    <row r="145" customFormat="false" ht="15" hidden="false" customHeight="false" outlineLevel="0" collapsed="false">
      <c r="Z145" s="25" t="str">
        <f aca="false">IF(ISNUMBER(A145),IF(COUNTIF(祝日!$A:$A,A145)&gt;0,"祝",CHOOSE(WEEKDAY(A145,2),"月","火","水","木","金","土","日")),"")</f>
        <v/>
      </c>
    </row>
    <row r="146" customFormat="false" ht="15" hidden="false" customHeight="false" outlineLevel="0" collapsed="false">
      <c r="Z146" s="25" t="str">
        <f aca="false">IF(ISNUMBER(A146),IF(COUNTIF(祝日!$A:$A,A146)&gt;0,"祝",CHOOSE(WEEKDAY(A146,2),"月","火","水","木","金","土","日")),"")</f>
        <v/>
      </c>
    </row>
    <row r="147" customFormat="false" ht="15" hidden="false" customHeight="false" outlineLevel="0" collapsed="false">
      <c r="Z147" s="25" t="str">
        <f aca="false">IF(ISNUMBER(A147),IF(COUNTIF(祝日!$A:$A,A147)&gt;0,"祝",CHOOSE(WEEKDAY(A147,2),"月","火","水","木","金","土","日")),"")</f>
        <v/>
      </c>
    </row>
    <row r="148" customFormat="false" ht="15" hidden="false" customHeight="false" outlineLevel="0" collapsed="false">
      <c r="Z148" s="25" t="str">
        <f aca="false">IF(ISNUMBER(A148),IF(COUNTIF(祝日!$A:$A,A148)&gt;0,"祝",CHOOSE(WEEKDAY(A148,2),"月","火","水","木","金","土","日")),"")</f>
        <v/>
      </c>
    </row>
    <row r="149" customFormat="false" ht="15" hidden="false" customHeight="false" outlineLevel="0" collapsed="false">
      <c r="Z149" s="25" t="str">
        <f aca="false">IF(ISNUMBER(A149),IF(COUNTIF(祝日!$A:$A,A149)&gt;0,"祝",CHOOSE(WEEKDAY(A149,2),"月","火","水","木","金","土","日")),"")</f>
        <v/>
      </c>
    </row>
    <row r="150" customFormat="false" ht="15" hidden="false" customHeight="false" outlineLevel="0" collapsed="false">
      <c r="Z150" s="25" t="str">
        <f aca="false">IF(ISNUMBER(A150),IF(COUNTIF(祝日!$A:$A,A150)&gt;0,"祝",CHOOSE(WEEKDAY(A150,2),"月","火","水","木","金","土","日")),"")</f>
        <v/>
      </c>
    </row>
    <row r="151" customFormat="false" ht="15" hidden="false" customHeight="false" outlineLevel="0" collapsed="false">
      <c r="Z151" s="25" t="str">
        <f aca="false">IF(ISNUMBER(A151),IF(COUNTIF(祝日!$A:$A,A151)&gt;0,"祝",CHOOSE(WEEKDAY(A151,2),"月","火","水","木","金","土","日")),"")</f>
        <v/>
      </c>
    </row>
    <row r="152" customFormat="false" ht="15" hidden="false" customHeight="false" outlineLevel="0" collapsed="false">
      <c r="Z152" s="25" t="str">
        <f aca="false">IF(ISNUMBER(A152),IF(COUNTIF(祝日!$A:$A,A152)&gt;0,"祝",CHOOSE(WEEKDAY(A152,2),"月","火","水","木","金","土","日")),"")</f>
        <v/>
      </c>
    </row>
    <row r="153" customFormat="false" ht="15" hidden="false" customHeight="false" outlineLevel="0" collapsed="false">
      <c r="Z153" s="25" t="str">
        <f aca="false">IF(ISNUMBER(A153),IF(COUNTIF(祝日!$A:$A,A153)&gt;0,"祝",CHOOSE(WEEKDAY(A153,2),"月","火","水","木","金","土","日")),"")</f>
        <v/>
      </c>
    </row>
    <row r="154" customFormat="false" ht="15" hidden="false" customHeight="false" outlineLevel="0" collapsed="false">
      <c r="Z154" s="25" t="str">
        <f aca="false">IF(ISNUMBER(A154),IF(COUNTIF(祝日!$A:$A,A154)&gt;0,"祝",CHOOSE(WEEKDAY(A154,2),"月","火","水","木","金","土","日")),"")</f>
        <v/>
      </c>
    </row>
    <row r="155" customFormat="false" ht="15" hidden="false" customHeight="false" outlineLevel="0" collapsed="false">
      <c r="Z155" s="25" t="str">
        <f aca="false">IF(ISNUMBER(A155),IF(COUNTIF(祝日!$A:$A,A155)&gt;0,"祝",CHOOSE(WEEKDAY(A155,2),"月","火","水","木","金","土","日")),"")</f>
        <v/>
      </c>
    </row>
    <row r="156" customFormat="false" ht="15" hidden="false" customHeight="false" outlineLevel="0" collapsed="false">
      <c r="Z156" s="25" t="str">
        <f aca="false">IF(ISNUMBER(A156),IF(COUNTIF(祝日!$A:$A,A156)&gt;0,"祝",CHOOSE(WEEKDAY(A156,2),"月","火","水","木","金","土","日")),"")</f>
        <v/>
      </c>
    </row>
    <row r="157" customFormat="false" ht="15" hidden="false" customHeight="false" outlineLevel="0" collapsed="false">
      <c r="Z157" s="25" t="str">
        <f aca="false">IF(ISNUMBER(A157),IF(COUNTIF(祝日!$A:$A,A157)&gt;0,"祝",CHOOSE(WEEKDAY(A157,2),"月","火","水","木","金","土","日")),"")</f>
        <v/>
      </c>
    </row>
    <row r="158" customFormat="false" ht="15" hidden="false" customHeight="false" outlineLevel="0" collapsed="false">
      <c r="Z158" s="25" t="str">
        <f aca="false">IF(ISNUMBER(A158),IF(COUNTIF(祝日!$A:$A,A158)&gt;0,"祝",CHOOSE(WEEKDAY(A158,2),"月","火","水","木","金","土","日")),"")</f>
        <v/>
      </c>
    </row>
    <row r="159" customFormat="false" ht="15" hidden="false" customHeight="false" outlineLevel="0" collapsed="false">
      <c r="Z159" s="25" t="str">
        <f aca="false">IF(ISNUMBER(A159),IF(COUNTIF(祝日!$A:$A,A159)&gt;0,"祝",CHOOSE(WEEKDAY(A159,2),"月","火","水","木","金","土","日")),"")</f>
        <v/>
      </c>
    </row>
    <row r="160" customFormat="false" ht="15" hidden="false" customHeight="false" outlineLevel="0" collapsed="false">
      <c r="Z160" s="25" t="str">
        <f aca="false">IF(ISNUMBER(A160),IF(COUNTIF(祝日!$A:$A,A160)&gt;0,"祝",CHOOSE(WEEKDAY(A160,2),"月","火","水","木","金","土","日")),"")</f>
        <v/>
      </c>
    </row>
    <row r="161" customFormat="false" ht="15" hidden="false" customHeight="false" outlineLevel="0" collapsed="false">
      <c r="Z161" s="25" t="str">
        <f aca="false">IF(ISNUMBER(A161),IF(COUNTIF(祝日!$A:$A,A161)&gt;0,"祝",CHOOSE(WEEKDAY(A161,2),"月","火","水","木","金","土","日")),"")</f>
        <v/>
      </c>
    </row>
    <row r="162" customFormat="false" ht="15" hidden="false" customHeight="false" outlineLevel="0" collapsed="false">
      <c r="Z162" s="25" t="str">
        <f aca="false">IF(ISNUMBER(A162),IF(COUNTIF(祝日!$A:$A,A162)&gt;0,"祝",CHOOSE(WEEKDAY(A162,2),"月","火","水","木","金","土","日")),"")</f>
        <v/>
      </c>
    </row>
    <row r="163" customFormat="false" ht="15" hidden="false" customHeight="false" outlineLevel="0" collapsed="false">
      <c r="Z163" s="25" t="str">
        <f aca="false">IF(ISNUMBER(A163),IF(COUNTIF(祝日!$A:$A,A163)&gt;0,"祝",CHOOSE(WEEKDAY(A163,2),"月","火","水","木","金","土","日")),"")</f>
        <v/>
      </c>
    </row>
    <row r="164" customFormat="false" ht="15" hidden="false" customHeight="false" outlineLevel="0" collapsed="false">
      <c r="Z164" s="25" t="str">
        <f aca="false">IF(ISNUMBER(A164),IF(COUNTIF(祝日!$A:$A,A164)&gt;0,"祝",CHOOSE(WEEKDAY(A164,2),"月","火","水","木","金","土","日")),"")</f>
        <v/>
      </c>
    </row>
    <row r="165" customFormat="false" ht="15" hidden="false" customHeight="false" outlineLevel="0" collapsed="false">
      <c r="Z165" s="25" t="str">
        <f aca="false">IF(ISNUMBER(A165),IF(COUNTIF(祝日!$A:$A,A165)&gt;0,"祝",CHOOSE(WEEKDAY(A165,2),"月","火","水","木","金","土","日")),"")</f>
        <v/>
      </c>
    </row>
    <row r="166" customFormat="false" ht="15" hidden="false" customHeight="false" outlineLevel="0" collapsed="false">
      <c r="Z166" s="25" t="str">
        <f aca="false">IF(ISNUMBER(A166),IF(COUNTIF(祝日!$A:$A,A166)&gt;0,"祝",CHOOSE(WEEKDAY(A166,2),"月","火","水","木","金","土","日")),"")</f>
        <v/>
      </c>
    </row>
    <row r="167" customFormat="false" ht="15" hidden="false" customHeight="false" outlineLevel="0" collapsed="false">
      <c r="Z167" s="25" t="str">
        <f aca="false">IF(ISNUMBER(A167),IF(COUNTIF(祝日!$A:$A,A167)&gt;0,"祝",CHOOSE(WEEKDAY(A167,2),"月","火","水","木","金","土","日")),"")</f>
        <v/>
      </c>
    </row>
    <row r="168" customFormat="false" ht="15" hidden="false" customHeight="false" outlineLevel="0" collapsed="false">
      <c r="Z168" s="25" t="str">
        <f aca="false">IF(ISNUMBER(A168),IF(COUNTIF(祝日!$A:$A,A168)&gt;0,"祝",CHOOSE(WEEKDAY(A168,2),"月","火","水","木","金","土","日")),"")</f>
        <v/>
      </c>
    </row>
    <row r="169" customFormat="false" ht="15" hidden="false" customHeight="false" outlineLevel="0" collapsed="false">
      <c r="Z169" s="25" t="str">
        <f aca="false">IF(ISNUMBER(A169),IF(COUNTIF(祝日!$A:$A,A169)&gt;0,"祝",CHOOSE(WEEKDAY(A169,2),"月","火","水","木","金","土","日")),"")</f>
        <v/>
      </c>
    </row>
    <row r="170" customFormat="false" ht="15" hidden="false" customHeight="false" outlineLevel="0" collapsed="false">
      <c r="Z170" s="25" t="str">
        <f aca="false">IF(ISNUMBER(A170),IF(COUNTIF(祝日!$A:$A,A170)&gt;0,"祝",CHOOSE(WEEKDAY(A170,2),"月","火","水","木","金","土","日")),"")</f>
        <v/>
      </c>
    </row>
    <row r="171" customFormat="false" ht="15" hidden="false" customHeight="false" outlineLevel="0" collapsed="false">
      <c r="Z171" s="25" t="str">
        <f aca="false">IF(ISNUMBER(A171),IF(COUNTIF(祝日!$A:$A,A171)&gt;0,"祝",CHOOSE(WEEKDAY(A171,2),"月","火","水","木","金","土","日")),"")</f>
        <v/>
      </c>
    </row>
    <row r="172" customFormat="false" ht="15" hidden="false" customHeight="false" outlineLevel="0" collapsed="false">
      <c r="Z172" s="25" t="str">
        <f aca="false">IF(ISNUMBER(A172),IF(COUNTIF(祝日!$A:$A,A172)&gt;0,"祝",CHOOSE(WEEKDAY(A172,2),"月","火","水","木","金","土","日")),"")</f>
        <v/>
      </c>
    </row>
    <row r="173" customFormat="false" ht="15" hidden="false" customHeight="false" outlineLevel="0" collapsed="false">
      <c r="Z173" s="25" t="str">
        <f aca="false">IF(ISNUMBER(A173),IF(COUNTIF(祝日!$A:$A,A173)&gt;0,"祝",CHOOSE(WEEKDAY(A173,2),"月","火","水","木","金","土","日")),"")</f>
        <v/>
      </c>
    </row>
    <row r="174" customFormat="false" ht="15" hidden="false" customHeight="false" outlineLevel="0" collapsed="false">
      <c r="Z174" s="25" t="str">
        <f aca="false">IF(ISNUMBER(A174),IF(COUNTIF(祝日!$A:$A,A174)&gt;0,"祝",CHOOSE(WEEKDAY(A174,2),"月","火","水","木","金","土","日")),"")</f>
        <v/>
      </c>
    </row>
    <row r="175" customFormat="false" ht="15" hidden="false" customHeight="false" outlineLevel="0" collapsed="false">
      <c r="Z175" s="25" t="str">
        <f aca="false">IF(ISNUMBER(A175),IF(COUNTIF(祝日!$A:$A,A175)&gt;0,"祝",CHOOSE(WEEKDAY(A175,2),"月","火","水","木","金","土","日")),"")</f>
        <v/>
      </c>
    </row>
    <row r="176" customFormat="false" ht="15" hidden="false" customHeight="false" outlineLevel="0" collapsed="false">
      <c r="Z176" s="25" t="str">
        <f aca="false">IF(ISNUMBER(A176),IF(COUNTIF(祝日!$A:$A,A176)&gt;0,"祝",CHOOSE(WEEKDAY(A176,2),"月","火","水","木","金","土","日")),"")</f>
        <v/>
      </c>
    </row>
    <row r="177" customFormat="false" ht="15" hidden="false" customHeight="false" outlineLevel="0" collapsed="false">
      <c r="Z177" s="25" t="str">
        <f aca="false">IF(ISNUMBER(A177),IF(COUNTIF(祝日!$A:$A,A177)&gt;0,"祝",CHOOSE(WEEKDAY(A177,2),"月","火","水","木","金","土","日")),"")</f>
        <v/>
      </c>
    </row>
    <row r="178" customFormat="false" ht="15" hidden="false" customHeight="false" outlineLevel="0" collapsed="false">
      <c r="Z178" s="25" t="str">
        <f aca="false">IF(ISNUMBER(A178),IF(COUNTIF(祝日!$A:$A,A178)&gt;0,"祝",CHOOSE(WEEKDAY(A178,2),"月","火","水","木","金","土","日")),"")</f>
        <v/>
      </c>
    </row>
    <row r="179" customFormat="false" ht="15" hidden="false" customHeight="false" outlineLevel="0" collapsed="false">
      <c r="Z179" s="25" t="str">
        <f aca="false">IF(ISNUMBER(A179),IF(COUNTIF(祝日!$A:$A,A179)&gt;0,"祝",CHOOSE(WEEKDAY(A179,2),"月","火","水","木","金","土","日")),"")</f>
        <v/>
      </c>
    </row>
    <row r="180" customFormat="false" ht="15" hidden="false" customHeight="false" outlineLevel="0" collapsed="false">
      <c r="Z180" s="25" t="str">
        <f aca="false">IF(ISNUMBER(A180),IF(COUNTIF(祝日!$A:$A,A180)&gt;0,"祝",CHOOSE(WEEKDAY(A180,2),"月","火","水","木","金","土","日")),"")</f>
        <v/>
      </c>
    </row>
    <row r="181" customFormat="false" ht="15" hidden="false" customHeight="false" outlineLevel="0" collapsed="false">
      <c r="Z181" s="25" t="str">
        <f aca="false">IF(ISNUMBER(A181),IF(COUNTIF(祝日!$A:$A,A181)&gt;0,"祝",CHOOSE(WEEKDAY(A181,2),"月","火","水","木","金","土","日")),"")</f>
        <v/>
      </c>
    </row>
    <row r="182" customFormat="false" ht="15" hidden="false" customHeight="false" outlineLevel="0" collapsed="false">
      <c r="Z182" s="25" t="str">
        <f aca="false">IF(ISNUMBER(A182),IF(COUNTIF(祝日!$A:$A,A182)&gt;0,"祝",CHOOSE(WEEKDAY(A182,2),"月","火","水","木","金","土","日")),"")</f>
        <v/>
      </c>
    </row>
    <row r="183" customFormat="false" ht="15" hidden="false" customHeight="false" outlineLevel="0" collapsed="false">
      <c r="Z183" s="25" t="str">
        <f aca="false">IF(ISNUMBER(A183),IF(COUNTIF(祝日!$A:$A,A183)&gt;0,"祝",CHOOSE(WEEKDAY(A183,2),"月","火","水","木","金","土","日")),"")</f>
        <v/>
      </c>
    </row>
    <row r="184" customFormat="false" ht="15" hidden="false" customHeight="false" outlineLevel="0" collapsed="false">
      <c r="Z184" s="25" t="str">
        <f aca="false">IF(ISNUMBER(A184),IF(COUNTIF(祝日!$A:$A,A184)&gt;0,"祝",CHOOSE(WEEKDAY(A184,2),"月","火","水","木","金","土","日")),"")</f>
        <v/>
      </c>
    </row>
    <row r="185" customFormat="false" ht="15" hidden="false" customHeight="false" outlineLevel="0" collapsed="false">
      <c r="Z185" s="25" t="str">
        <f aca="false">IF(ISNUMBER(A185),IF(COUNTIF(祝日!$A:$A,A185)&gt;0,"祝",CHOOSE(WEEKDAY(A185,2),"月","火","水","木","金","土","日")),"")</f>
        <v/>
      </c>
    </row>
    <row r="186" customFormat="false" ht="15" hidden="false" customHeight="false" outlineLevel="0" collapsed="false">
      <c r="Z186" s="25" t="str">
        <f aca="false">IF(ISNUMBER(A186),IF(COUNTIF(祝日!$A:$A,A186)&gt;0,"祝",CHOOSE(WEEKDAY(A186,2),"月","火","水","木","金","土","日")),"")</f>
        <v/>
      </c>
    </row>
    <row r="187" customFormat="false" ht="15" hidden="false" customHeight="false" outlineLevel="0" collapsed="false">
      <c r="Z187" s="25" t="str">
        <f aca="false">IF(ISNUMBER(A187),IF(COUNTIF(祝日!$A:$A,A187)&gt;0,"祝",CHOOSE(WEEKDAY(A187,2),"月","火","水","木","金","土","日")),"")</f>
        <v/>
      </c>
    </row>
    <row r="188" customFormat="false" ht="15" hidden="false" customHeight="false" outlineLevel="0" collapsed="false">
      <c r="Z188" s="25" t="str">
        <f aca="false">IF(ISNUMBER(A188),IF(COUNTIF(祝日!$A:$A,A188)&gt;0,"祝",CHOOSE(WEEKDAY(A188,2),"月","火","水","木","金","土","日")),"")</f>
        <v/>
      </c>
    </row>
    <row r="189" customFormat="false" ht="15" hidden="false" customHeight="false" outlineLevel="0" collapsed="false">
      <c r="Z189" s="25" t="str">
        <f aca="false">IF(ISNUMBER(A189),IF(COUNTIF(祝日!$A:$A,A189)&gt;0,"祝",CHOOSE(WEEKDAY(A189,2),"月","火","水","木","金","土","日")),"")</f>
        <v/>
      </c>
    </row>
    <row r="190" customFormat="false" ht="15" hidden="false" customHeight="false" outlineLevel="0" collapsed="false">
      <c r="Z190" s="25" t="str">
        <f aca="false">IF(ISNUMBER(A190),IF(COUNTIF(祝日!$A:$A,A190)&gt;0,"祝",CHOOSE(WEEKDAY(A190,2),"月","火","水","木","金","土","日")),"")</f>
        <v/>
      </c>
    </row>
    <row r="191" customFormat="false" ht="15" hidden="false" customHeight="false" outlineLevel="0" collapsed="false">
      <c r="Z191" s="25" t="str">
        <f aca="false">IF(ISNUMBER(A191),IF(COUNTIF(祝日!$A:$A,A191)&gt;0,"祝",CHOOSE(WEEKDAY(A191,2),"月","火","水","木","金","土","日")),"")</f>
        <v/>
      </c>
    </row>
    <row r="192" customFormat="false" ht="15" hidden="false" customHeight="false" outlineLevel="0" collapsed="false">
      <c r="Z192" s="25" t="str">
        <f aca="false">IF(ISNUMBER(A192),IF(COUNTIF(祝日!$A:$A,A192)&gt;0,"祝",CHOOSE(WEEKDAY(A192,2),"月","火","水","木","金","土","日")),"")</f>
        <v/>
      </c>
    </row>
    <row r="193" customFormat="false" ht="15" hidden="false" customHeight="false" outlineLevel="0" collapsed="false">
      <c r="Z193" s="25" t="str">
        <f aca="false">IF(ISNUMBER(A193),IF(COUNTIF(祝日!$A:$A,A193)&gt;0,"祝",CHOOSE(WEEKDAY(A193,2),"月","火","水","木","金","土","日")),"")</f>
        <v/>
      </c>
    </row>
    <row r="194" customFormat="false" ht="15" hidden="false" customHeight="false" outlineLevel="0" collapsed="false">
      <c r="Z194" s="25" t="str">
        <f aca="false">IF(ISNUMBER(A194),IF(COUNTIF(祝日!$A:$A,A194)&gt;0,"祝",CHOOSE(WEEKDAY(A194,2),"月","火","水","木","金","土","日")),"")</f>
        <v/>
      </c>
    </row>
    <row r="195" customFormat="false" ht="15" hidden="false" customHeight="false" outlineLevel="0" collapsed="false">
      <c r="Z195" s="25" t="str">
        <f aca="false">IF(ISNUMBER(A195),IF(COUNTIF(祝日!$A:$A,A195)&gt;0,"祝",CHOOSE(WEEKDAY(A195,2),"月","火","水","木","金","土","日")),"")</f>
        <v/>
      </c>
    </row>
    <row r="196" customFormat="false" ht="15" hidden="false" customHeight="false" outlineLevel="0" collapsed="false">
      <c r="Z196" s="25" t="str">
        <f aca="false">IF(ISNUMBER(A196),IF(COUNTIF(祝日!$A:$A,A196)&gt;0,"祝",CHOOSE(WEEKDAY(A196,2),"月","火","水","木","金","土","日")),"")</f>
        <v/>
      </c>
    </row>
    <row r="197" customFormat="false" ht="15" hidden="false" customHeight="false" outlineLevel="0" collapsed="false">
      <c r="Z197" s="25" t="str">
        <f aca="false">IF(ISNUMBER(A197),IF(COUNTIF(祝日!$A:$A,A197)&gt;0,"祝",CHOOSE(WEEKDAY(A197,2),"月","火","水","木","金","土","日")),"")</f>
        <v/>
      </c>
    </row>
    <row r="198" customFormat="false" ht="15" hidden="false" customHeight="false" outlineLevel="0" collapsed="false">
      <c r="Z198" s="25" t="str">
        <f aca="false">IF(ISNUMBER(A198),IF(COUNTIF(祝日!$A:$A,A198)&gt;0,"祝",CHOOSE(WEEKDAY(A198,2),"月","火","水","木","金","土","日")),"")</f>
        <v/>
      </c>
    </row>
    <row r="199" customFormat="false" ht="15" hidden="false" customHeight="false" outlineLevel="0" collapsed="false">
      <c r="Z199" s="25" t="str">
        <f aca="false">IF(ISNUMBER(A199),IF(COUNTIF(祝日!$A:$A,A199)&gt;0,"祝",CHOOSE(WEEKDAY(A199,2),"月","火","水","木","金","土","日")),"")</f>
        <v/>
      </c>
    </row>
    <row r="200" customFormat="false" ht="15" hidden="false" customHeight="false" outlineLevel="0" collapsed="false">
      <c r="Z200" s="25" t="str">
        <f aca="false">IF(ISNUMBER(A200),IF(COUNTIF(祝日!$A:$A,A200)&gt;0,"祝",CHOOSE(WEEKDAY(A200,2),"月","火","水","木","金","土","日")),"")</f>
        <v/>
      </c>
    </row>
    <row r="201" customFormat="false" ht="15" hidden="false" customHeight="false" outlineLevel="0" collapsed="false">
      <c r="Z201" s="25" t="str">
        <f aca="false">IF(ISNUMBER(A201),IF(COUNTIF(祝日!$A:$A,A201)&gt;0,"祝",CHOOSE(WEEKDAY(A201,2),"月","火","水","木","金","土","日")),"")</f>
        <v/>
      </c>
    </row>
    <row r="202" customFormat="false" ht="15" hidden="false" customHeight="false" outlineLevel="0" collapsed="false">
      <c r="Z202" s="25" t="str">
        <f aca="false">IF(ISNUMBER(A202),IF(COUNTIF(祝日!$A:$A,A202)&gt;0,"祝",CHOOSE(WEEKDAY(A202,2),"月","火","水","木","金","土","日")),"")</f>
        <v/>
      </c>
    </row>
    <row r="203" customFormat="false" ht="15" hidden="false" customHeight="false" outlineLevel="0" collapsed="false">
      <c r="Z203" s="25" t="str">
        <f aca="false">IF(ISNUMBER(A203),IF(COUNTIF(祝日!$A:$A,A203)&gt;0,"祝",CHOOSE(WEEKDAY(A203,2),"月","火","水","木","金","土","日")),"")</f>
        <v/>
      </c>
    </row>
    <row r="204" customFormat="false" ht="15" hidden="false" customHeight="false" outlineLevel="0" collapsed="false">
      <c r="Z204" s="25" t="str">
        <f aca="false">IF(ISNUMBER(A204),IF(COUNTIF(祝日!$A:$A,A204)&gt;0,"祝",CHOOSE(WEEKDAY(A204,2),"月","火","水","木","金","土","日")),"")</f>
        <v/>
      </c>
    </row>
    <row r="205" customFormat="false" ht="15" hidden="false" customHeight="false" outlineLevel="0" collapsed="false">
      <c r="Z205" s="25" t="str">
        <f aca="false">IF(ISNUMBER(A205),IF(COUNTIF(祝日!$A:$A,A205)&gt;0,"祝",CHOOSE(WEEKDAY(A205,2),"月","火","水","木","金","土","日")),"")</f>
        <v/>
      </c>
    </row>
    <row r="206" customFormat="false" ht="15" hidden="false" customHeight="false" outlineLevel="0" collapsed="false">
      <c r="Z206" s="25" t="str">
        <f aca="false">IF(ISNUMBER(A206),IF(COUNTIF(祝日!$A:$A,A206)&gt;0,"祝",CHOOSE(WEEKDAY(A206,2),"月","火","水","木","金","土","日")),"")</f>
        <v/>
      </c>
    </row>
    <row r="207" customFormat="false" ht="15" hidden="false" customHeight="false" outlineLevel="0" collapsed="false">
      <c r="Z207" s="25" t="str">
        <f aca="false">IF(ISNUMBER(A207),IF(COUNTIF(祝日!$A:$A,A207)&gt;0,"祝",CHOOSE(WEEKDAY(A207,2),"月","火","水","木","金","土","日")),"")</f>
        <v/>
      </c>
    </row>
    <row r="208" customFormat="false" ht="15" hidden="false" customHeight="false" outlineLevel="0" collapsed="false">
      <c r="Z208" s="25" t="str">
        <f aca="false">IF(ISNUMBER(A208),IF(COUNTIF(祝日!$A:$A,A208)&gt;0,"祝",CHOOSE(WEEKDAY(A208,2),"月","火","水","木","金","土","日")),"")</f>
        <v/>
      </c>
    </row>
    <row r="209" customFormat="false" ht="15" hidden="false" customHeight="false" outlineLevel="0" collapsed="false">
      <c r="Z209" s="25" t="str">
        <f aca="false">IF(ISNUMBER(A209),IF(COUNTIF(祝日!$A:$A,A209)&gt;0,"祝",CHOOSE(WEEKDAY(A209,2),"月","火","水","木","金","土","日")),"")</f>
        <v/>
      </c>
    </row>
    <row r="210" customFormat="false" ht="15" hidden="false" customHeight="false" outlineLevel="0" collapsed="false">
      <c r="Z210" s="25" t="str">
        <f aca="false">IF(ISNUMBER(A210),IF(COUNTIF(祝日!$A:$A,A210)&gt;0,"祝",CHOOSE(WEEKDAY(A210,2),"月","火","水","木","金","土","日")),"")</f>
        <v/>
      </c>
    </row>
    <row r="211" customFormat="false" ht="15" hidden="false" customHeight="false" outlineLevel="0" collapsed="false">
      <c r="Z211" s="25" t="str">
        <f aca="false">IF(ISNUMBER(A211),IF(COUNTIF(祝日!$A:$A,A211)&gt;0,"祝",CHOOSE(WEEKDAY(A211,2),"月","火","水","木","金","土","日")),"")</f>
        <v/>
      </c>
    </row>
    <row r="212" customFormat="false" ht="15" hidden="false" customHeight="false" outlineLevel="0" collapsed="false">
      <c r="Z212" s="25" t="str">
        <f aca="false">IF(ISNUMBER(A212),IF(COUNTIF(祝日!$A:$A,A212)&gt;0,"祝",CHOOSE(WEEKDAY(A212,2),"月","火","水","木","金","土","日")),"")</f>
        <v/>
      </c>
    </row>
    <row r="213" customFormat="false" ht="15" hidden="false" customHeight="false" outlineLevel="0" collapsed="false">
      <c r="Z213" s="25" t="str">
        <f aca="false">IF(ISNUMBER(A213),IF(COUNTIF(祝日!$A:$A,A213)&gt;0,"祝",CHOOSE(WEEKDAY(A213,2),"月","火","水","木","金","土","日")),"")</f>
        <v/>
      </c>
    </row>
    <row r="214" customFormat="false" ht="15" hidden="false" customHeight="false" outlineLevel="0" collapsed="false">
      <c r="Z214" s="25" t="str">
        <f aca="false">IF(ISNUMBER(A214),IF(COUNTIF(祝日!$A:$A,A214)&gt;0,"祝",CHOOSE(WEEKDAY(A214,2),"月","火","水","木","金","土","日")),"")</f>
        <v/>
      </c>
    </row>
    <row r="215" customFormat="false" ht="15" hidden="false" customHeight="false" outlineLevel="0" collapsed="false">
      <c r="Z215" s="25" t="str">
        <f aca="false">IF(ISNUMBER(A215),IF(COUNTIF(祝日!$A:$A,A215)&gt;0,"祝",CHOOSE(WEEKDAY(A215,2),"月","火","水","木","金","土","日")),"")</f>
        <v/>
      </c>
    </row>
    <row r="216" customFormat="false" ht="15" hidden="false" customHeight="false" outlineLevel="0" collapsed="false">
      <c r="Z216" s="25" t="str">
        <f aca="false">IF(ISNUMBER(A216),IF(COUNTIF(祝日!$A:$A,A216)&gt;0,"祝",CHOOSE(WEEKDAY(A216,2),"月","火","水","木","金","土","日")),"")</f>
        <v/>
      </c>
    </row>
    <row r="217" customFormat="false" ht="15" hidden="false" customHeight="false" outlineLevel="0" collapsed="false">
      <c r="Z217" s="25" t="str">
        <f aca="false">IF(ISNUMBER(A217),IF(COUNTIF(祝日!$A:$A,A217)&gt;0,"祝",CHOOSE(WEEKDAY(A217,2),"月","火","水","木","金","土","日")),"")</f>
        <v/>
      </c>
    </row>
    <row r="218" customFormat="false" ht="15" hidden="false" customHeight="false" outlineLevel="0" collapsed="false">
      <c r="Z218" s="25" t="str">
        <f aca="false">IF(ISNUMBER(A218),IF(COUNTIF(祝日!$A:$A,A218)&gt;0,"祝",CHOOSE(WEEKDAY(A218,2),"月","火","水","木","金","土","日")),"")</f>
        <v/>
      </c>
    </row>
    <row r="219" customFormat="false" ht="15" hidden="false" customHeight="false" outlineLevel="0" collapsed="false">
      <c r="Z219" s="25" t="str">
        <f aca="false">IF(ISNUMBER(A219),IF(COUNTIF(祝日!$A:$A,A219)&gt;0,"祝",CHOOSE(WEEKDAY(A219,2),"月","火","水","木","金","土","日")),"")</f>
        <v/>
      </c>
    </row>
    <row r="220" customFormat="false" ht="15" hidden="false" customHeight="false" outlineLevel="0" collapsed="false">
      <c r="Z220" s="25" t="str">
        <f aca="false">IF(ISNUMBER(A220),IF(COUNTIF(祝日!$A:$A,A220)&gt;0,"祝",CHOOSE(WEEKDAY(A220,2),"月","火","水","木","金","土","日")),"")</f>
        <v/>
      </c>
    </row>
    <row r="221" customFormat="false" ht="15" hidden="false" customHeight="false" outlineLevel="0" collapsed="false">
      <c r="Z221" s="25" t="str">
        <f aca="false">IF(ISNUMBER(A221),IF(COUNTIF(祝日!$A:$A,A221)&gt;0,"祝",CHOOSE(WEEKDAY(A221,2),"月","火","水","木","金","土","日")),"")</f>
        <v/>
      </c>
    </row>
    <row r="222" customFormat="false" ht="15" hidden="false" customHeight="false" outlineLevel="0" collapsed="false">
      <c r="Z222" s="25" t="str">
        <f aca="false">IF(ISNUMBER(A222),IF(COUNTIF(祝日!$A:$A,A222)&gt;0,"祝",CHOOSE(WEEKDAY(A222,2),"月","火","水","木","金","土","日")),"")</f>
        <v/>
      </c>
    </row>
    <row r="223" customFormat="false" ht="15" hidden="false" customHeight="false" outlineLevel="0" collapsed="false">
      <c r="Z223" s="25" t="str">
        <f aca="false">IF(ISNUMBER(A223),IF(COUNTIF(祝日!$A:$A,A223)&gt;0,"祝",CHOOSE(WEEKDAY(A223,2),"月","火","水","木","金","土","日")),"")</f>
        <v/>
      </c>
    </row>
    <row r="224" customFormat="false" ht="15" hidden="false" customHeight="false" outlineLevel="0" collapsed="false">
      <c r="Z224" s="25" t="str">
        <f aca="false">IF(ISNUMBER(A224),IF(COUNTIF(祝日!$A:$A,A224)&gt;0,"祝",CHOOSE(WEEKDAY(A224,2),"月","火","水","木","金","土","日")),"")</f>
        <v/>
      </c>
    </row>
    <row r="225" customFormat="false" ht="15" hidden="false" customHeight="false" outlineLevel="0" collapsed="false">
      <c r="Z225" s="25" t="str">
        <f aca="false">IF(ISNUMBER(A225),IF(COUNTIF(祝日!$A:$A,A225)&gt;0,"祝",CHOOSE(WEEKDAY(A225,2),"月","火","水","木","金","土","日")),"")</f>
        <v/>
      </c>
    </row>
    <row r="226" customFormat="false" ht="15" hidden="false" customHeight="false" outlineLevel="0" collapsed="false">
      <c r="Z226" s="25" t="str">
        <f aca="false">IF(ISNUMBER(A226),IF(COUNTIF(祝日!$A:$A,A226)&gt;0,"祝",CHOOSE(WEEKDAY(A226,2),"月","火","水","木","金","土","日")),"")</f>
        <v/>
      </c>
    </row>
    <row r="227" customFormat="false" ht="15" hidden="false" customHeight="false" outlineLevel="0" collapsed="false">
      <c r="Z227" s="25" t="str">
        <f aca="false">IF(ISNUMBER(A227),IF(COUNTIF(祝日!$A:$A,A227)&gt;0,"祝",CHOOSE(WEEKDAY(A227,2),"月","火","水","木","金","土","日")),"")</f>
        <v/>
      </c>
    </row>
    <row r="228" customFormat="false" ht="15" hidden="false" customHeight="false" outlineLevel="0" collapsed="false">
      <c r="Z228" s="25" t="str">
        <f aca="false">IF(ISNUMBER(A228),IF(COUNTIF(祝日!$A:$A,A228)&gt;0,"祝",CHOOSE(WEEKDAY(A228,2),"月","火","水","木","金","土","日")),"")</f>
        <v/>
      </c>
    </row>
    <row r="229" customFormat="false" ht="15" hidden="false" customHeight="false" outlineLevel="0" collapsed="false">
      <c r="Z229" s="25" t="str">
        <f aca="false">IF(ISNUMBER(A229),IF(COUNTIF(祝日!$A:$A,A229)&gt;0,"祝",CHOOSE(WEEKDAY(A229,2),"月","火","水","木","金","土","日")),"")</f>
        <v/>
      </c>
    </row>
    <row r="230" customFormat="false" ht="15" hidden="false" customHeight="false" outlineLevel="0" collapsed="false">
      <c r="Z230" s="25" t="str">
        <f aca="false">IF(ISNUMBER(A230),IF(COUNTIF(祝日!$A:$A,A230)&gt;0,"祝",CHOOSE(WEEKDAY(A230,2),"月","火","水","木","金","土","日")),"")</f>
        <v/>
      </c>
    </row>
    <row r="231" customFormat="false" ht="15" hidden="false" customHeight="false" outlineLevel="0" collapsed="false">
      <c r="Z231" s="25" t="str">
        <f aca="false">IF(ISNUMBER(A231),IF(COUNTIF(祝日!$A:$A,A231)&gt;0,"祝",CHOOSE(WEEKDAY(A231,2),"月","火","水","木","金","土","日")),"")</f>
        <v/>
      </c>
    </row>
    <row r="232" customFormat="false" ht="15" hidden="false" customHeight="false" outlineLevel="0" collapsed="false">
      <c r="Z232" s="25" t="str">
        <f aca="false">IF(ISNUMBER(A232),IF(COUNTIF(祝日!$A:$A,A232)&gt;0,"祝",CHOOSE(WEEKDAY(A232,2),"月","火","水","木","金","土","日")),"")</f>
        <v/>
      </c>
    </row>
    <row r="233" customFormat="false" ht="15" hidden="false" customHeight="false" outlineLevel="0" collapsed="false">
      <c r="Z233" s="25" t="str">
        <f aca="false">IF(ISNUMBER(A233),IF(COUNTIF(祝日!$A:$A,A233)&gt;0,"祝",CHOOSE(WEEKDAY(A233,2),"月","火","水","木","金","土","日")),"")</f>
        <v/>
      </c>
    </row>
    <row r="234" customFormat="false" ht="15" hidden="false" customHeight="false" outlineLevel="0" collapsed="false">
      <c r="Z234" s="25" t="str">
        <f aca="false">IF(ISNUMBER(A234),IF(COUNTIF(祝日!$A:$A,A234)&gt;0,"祝",CHOOSE(WEEKDAY(A234,2),"月","火","水","木","金","土","日")),"")</f>
        <v/>
      </c>
    </row>
    <row r="235" customFormat="false" ht="15" hidden="false" customHeight="false" outlineLevel="0" collapsed="false">
      <c r="Z235" s="25" t="str">
        <f aca="false">IF(ISNUMBER(A235),IF(COUNTIF(祝日!$A:$A,A235)&gt;0,"祝",CHOOSE(WEEKDAY(A235,2),"月","火","水","木","金","土","日")),"")</f>
        <v/>
      </c>
    </row>
    <row r="236" customFormat="false" ht="15" hidden="false" customHeight="false" outlineLevel="0" collapsed="false">
      <c r="Z236" s="25" t="str">
        <f aca="false">IF(ISNUMBER(A236),IF(COUNTIF(祝日!$A:$A,A236)&gt;0,"祝",CHOOSE(WEEKDAY(A236,2),"月","火","水","木","金","土","日")),"")</f>
        <v/>
      </c>
    </row>
    <row r="237" customFormat="false" ht="15" hidden="false" customHeight="false" outlineLevel="0" collapsed="false">
      <c r="Z237" s="25" t="str">
        <f aca="false">IF(ISNUMBER(A237),IF(COUNTIF(祝日!$A:$A,A237)&gt;0,"祝",CHOOSE(WEEKDAY(A237,2),"月","火","水","木","金","土","日")),"")</f>
        <v/>
      </c>
    </row>
    <row r="238" customFormat="false" ht="15" hidden="false" customHeight="false" outlineLevel="0" collapsed="false">
      <c r="Z238" s="25" t="str">
        <f aca="false">IF(ISNUMBER(A238),IF(COUNTIF(祝日!$A:$A,A238)&gt;0,"祝",CHOOSE(WEEKDAY(A238,2),"月","火","水","木","金","土","日")),"")</f>
        <v/>
      </c>
    </row>
    <row r="239" customFormat="false" ht="15" hidden="false" customHeight="false" outlineLevel="0" collapsed="false">
      <c r="Z239" s="25" t="str">
        <f aca="false">IF(ISNUMBER(A239),IF(COUNTIF(祝日!$A:$A,A239)&gt;0,"祝",CHOOSE(WEEKDAY(A239,2),"月","火","水","木","金","土","日")),"")</f>
        <v/>
      </c>
    </row>
    <row r="240" customFormat="false" ht="15" hidden="false" customHeight="false" outlineLevel="0" collapsed="false">
      <c r="Z240" s="25" t="str">
        <f aca="false">IF(ISNUMBER(A240),IF(COUNTIF(祝日!$A:$A,A240)&gt;0,"祝",CHOOSE(WEEKDAY(A240,2),"月","火","水","木","金","土","日")),"")</f>
        <v/>
      </c>
    </row>
    <row r="241" customFormat="false" ht="15" hidden="false" customHeight="false" outlineLevel="0" collapsed="false">
      <c r="Z241" s="25" t="str">
        <f aca="false">IF(ISNUMBER(A241),IF(COUNTIF(祝日!$A:$A,A241)&gt;0,"祝",CHOOSE(WEEKDAY(A241,2),"月","火","水","木","金","土","日")),"")</f>
        <v/>
      </c>
    </row>
    <row r="242" customFormat="false" ht="15" hidden="false" customHeight="false" outlineLevel="0" collapsed="false">
      <c r="Z242" s="25" t="str">
        <f aca="false">IF(ISNUMBER(A242),IF(COUNTIF(祝日!$A:$A,A242)&gt;0,"祝",CHOOSE(WEEKDAY(A242,2),"月","火","水","木","金","土","日")),"")</f>
        <v/>
      </c>
    </row>
    <row r="243" customFormat="false" ht="15" hidden="false" customHeight="false" outlineLevel="0" collapsed="false">
      <c r="Z243" s="25" t="str">
        <f aca="false">IF(ISNUMBER(A243),IF(COUNTIF(祝日!$A:$A,A243)&gt;0,"祝",CHOOSE(WEEKDAY(A243,2),"月","火","水","木","金","土","日")),"")</f>
        <v/>
      </c>
    </row>
    <row r="244" customFormat="false" ht="15" hidden="false" customHeight="false" outlineLevel="0" collapsed="false">
      <c r="Z244" s="25" t="str">
        <f aca="false">IF(ISNUMBER(A244),IF(COUNTIF(祝日!$A:$A,A244)&gt;0,"祝",CHOOSE(WEEKDAY(A244,2),"月","火","水","木","金","土","日")),"")</f>
        <v/>
      </c>
    </row>
    <row r="245" customFormat="false" ht="15" hidden="false" customHeight="false" outlineLevel="0" collapsed="false">
      <c r="Z245" s="25" t="str">
        <f aca="false">IF(ISNUMBER(A245),IF(COUNTIF(祝日!$A:$A,A245)&gt;0,"祝",CHOOSE(WEEKDAY(A245,2),"月","火","水","木","金","土","日")),"")</f>
        <v/>
      </c>
    </row>
    <row r="246" customFormat="false" ht="15" hidden="false" customHeight="false" outlineLevel="0" collapsed="false">
      <c r="Z246" s="25" t="str">
        <f aca="false">IF(ISNUMBER(A246),IF(COUNTIF(祝日!$A:$A,A246)&gt;0,"祝",CHOOSE(WEEKDAY(A246,2),"月","火","水","木","金","土","日")),"")</f>
        <v/>
      </c>
    </row>
    <row r="247" customFormat="false" ht="15" hidden="false" customHeight="false" outlineLevel="0" collapsed="false">
      <c r="Z247" s="25" t="str">
        <f aca="false">IF(ISNUMBER(A247),IF(COUNTIF(祝日!$A:$A,A247)&gt;0,"祝",CHOOSE(WEEKDAY(A247,2),"月","火","水","木","金","土","日")),"")</f>
        <v/>
      </c>
    </row>
    <row r="248" customFormat="false" ht="15" hidden="false" customHeight="false" outlineLevel="0" collapsed="false">
      <c r="Z248" s="25" t="str">
        <f aca="false">IF(ISNUMBER(A248),IF(COUNTIF(祝日!$A:$A,A248)&gt;0,"祝",CHOOSE(WEEKDAY(A248,2),"月","火","水","木","金","土","日")),"")</f>
        <v/>
      </c>
    </row>
    <row r="249" customFormat="false" ht="15" hidden="false" customHeight="false" outlineLevel="0" collapsed="false">
      <c r="Z249" s="25" t="str">
        <f aca="false">IF(ISNUMBER(A249),IF(COUNTIF(祝日!$A:$A,A249)&gt;0,"祝",CHOOSE(WEEKDAY(A249,2),"月","火","水","木","金","土","日")),"")</f>
        <v/>
      </c>
    </row>
    <row r="250" customFormat="false" ht="15" hidden="false" customHeight="false" outlineLevel="0" collapsed="false">
      <c r="Z250" s="25" t="str">
        <f aca="false">IF(ISNUMBER(A250),IF(COUNTIF(祝日!$A:$A,A250)&gt;0,"祝",CHOOSE(WEEKDAY(A250,2),"月","火","水","木","金","土","日")),"")</f>
        <v/>
      </c>
    </row>
    <row r="251" customFormat="false" ht="15" hidden="false" customHeight="false" outlineLevel="0" collapsed="false">
      <c r="Z251" s="25" t="str">
        <f aca="false">IF(ISNUMBER(A251),IF(COUNTIF(祝日!$A:$A,A251)&gt;0,"祝",CHOOSE(WEEKDAY(A251,2),"月","火","水","木","金","土","日")),"")</f>
        <v/>
      </c>
    </row>
    <row r="252" customFormat="false" ht="15" hidden="false" customHeight="false" outlineLevel="0" collapsed="false">
      <c r="Z252" s="25" t="str">
        <f aca="false">IF(ISNUMBER(A252),IF(COUNTIF(祝日!$A:$A,A252)&gt;0,"祝",CHOOSE(WEEKDAY(A252,2),"月","火","水","木","金","土","日")),"")</f>
        <v/>
      </c>
    </row>
    <row r="253" customFormat="false" ht="15" hidden="false" customHeight="false" outlineLevel="0" collapsed="false">
      <c r="Z253" s="25" t="str">
        <f aca="false">IF(ISNUMBER(A253),IF(COUNTIF(祝日!$A:$A,A253)&gt;0,"祝",CHOOSE(WEEKDAY(A253,2),"月","火","水","木","金","土","日")),"")</f>
        <v/>
      </c>
    </row>
    <row r="254" customFormat="false" ht="15" hidden="false" customHeight="false" outlineLevel="0" collapsed="false">
      <c r="Z254" s="25" t="str">
        <f aca="false">IF(ISNUMBER(A254),IF(COUNTIF(祝日!$A:$A,A254)&gt;0,"祝",CHOOSE(WEEKDAY(A254,2),"月","火","水","木","金","土","日")),"")</f>
        <v/>
      </c>
    </row>
    <row r="255" customFormat="false" ht="15" hidden="false" customHeight="false" outlineLevel="0" collapsed="false">
      <c r="Z255" s="25" t="str">
        <f aca="false">IF(ISNUMBER(A255),IF(COUNTIF(祝日!$A:$A,A255)&gt;0,"祝",CHOOSE(WEEKDAY(A255,2),"月","火","水","木","金","土","日")),"")</f>
        <v/>
      </c>
    </row>
    <row r="256" customFormat="false" ht="15" hidden="false" customHeight="false" outlineLevel="0" collapsed="false">
      <c r="Z256" s="25" t="str">
        <f aca="false">IF(ISNUMBER(A256),IF(COUNTIF(祝日!$A:$A,A256)&gt;0,"祝",CHOOSE(WEEKDAY(A256,2),"月","火","水","木","金","土","日")),"")</f>
        <v/>
      </c>
    </row>
    <row r="257" customFormat="false" ht="15" hidden="false" customHeight="false" outlineLevel="0" collapsed="false">
      <c r="Z257" s="25" t="str">
        <f aca="false">IF(ISNUMBER(A257),IF(COUNTIF(祝日!$A:$A,A257)&gt;0,"祝",CHOOSE(WEEKDAY(A257,2),"月","火","水","木","金","土","日")),"")</f>
        <v/>
      </c>
    </row>
    <row r="258" customFormat="false" ht="15" hidden="false" customHeight="false" outlineLevel="0" collapsed="false">
      <c r="Z258" s="25" t="str">
        <f aca="false">IF(ISNUMBER(A258),IF(COUNTIF(祝日!$A:$A,A258)&gt;0,"祝",CHOOSE(WEEKDAY(A258,2),"月","火","水","木","金","土","日")),"")</f>
        <v/>
      </c>
    </row>
    <row r="259" customFormat="false" ht="15" hidden="false" customHeight="false" outlineLevel="0" collapsed="false">
      <c r="Z259" s="25" t="str">
        <f aca="false">IF(ISNUMBER(A259),IF(COUNTIF(祝日!$A:$A,A259)&gt;0,"祝",CHOOSE(WEEKDAY(A259,2),"月","火","水","木","金","土","日")),"")</f>
        <v/>
      </c>
    </row>
    <row r="260" customFormat="false" ht="15" hidden="false" customHeight="false" outlineLevel="0" collapsed="false">
      <c r="Z260" s="25" t="str">
        <f aca="false">IF(ISNUMBER(A260),IF(COUNTIF(祝日!$A:$A,A260)&gt;0,"祝",CHOOSE(WEEKDAY(A260,2),"月","火","水","木","金","土","日")),"")</f>
        <v/>
      </c>
    </row>
    <row r="261" customFormat="false" ht="15" hidden="false" customHeight="false" outlineLevel="0" collapsed="false">
      <c r="Z261" s="25" t="str">
        <f aca="false">IF(ISNUMBER(A261),IF(COUNTIF(祝日!$A:$A,A261)&gt;0,"祝",CHOOSE(WEEKDAY(A261,2),"月","火","水","木","金","土","日")),"")</f>
        <v/>
      </c>
    </row>
    <row r="262" customFormat="false" ht="15" hidden="false" customHeight="false" outlineLevel="0" collapsed="false">
      <c r="Z262" s="25" t="str">
        <f aca="false">IF(ISNUMBER(A262),IF(COUNTIF(祝日!$A:$A,A262)&gt;0,"祝",CHOOSE(WEEKDAY(A262,2),"月","火","水","木","金","土","日")),"")</f>
        <v/>
      </c>
    </row>
    <row r="263" customFormat="false" ht="15" hidden="false" customHeight="false" outlineLevel="0" collapsed="false">
      <c r="Z263" s="25" t="str">
        <f aca="false">IF(ISNUMBER(A263),IF(COUNTIF(祝日!$A:$A,A263)&gt;0,"祝",CHOOSE(WEEKDAY(A263,2),"月","火","水","木","金","土","日")),"")</f>
        <v/>
      </c>
    </row>
    <row r="264" customFormat="false" ht="15" hidden="false" customHeight="false" outlineLevel="0" collapsed="false">
      <c r="Z264" s="25" t="str">
        <f aca="false">IF(ISNUMBER(A264),IF(COUNTIF(祝日!$A:$A,A264)&gt;0,"祝",CHOOSE(WEEKDAY(A264,2),"月","火","水","木","金","土","日")),"")</f>
        <v/>
      </c>
    </row>
    <row r="265" customFormat="false" ht="15" hidden="false" customHeight="false" outlineLevel="0" collapsed="false">
      <c r="Z265" s="25" t="str">
        <f aca="false">IF(ISNUMBER(A265),IF(COUNTIF(祝日!$A:$A,A265)&gt;0,"祝",CHOOSE(WEEKDAY(A265,2),"月","火","水","木","金","土","日")),"")</f>
        <v/>
      </c>
    </row>
    <row r="266" customFormat="false" ht="15" hidden="false" customHeight="false" outlineLevel="0" collapsed="false">
      <c r="Z266" s="25" t="str">
        <f aca="false">IF(ISNUMBER(A266),IF(COUNTIF(祝日!$A:$A,A266)&gt;0,"祝",CHOOSE(WEEKDAY(A266,2),"月","火","水","木","金","土","日")),"")</f>
        <v/>
      </c>
    </row>
    <row r="267" customFormat="false" ht="15" hidden="false" customHeight="false" outlineLevel="0" collapsed="false">
      <c r="Z267" s="25" t="str">
        <f aca="false">IF(ISNUMBER(A267),IF(COUNTIF(祝日!$A:$A,A267)&gt;0,"祝",CHOOSE(WEEKDAY(A267,2),"月","火","水","木","金","土","日")),"")</f>
        <v/>
      </c>
    </row>
    <row r="268" customFormat="false" ht="15" hidden="false" customHeight="false" outlineLevel="0" collapsed="false">
      <c r="Z268" s="25" t="str">
        <f aca="false">IF(ISNUMBER(A268),IF(COUNTIF(祝日!$A:$A,A268)&gt;0,"祝",CHOOSE(WEEKDAY(A268,2),"月","火","水","木","金","土","日")),"")</f>
        <v/>
      </c>
    </row>
    <row r="269" customFormat="false" ht="15" hidden="false" customHeight="false" outlineLevel="0" collapsed="false">
      <c r="Z269" s="25" t="str">
        <f aca="false">IF(ISNUMBER(A269),IF(COUNTIF(祝日!$A:$A,A269)&gt;0,"祝",CHOOSE(WEEKDAY(A269,2),"月","火","水","木","金","土","日")),"")</f>
        <v/>
      </c>
    </row>
    <row r="270" customFormat="false" ht="15" hidden="false" customHeight="false" outlineLevel="0" collapsed="false">
      <c r="Z270" s="25" t="str">
        <f aca="false">IF(ISNUMBER(A270),IF(COUNTIF(祝日!$A:$A,A270)&gt;0,"祝",CHOOSE(WEEKDAY(A270,2),"月","火","水","木","金","土","日")),"")</f>
        <v/>
      </c>
    </row>
    <row r="271" customFormat="false" ht="15" hidden="false" customHeight="false" outlineLevel="0" collapsed="false">
      <c r="Z271" s="25" t="str">
        <f aca="false">IF(ISNUMBER(A271),IF(COUNTIF(祝日!$A:$A,A271)&gt;0,"祝",CHOOSE(WEEKDAY(A271,2),"月","火","水","木","金","土","日")),"")</f>
        <v/>
      </c>
    </row>
    <row r="272" customFormat="false" ht="15" hidden="false" customHeight="false" outlineLevel="0" collapsed="false">
      <c r="Z272" s="25" t="str">
        <f aca="false">IF(ISNUMBER(A272),IF(COUNTIF(祝日!$A:$A,A272)&gt;0,"祝",CHOOSE(WEEKDAY(A272,2),"月","火","水","木","金","土","日")),"")</f>
        <v/>
      </c>
    </row>
    <row r="273" customFormat="false" ht="15" hidden="false" customHeight="false" outlineLevel="0" collapsed="false">
      <c r="Z273" s="25" t="str">
        <f aca="false">IF(ISNUMBER(A273),IF(COUNTIF(祝日!$A:$A,A273)&gt;0,"祝",CHOOSE(WEEKDAY(A273,2),"月","火","水","木","金","土","日")),"")</f>
        <v/>
      </c>
    </row>
    <row r="274" customFormat="false" ht="15" hidden="false" customHeight="false" outlineLevel="0" collapsed="false">
      <c r="Z274" s="25" t="str">
        <f aca="false">IF(ISNUMBER(A274),IF(COUNTIF(祝日!$A:$A,A274)&gt;0,"祝",CHOOSE(WEEKDAY(A274,2),"月","火","水","木","金","土","日")),"")</f>
        <v/>
      </c>
    </row>
    <row r="275" customFormat="false" ht="15" hidden="false" customHeight="false" outlineLevel="0" collapsed="false">
      <c r="Z275" s="25" t="str">
        <f aca="false">IF(ISNUMBER(A275),IF(COUNTIF(祝日!$A:$A,A275)&gt;0,"祝",CHOOSE(WEEKDAY(A275,2),"月","火","水","木","金","土","日")),"")</f>
        <v/>
      </c>
    </row>
    <row r="276" customFormat="false" ht="15" hidden="false" customHeight="false" outlineLevel="0" collapsed="false">
      <c r="Z276" s="25" t="str">
        <f aca="false">IF(ISNUMBER(A276),IF(COUNTIF(祝日!$A:$A,A276)&gt;0,"祝",CHOOSE(WEEKDAY(A276,2),"月","火","水","木","金","土","日")),"")</f>
        <v/>
      </c>
    </row>
    <row r="277" customFormat="false" ht="15" hidden="false" customHeight="false" outlineLevel="0" collapsed="false">
      <c r="Z277" s="25" t="str">
        <f aca="false">IF(ISNUMBER(A277),IF(COUNTIF(祝日!$A:$A,A277)&gt;0,"祝",CHOOSE(WEEKDAY(A277,2),"月","火","水","木","金","土","日")),"")</f>
        <v/>
      </c>
    </row>
    <row r="278" customFormat="false" ht="15" hidden="false" customHeight="false" outlineLevel="0" collapsed="false">
      <c r="Z278" s="25" t="str">
        <f aca="false">IF(ISNUMBER(A278),IF(COUNTIF(祝日!$A:$A,A278)&gt;0,"祝",CHOOSE(WEEKDAY(A278,2),"月","火","水","木","金","土","日")),"")</f>
        <v/>
      </c>
    </row>
    <row r="279" customFormat="false" ht="15" hidden="false" customHeight="false" outlineLevel="0" collapsed="false">
      <c r="Z279" s="25" t="str">
        <f aca="false">IF(ISNUMBER(A279),IF(COUNTIF(祝日!$A:$A,A279)&gt;0,"祝",CHOOSE(WEEKDAY(A279,2),"月","火","水","木","金","土","日")),"")</f>
        <v/>
      </c>
    </row>
    <row r="280" customFormat="false" ht="15" hidden="false" customHeight="false" outlineLevel="0" collapsed="false">
      <c r="Z280" s="25" t="str">
        <f aca="false">IF(ISNUMBER(A280),IF(COUNTIF(祝日!$A:$A,A280)&gt;0,"祝",CHOOSE(WEEKDAY(A280,2),"月","火","水","木","金","土","日")),"")</f>
        <v/>
      </c>
    </row>
    <row r="281" customFormat="false" ht="15" hidden="false" customHeight="false" outlineLevel="0" collapsed="false">
      <c r="Z281" s="25" t="str">
        <f aca="false">IF(ISNUMBER(A281),IF(COUNTIF(祝日!$A:$A,A281)&gt;0,"祝",CHOOSE(WEEKDAY(A281,2),"月","火","水","木","金","土","日")),"")</f>
        <v/>
      </c>
    </row>
    <row r="282" customFormat="false" ht="15" hidden="false" customHeight="false" outlineLevel="0" collapsed="false">
      <c r="Z282" s="25" t="str">
        <f aca="false">IF(ISNUMBER(A282),IF(COUNTIF(祝日!$A:$A,A282)&gt;0,"祝",CHOOSE(WEEKDAY(A282,2),"月","火","水","木","金","土","日")),"")</f>
        <v/>
      </c>
    </row>
    <row r="283" customFormat="false" ht="15" hidden="false" customHeight="false" outlineLevel="0" collapsed="false">
      <c r="Z283" s="25" t="str">
        <f aca="false">IF(ISNUMBER(A283),IF(COUNTIF(祝日!$A:$A,A283)&gt;0,"祝",CHOOSE(WEEKDAY(A283,2),"月","火","水","木","金","土","日")),"")</f>
        <v/>
      </c>
    </row>
    <row r="284" customFormat="false" ht="15" hidden="false" customHeight="false" outlineLevel="0" collapsed="false">
      <c r="Z284" s="25" t="str">
        <f aca="false">IF(ISNUMBER(A284),IF(COUNTIF(祝日!$A:$A,A284)&gt;0,"祝",CHOOSE(WEEKDAY(A284,2),"月","火","水","木","金","土","日")),"")</f>
        <v/>
      </c>
    </row>
    <row r="285" customFormat="false" ht="15" hidden="false" customHeight="false" outlineLevel="0" collapsed="false">
      <c r="Z285" s="25" t="str">
        <f aca="false">IF(ISNUMBER(A285),IF(COUNTIF(祝日!$A:$A,A285)&gt;0,"祝",CHOOSE(WEEKDAY(A285,2),"月","火","水","木","金","土","日")),"")</f>
        <v/>
      </c>
    </row>
    <row r="286" customFormat="false" ht="15" hidden="false" customHeight="false" outlineLevel="0" collapsed="false">
      <c r="Z286" s="25" t="str">
        <f aca="false">IF(ISNUMBER(A286),IF(COUNTIF(祝日!$A:$A,A286)&gt;0,"祝",CHOOSE(WEEKDAY(A286,2),"月","火","水","木","金","土","日")),"")</f>
        <v/>
      </c>
    </row>
    <row r="287" customFormat="false" ht="15" hidden="false" customHeight="false" outlineLevel="0" collapsed="false">
      <c r="Z287" s="25" t="str">
        <f aca="false">IF(ISNUMBER(A287),IF(COUNTIF(祝日!$A:$A,A287)&gt;0,"祝",CHOOSE(WEEKDAY(A287,2),"月","火","水","木","金","土","日")),"")</f>
        <v/>
      </c>
    </row>
    <row r="288" customFormat="false" ht="15" hidden="false" customHeight="false" outlineLevel="0" collapsed="false">
      <c r="Z288" s="25" t="str">
        <f aca="false">IF(ISNUMBER(A288),IF(COUNTIF(祝日!$A:$A,A288)&gt;0,"祝",CHOOSE(WEEKDAY(A288,2),"月","火","水","木","金","土","日")),"")</f>
        <v/>
      </c>
    </row>
    <row r="289" customFormat="false" ht="15" hidden="false" customHeight="false" outlineLevel="0" collapsed="false">
      <c r="Z289" s="25" t="str">
        <f aca="false">IF(ISNUMBER(A289),IF(COUNTIF(祝日!$A:$A,A289)&gt;0,"祝",CHOOSE(WEEKDAY(A289,2),"月","火","水","木","金","土","日")),"")</f>
        <v/>
      </c>
    </row>
    <row r="290" customFormat="false" ht="15" hidden="false" customHeight="false" outlineLevel="0" collapsed="false">
      <c r="Z290" s="25" t="str">
        <f aca="false">IF(ISNUMBER(A290),IF(COUNTIF(祝日!$A:$A,A290)&gt;0,"祝",CHOOSE(WEEKDAY(A290,2),"月","火","水","木","金","土","日")),"")</f>
        <v/>
      </c>
    </row>
    <row r="291" customFormat="false" ht="15" hidden="false" customHeight="false" outlineLevel="0" collapsed="false">
      <c r="Z291" s="25" t="str">
        <f aca="false">IF(ISNUMBER(A291),IF(COUNTIF(祝日!$A:$A,A291)&gt;0,"祝",CHOOSE(WEEKDAY(A291,2),"月","火","水","木","金","土","日")),"")</f>
        <v/>
      </c>
    </row>
    <row r="292" customFormat="false" ht="15" hidden="false" customHeight="false" outlineLevel="0" collapsed="false">
      <c r="Z292" s="25" t="str">
        <f aca="false">IF(ISNUMBER(A292),IF(COUNTIF(祝日!$A:$A,A292)&gt;0,"祝",CHOOSE(WEEKDAY(A292,2),"月","火","水","木","金","土","日")),"")</f>
        <v/>
      </c>
    </row>
    <row r="293" customFormat="false" ht="15" hidden="false" customHeight="false" outlineLevel="0" collapsed="false">
      <c r="Z293" s="25" t="str">
        <f aca="false">IF(ISNUMBER(A293),IF(COUNTIF(祝日!$A:$A,A293)&gt;0,"祝",CHOOSE(WEEKDAY(A293,2),"月","火","水","木","金","土","日")),"")</f>
        <v/>
      </c>
    </row>
    <row r="294" customFormat="false" ht="15" hidden="false" customHeight="false" outlineLevel="0" collapsed="false">
      <c r="Z294" s="25" t="str">
        <f aca="false">IF(ISNUMBER(A294),IF(COUNTIF(祝日!$A:$A,A294)&gt;0,"祝",CHOOSE(WEEKDAY(A294,2),"月","火","水","木","金","土","日")),"")</f>
        <v/>
      </c>
    </row>
    <row r="295" customFormat="false" ht="15" hidden="false" customHeight="false" outlineLevel="0" collapsed="false">
      <c r="Z295" s="25" t="str">
        <f aca="false">IF(ISNUMBER(A295),IF(COUNTIF(祝日!$A:$A,A295)&gt;0,"祝",CHOOSE(WEEKDAY(A295,2),"月","火","水","木","金","土","日")),"")</f>
        <v/>
      </c>
    </row>
    <row r="296" customFormat="false" ht="15" hidden="false" customHeight="false" outlineLevel="0" collapsed="false">
      <c r="Z296" s="25" t="str">
        <f aca="false">IF(ISNUMBER(A296),IF(COUNTIF(祝日!$A:$A,A296)&gt;0,"祝",CHOOSE(WEEKDAY(A296,2),"月","火","水","木","金","土","日")),"")</f>
        <v/>
      </c>
    </row>
    <row r="297" customFormat="false" ht="15" hidden="false" customHeight="false" outlineLevel="0" collapsed="false">
      <c r="Z297" s="25" t="str">
        <f aca="false">IF(ISNUMBER(A297),IF(COUNTIF(祝日!$A:$A,A297)&gt;0,"祝",CHOOSE(WEEKDAY(A297,2),"月","火","水","木","金","土","日")),"")</f>
        <v/>
      </c>
    </row>
    <row r="298" customFormat="false" ht="15" hidden="false" customHeight="false" outlineLevel="0" collapsed="false">
      <c r="Z298" s="25" t="str">
        <f aca="false">IF(ISNUMBER(A298),IF(COUNTIF(祝日!$A:$A,A298)&gt;0,"祝",CHOOSE(WEEKDAY(A298,2),"月","火","水","木","金","土","日")),"")</f>
        <v/>
      </c>
    </row>
    <row r="299" customFormat="false" ht="15" hidden="false" customHeight="false" outlineLevel="0" collapsed="false">
      <c r="Z299" s="25" t="str">
        <f aca="false">IF(ISNUMBER(A299),IF(COUNTIF(祝日!$A:$A,A299)&gt;0,"祝",CHOOSE(WEEKDAY(A299,2),"月","火","水","木","金","土","日")),"")</f>
        <v/>
      </c>
    </row>
    <row r="300" customFormat="false" ht="15" hidden="false" customHeight="false" outlineLevel="0" collapsed="false">
      <c r="Z300" s="25" t="str">
        <f aca="false">IF(ISNUMBER(A300),IF(COUNTIF(祝日!$A:$A,A300)&gt;0,"祝",CHOOSE(WEEKDAY(A300,2),"月","火","水","木","金","土","日")),"")</f>
        <v/>
      </c>
    </row>
    <row r="301" customFormat="false" ht="15" hidden="false" customHeight="false" outlineLevel="0" collapsed="false">
      <c r="Z301" s="25" t="str">
        <f aca="false">IF(ISNUMBER(A301),IF(COUNTIF(祝日!$A:$A,A301)&gt;0,"祝",CHOOSE(WEEKDAY(A301,2),"月","火","水","木","金","土","日")),"")</f>
        <v/>
      </c>
    </row>
    <row r="302" customFormat="false" ht="15" hidden="false" customHeight="false" outlineLevel="0" collapsed="false">
      <c r="Z302" s="25" t="str">
        <f aca="false">IF(ISNUMBER(A302),IF(COUNTIF(祝日!$A:$A,A302)&gt;0,"祝",CHOOSE(WEEKDAY(A302,2),"月","火","水","木","金","土","日")),"")</f>
        <v/>
      </c>
    </row>
    <row r="303" customFormat="false" ht="15" hidden="false" customHeight="false" outlineLevel="0" collapsed="false">
      <c r="Z303" s="25" t="str">
        <f aca="false">IF(ISNUMBER(A303),IF(COUNTIF(祝日!$A:$A,A303)&gt;0,"祝",CHOOSE(WEEKDAY(A303,2),"月","火","水","木","金","土","日")),"")</f>
        <v/>
      </c>
    </row>
    <row r="304" customFormat="false" ht="15" hidden="false" customHeight="false" outlineLevel="0" collapsed="false">
      <c r="Z304" s="25" t="str">
        <f aca="false">IF(ISNUMBER(A304),IF(COUNTIF(祝日!$A:$A,A304)&gt;0,"祝",CHOOSE(WEEKDAY(A304,2),"月","火","水","木","金","土","日")),"")</f>
        <v/>
      </c>
    </row>
    <row r="305" customFormat="false" ht="15" hidden="false" customHeight="false" outlineLevel="0" collapsed="false">
      <c r="Z305" s="25" t="str">
        <f aca="false">IF(ISNUMBER(A305),IF(COUNTIF(祝日!$A:$A,A305)&gt;0,"祝",CHOOSE(WEEKDAY(A305,2),"月","火","水","木","金","土","日")),"")</f>
        <v/>
      </c>
    </row>
    <row r="306" customFormat="false" ht="15" hidden="false" customHeight="false" outlineLevel="0" collapsed="false">
      <c r="Z306" s="25" t="str">
        <f aca="false">IF(ISNUMBER(A306),IF(COUNTIF(祝日!$A:$A,A306)&gt;0,"祝",CHOOSE(WEEKDAY(A306,2),"月","火","水","木","金","土","日")),"")</f>
        <v/>
      </c>
    </row>
    <row r="307" customFormat="false" ht="15" hidden="false" customHeight="false" outlineLevel="0" collapsed="false">
      <c r="Z307" s="25" t="str">
        <f aca="false">IF(ISNUMBER(A307),IF(COUNTIF(祝日!$A:$A,A307)&gt;0,"祝",CHOOSE(WEEKDAY(A307,2),"月","火","水","木","金","土","日")),"")</f>
        <v/>
      </c>
    </row>
    <row r="308" customFormat="false" ht="15" hidden="false" customHeight="false" outlineLevel="0" collapsed="false">
      <c r="Z308" s="25" t="str">
        <f aca="false">IF(ISNUMBER(A308),IF(COUNTIF(祝日!$A:$A,A308)&gt;0,"祝",CHOOSE(WEEKDAY(A308,2),"月","火","水","木","金","土","日")),"")</f>
        <v/>
      </c>
    </row>
    <row r="309" customFormat="false" ht="15" hidden="false" customHeight="false" outlineLevel="0" collapsed="false">
      <c r="Z309" s="25" t="str">
        <f aca="false">IF(ISNUMBER(A309),IF(COUNTIF(祝日!$A:$A,A309)&gt;0,"祝",CHOOSE(WEEKDAY(A309,2),"月","火","水","木","金","土","日")),"")</f>
        <v/>
      </c>
    </row>
    <row r="310" customFormat="false" ht="15" hidden="false" customHeight="false" outlineLevel="0" collapsed="false">
      <c r="Z310" s="25" t="str">
        <f aca="false">IF(ISNUMBER(A310),IF(COUNTIF(祝日!$A:$A,A310)&gt;0,"祝",CHOOSE(WEEKDAY(A310,2),"月","火","水","木","金","土","日")),"")</f>
        <v/>
      </c>
    </row>
    <row r="311" customFormat="false" ht="15" hidden="false" customHeight="false" outlineLevel="0" collapsed="false">
      <c r="Z311" s="25" t="str">
        <f aca="false">IF(ISNUMBER(A311),IF(COUNTIF(祝日!$A:$A,A311)&gt;0,"祝",CHOOSE(WEEKDAY(A311,2),"月","火","水","木","金","土","日")),"")</f>
        <v/>
      </c>
    </row>
    <row r="312" customFormat="false" ht="15" hidden="false" customHeight="false" outlineLevel="0" collapsed="false">
      <c r="Z312" s="25" t="str">
        <f aca="false">IF(ISNUMBER(A312),IF(COUNTIF(祝日!$A:$A,A312)&gt;0,"祝",CHOOSE(WEEKDAY(A312,2),"月","火","水","木","金","土","日")),"")</f>
        <v/>
      </c>
    </row>
    <row r="313" customFormat="false" ht="15" hidden="false" customHeight="false" outlineLevel="0" collapsed="false">
      <c r="Z313" s="25" t="str">
        <f aca="false">IF(ISNUMBER(A313),IF(COUNTIF(祝日!$A:$A,A313)&gt;0,"祝",CHOOSE(WEEKDAY(A313,2),"月","火","水","木","金","土","日")),"")</f>
        <v/>
      </c>
    </row>
    <row r="314" customFormat="false" ht="15" hidden="false" customHeight="false" outlineLevel="0" collapsed="false">
      <c r="Z314" s="25" t="str">
        <f aca="false">IF(ISNUMBER(A314),IF(COUNTIF(祝日!$A:$A,A314)&gt;0,"祝",CHOOSE(WEEKDAY(A314,2),"月","火","水","木","金","土","日")),"")</f>
        <v/>
      </c>
    </row>
    <row r="315" customFormat="false" ht="15" hidden="false" customHeight="false" outlineLevel="0" collapsed="false">
      <c r="Z315" s="25" t="str">
        <f aca="false">IF(ISNUMBER(A315),IF(COUNTIF(祝日!$A:$A,A315)&gt;0,"祝",CHOOSE(WEEKDAY(A315,2),"月","火","水","木","金","土","日")),"")</f>
        <v/>
      </c>
    </row>
    <row r="316" customFormat="false" ht="15" hidden="false" customHeight="false" outlineLevel="0" collapsed="false">
      <c r="Z316" s="25" t="str">
        <f aca="false">IF(ISNUMBER(A316),IF(COUNTIF(祝日!$A:$A,A316)&gt;0,"祝",CHOOSE(WEEKDAY(A316,2),"月","火","水","木","金","土","日")),"")</f>
        <v/>
      </c>
    </row>
    <row r="317" customFormat="false" ht="15" hidden="false" customHeight="false" outlineLevel="0" collapsed="false">
      <c r="Z317" s="25" t="str">
        <f aca="false">IF(ISNUMBER(A317),IF(COUNTIF(祝日!$A:$A,A317)&gt;0,"祝",CHOOSE(WEEKDAY(A317,2),"月","火","水","木","金","土","日")),"")</f>
        <v/>
      </c>
    </row>
    <row r="318" customFormat="false" ht="15" hidden="false" customHeight="false" outlineLevel="0" collapsed="false">
      <c r="Z318" s="25" t="str">
        <f aca="false">IF(ISNUMBER(A318),IF(COUNTIF(祝日!$A:$A,A318)&gt;0,"祝",CHOOSE(WEEKDAY(A318,2),"月","火","水","木","金","土","日")),"")</f>
        <v/>
      </c>
    </row>
    <row r="319" customFormat="false" ht="15" hidden="false" customHeight="false" outlineLevel="0" collapsed="false">
      <c r="Z319" s="25" t="str">
        <f aca="false">IF(ISNUMBER(A319),IF(COUNTIF(祝日!$A:$A,A319)&gt;0,"祝",CHOOSE(WEEKDAY(A319,2),"月","火","水","木","金","土","日")),"")</f>
        <v/>
      </c>
    </row>
    <row r="320" customFormat="false" ht="15" hidden="false" customHeight="false" outlineLevel="0" collapsed="false">
      <c r="Z320" s="25" t="str">
        <f aca="false">IF(ISNUMBER(A320),IF(COUNTIF(祝日!$A:$A,A320)&gt;0,"祝",CHOOSE(WEEKDAY(A320,2),"月","火","水","木","金","土","日")),"")</f>
        <v/>
      </c>
    </row>
    <row r="321" customFormat="false" ht="15" hidden="false" customHeight="false" outlineLevel="0" collapsed="false">
      <c r="Z321" s="25" t="str">
        <f aca="false">IF(ISNUMBER(A321),IF(COUNTIF(祝日!$A:$A,A321)&gt;0,"祝",CHOOSE(WEEKDAY(A321,2),"月","火","水","木","金","土","日")),"")</f>
        <v/>
      </c>
    </row>
    <row r="322" customFormat="false" ht="15" hidden="false" customHeight="false" outlineLevel="0" collapsed="false">
      <c r="Z322" s="25" t="str">
        <f aca="false">IF(ISNUMBER(A322),IF(COUNTIF(祝日!$A:$A,A322)&gt;0,"祝",CHOOSE(WEEKDAY(A322,2),"月","火","水","木","金","土","日")),"")</f>
        <v/>
      </c>
    </row>
    <row r="323" customFormat="false" ht="15" hidden="false" customHeight="false" outlineLevel="0" collapsed="false">
      <c r="Z323" s="25" t="str">
        <f aca="false">IF(ISNUMBER(A323),IF(COUNTIF(祝日!$A:$A,A323)&gt;0,"祝",CHOOSE(WEEKDAY(A323,2),"月","火","水","木","金","土","日")),"")</f>
        <v/>
      </c>
    </row>
    <row r="324" customFormat="false" ht="15" hidden="false" customHeight="false" outlineLevel="0" collapsed="false">
      <c r="Z324" s="25" t="str">
        <f aca="false">IF(ISNUMBER(A324),IF(COUNTIF(祝日!$A:$A,A324)&gt;0,"祝",CHOOSE(WEEKDAY(A324,2),"月","火","水","木","金","土","日")),"")</f>
        <v/>
      </c>
    </row>
    <row r="325" customFormat="false" ht="15" hidden="false" customHeight="false" outlineLevel="0" collapsed="false">
      <c r="Z325" s="25" t="str">
        <f aca="false">IF(ISNUMBER(A325),IF(COUNTIF(祝日!$A:$A,A325)&gt;0,"祝",CHOOSE(WEEKDAY(A325,2),"月","火","水","木","金","土","日")),"")</f>
        <v/>
      </c>
    </row>
    <row r="326" customFormat="false" ht="15" hidden="false" customHeight="false" outlineLevel="0" collapsed="false">
      <c r="Z326" s="25" t="str">
        <f aca="false">IF(ISNUMBER(A326),IF(COUNTIF(祝日!$A:$A,A326)&gt;0,"祝",CHOOSE(WEEKDAY(A326,2),"月","火","水","木","金","土","日")),"")</f>
        <v/>
      </c>
    </row>
    <row r="327" customFormat="false" ht="15" hidden="false" customHeight="false" outlineLevel="0" collapsed="false">
      <c r="Z327" s="25" t="str">
        <f aca="false">IF(ISNUMBER(A327),IF(COUNTIF(祝日!$A:$A,A327)&gt;0,"祝",CHOOSE(WEEKDAY(A327,2),"月","火","水","木","金","土","日")),"")</f>
        <v/>
      </c>
    </row>
    <row r="328" customFormat="false" ht="15" hidden="false" customHeight="false" outlineLevel="0" collapsed="false">
      <c r="Z328" s="25" t="str">
        <f aca="false">IF(ISNUMBER(A328),IF(COUNTIF(祝日!$A:$A,A328)&gt;0,"祝",CHOOSE(WEEKDAY(A328,2),"月","火","水","木","金","土","日")),"")</f>
        <v/>
      </c>
    </row>
    <row r="329" customFormat="false" ht="15" hidden="false" customHeight="false" outlineLevel="0" collapsed="false">
      <c r="Z329" s="25" t="str">
        <f aca="false">IF(ISNUMBER(A329),IF(COUNTIF(祝日!$A:$A,A329)&gt;0,"祝",CHOOSE(WEEKDAY(A329,2),"月","火","水","木","金","土","日")),"")</f>
        <v/>
      </c>
    </row>
    <row r="330" customFormat="false" ht="15" hidden="false" customHeight="false" outlineLevel="0" collapsed="false">
      <c r="Z330" s="25" t="str">
        <f aca="false">IF(ISNUMBER(A330),IF(COUNTIF(祝日!$A:$A,A330)&gt;0,"祝",CHOOSE(WEEKDAY(A330,2),"月","火","水","木","金","土","日")),"")</f>
        <v/>
      </c>
    </row>
    <row r="331" customFormat="false" ht="15" hidden="false" customHeight="false" outlineLevel="0" collapsed="false">
      <c r="Z331" s="25" t="str">
        <f aca="false">IF(ISNUMBER(A331),IF(COUNTIF(祝日!$A:$A,A331)&gt;0,"祝",CHOOSE(WEEKDAY(A331,2),"月","火","水","木","金","土","日")),"")</f>
        <v/>
      </c>
    </row>
    <row r="332" customFormat="false" ht="15" hidden="false" customHeight="false" outlineLevel="0" collapsed="false">
      <c r="Z332" s="25" t="str">
        <f aca="false">IF(ISNUMBER(A332),IF(COUNTIF(祝日!$A:$A,A332)&gt;0,"祝",CHOOSE(WEEKDAY(A332,2),"月","火","水","木","金","土","日")),"")</f>
        <v/>
      </c>
    </row>
    <row r="333" customFormat="false" ht="15" hidden="false" customHeight="false" outlineLevel="0" collapsed="false">
      <c r="Z333" s="25" t="str">
        <f aca="false">IF(ISNUMBER(A333),IF(COUNTIF(祝日!$A:$A,A333)&gt;0,"祝",CHOOSE(WEEKDAY(A333,2),"月","火","水","木","金","土","日")),"")</f>
        <v/>
      </c>
    </row>
    <row r="334" customFormat="false" ht="15" hidden="false" customHeight="false" outlineLevel="0" collapsed="false">
      <c r="Z334" s="25" t="str">
        <f aca="false">IF(ISNUMBER(A334),IF(COUNTIF(祝日!$A:$A,A334)&gt;0,"祝",CHOOSE(WEEKDAY(A334,2),"月","火","水","木","金","土","日")),"")</f>
        <v/>
      </c>
    </row>
    <row r="335" customFormat="false" ht="15" hidden="false" customHeight="false" outlineLevel="0" collapsed="false">
      <c r="Z335" s="25" t="str">
        <f aca="false">IF(ISNUMBER(A335),IF(COUNTIF(祝日!$A:$A,A335)&gt;0,"祝",CHOOSE(WEEKDAY(A335,2),"月","火","水","木","金","土","日")),"")</f>
        <v/>
      </c>
    </row>
    <row r="336" customFormat="false" ht="15" hidden="false" customHeight="false" outlineLevel="0" collapsed="false">
      <c r="Z336" s="25" t="str">
        <f aca="false">IF(ISNUMBER(A336),IF(COUNTIF(祝日!$A:$A,A336)&gt;0,"祝",CHOOSE(WEEKDAY(A336,2),"月","火","水","木","金","土","日")),"")</f>
        <v/>
      </c>
    </row>
    <row r="337" customFormat="false" ht="15" hidden="false" customHeight="false" outlineLevel="0" collapsed="false">
      <c r="Z337" s="25" t="str">
        <f aca="false">IF(ISNUMBER(A337),IF(COUNTIF(祝日!$A:$A,A337)&gt;0,"祝",CHOOSE(WEEKDAY(A337,2),"月","火","水","木","金","土","日")),"")</f>
        <v/>
      </c>
    </row>
    <row r="338" customFormat="false" ht="15" hidden="false" customHeight="false" outlineLevel="0" collapsed="false">
      <c r="Z338" s="25" t="str">
        <f aca="false">IF(ISNUMBER(A338),IF(COUNTIF(祝日!$A:$A,A338)&gt;0,"祝",CHOOSE(WEEKDAY(A338,2),"月","火","水","木","金","土","日")),"")</f>
        <v/>
      </c>
    </row>
    <row r="339" customFormat="false" ht="15" hidden="false" customHeight="false" outlineLevel="0" collapsed="false">
      <c r="Z339" s="25" t="str">
        <f aca="false">IF(ISNUMBER(A339),IF(COUNTIF(祝日!$A:$A,A339)&gt;0,"祝",CHOOSE(WEEKDAY(A339,2),"月","火","水","木","金","土","日")),"")</f>
        <v/>
      </c>
    </row>
    <row r="340" customFormat="false" ht="15" hidden="false" customHeight="false" outlineLevel="0" collapsed="false">
      <c r="Z340" s="25" t="str">
        <f aca="false">IF(ISNUMBER(A340),IF(COUNTIF(祝日!$A:$A,A340)&gt;0,"祝",CHOOSE(WEEKDAY(A340,2),"月","火","水","木","金","土","日")),"")</f>
        <v/>
      </c>
    </row>
    <row r="341" customFormat="false" ht="15" hidden="false" customHeight="false" outlineLevel="0" collapsed="false">
      <c r="Z341" s="25" t="str">
        <f aca="false">IF(ISNUMBER(A341),IF(COUNTIF(祝日!$A:$A,A341)&gt;0,"祝",CHOOSE(WEEKDAY(A341,2),"月","火","水","木","金","土","日")),"")</f>
        <v/>
      </c>
    </row>
    <row r="342" customFormat="false" ht="15" hidden="false" customHeight="false" outlineLevel="0" collapsed="false">
      <c r="Z342" s="25" t="str">
        <f aca="false">IF(ISNUMBER(A342),IF(COUNTIF(祝日!$A:$A,A342)&gt;0,"祝",CHOOSE(WEEKDAY(A342,2),"月","火","水","木","金","土","日")),"")</f>
        <v/>
      </c>
    </row>
    <row r="343" customFormat="false" ht="15" hidden="false" customHeight="false" outlineLevel="0" collapsed="false">
      <c r="Z343" s="25" t="str">
        <f aca="false">IF(ISNUMBER(A343),IF(COUNTIF(祝日!$A:$A,A343)&gt;0,"祝",CHOOSE(WEEKDAY(A343,2),"月","火","水","木","金","土","日")),"")</f>
        <v/>
      </c>
    </row>
    <row r="344" customFormat="false" ht="15" hidden="false" customHeight="false" outlineLevel="0" collapsed="false">
      <c r="Z344" s="25" t="str">
        <f aca="false">IF(ISNUMBER(A344),IF(COUNTIF(祝日!$A:$A,A344)&gt;0,"祝",CHOOSE(WEEKDAY(A344,2),"月","火","水","木","金","土","日")),"")</f>
        <v/>
      </c>
    </row>
    <row r="345" customFormat="false" ht="15" hidden="false" customHeight="false" outlineLevel="0" collapsed="false">
      <c r="Z345" s="25" t="str">
        <f aca="false">IF(ISNUMBER(A345),IF(COUNTIF(祝日!$A:$A,A345)&gt;0,"祝",CHOOSE(WEEKDAY(A345,2),"月","火","水","木","金","土","日")),"")</f>
        <v/>
      </c>
    </row>
    <row r="346" customFormat="false" ht="15" hidden="false" customHeight="false" outlineLevel="0" collapsed="false">
      <c r="Z346" s="25" t="str">
        <f aca="false">IF(ISNUMBER(A346),IF(COUNTIF(祝日!$A:$A,A346)&gt;0,"祝",CHOOSE(WEEKDAY(A346,2),"月","火","水","木","金","土","日")),"")</f>
        <v/>
      </c>
    </row>
    <row r="347" customFormat="false" ht="15" hidden="false" customHeight="false" outlineLevel="0" collapsed="false">
      <c r="Z347" s="25" t="str">
        <f aca="false">IF(ISNUMBER(A347),IF(COUNTIF(祝日!$A:$A,A347)&gt;0,"祝",CHOOSE(WEEKDAY(A347,2),"月","火","水","木","金","土","日")),"")</f>
        <v/>
      </c>
    </row>
    <row r="348" customFormat="false" ht="15" hidden="false" customHeight="false" outlineLevel="0" collapsed="false">
      <c r="Z348" s="25" t="str">
        <f aca="false">IF(ISNUMBER(A348),IF(COUNTIF(祝日!$A:$A,A348)&gt;0,"祝",CHOOSE(WEEKDAY(A348,2),"月","火","水","木","金","土","日")),"")</f>
        <v/>
      </c>
    </row>
    <row r="349" customFormat="false" ht="15" hidden="false" customHeight="false" outlineLevel="0" collapsed="false">
      <c r="Z349" s="25" t="str">
        <f aca="false">IF(ISNUMBER(A349),IF(COUNTIF(祝日!$A:$A,A349)&gt;0,"祝",CHOOSE(WEEKDAY(A349,2),"月","火","水","木","金","土","日")),"")</f>
        <v/>
      </c>
    </row>
    <row r="350" customFormat="false" ht="15" hidden="false" customHeight="false" outlineLevel="0" collapsed="false">
      <c r="Z350" s="25" t="str">
        <f aca="false">IF(ISNUMBER(A350),IF(COUNTIF(祝日!$A:$A,A350)&gt;0,"祝",CHOOSE(WEEKDAY(A350,2),"月","火","水","木","金","土","日")),"")</f>
        <v/>
      </c>
    </row>
    <row r="351" customFormat="false" ht="15" hidden="false" customHeight="false" outlineLevel="0" collapsed="false">
      <c r="Z351" s="25" t="str">
        <f aca="false">IF(ISNUMBER(A351),IF(COUNTIF(祝日!$A:$A,A351)&gt;0,"祝",CHOOSE(WEEKDAY(A351,2),"月","火","水","木","金","土","日")),"")</f>
        <v/>
      </c>
    </row>
    <row r="352" customFormat="false" ht="15" hidden="false" customHeight="false" outlineLevel="0" collapsed="false">
      <c r="Z352" s="25" t="str">
        <f aca="false">IF(ISNUMBER(A352),IF(COUNTIF(祝日!$A:$A,A352)&gt;0,"祝",CHOOSE(WEEKDAY(A352,2),"月","火","水","木","金","土","日")),"")</f>
        <v/>
      </c>
    </row>
    <row r="353" customFormat="false" ht="15" hidden="false" customHeight="false" outlineLevel="0" collapsed="false">
      <c r="Z353" s="25" t="str">
        <f aca="false">IF(ISNUMBER(A353),IF(COUNTIF(祝日!$A:$A,A353)&gt;0,"祝",CHOOSE(WEEKDAY(A353,2),"月","火","水","木","金","土","日")),"")</f>
        <v/>
      </c>
    </row>
    <row r="354" customFormat="false" ht="15" hidden="false" customHeight="false" outlineLevel="0" collapsed="false">
      <c r="Z354" s="25" t="str">
        <f aca="false">IF(ISNUMBER(A354),IF(COUNTIF(祝日!$A:$A,A354)&gt;0,"祝",CHOOSE(WEEKDAY(A354,2),"月","火","水","木","金","土","日")),"")</f>
        <v/>
      </c>
    </row>
    <row r="355" customFormat="false" ht="15" hidden="false" customHeight="false" outlineLevel="0" collapsed="false">
      <c r="Z355" s="25" t="str">
        <f aca="false">IF(ISNUMBER(A355),IF(COUNTIF(祝日!$A:$A,A355)&gt;0,"祝",CHOOSE(WEEKDAY(A355,2),"月","火","水","木","金","土","日")),"")</f>
        <v/>
      </c>
    </row>
    <row r="356" customFormat="false" ht="15" hidden="false" customHeight="false" outlineLevel="0" collapsed="false">
      <c r="Z356" s="25" t="str">
        <f aca="false">IF(ISNUMBER(A356),IF(COUNTIF(祝日!$A:$A,A356)&gt;0,"祝",CHOOSE(WEEKDAY(A356,2),"月","火","水","木","金","土","日")),"")</f>
        <v/>
      </c>
    </row>
    <row r="357" customFormat="false" ht="15" hidden="false" customHeight="false" outlineLevel="0" collapsed="false">
      <c r="Z357" s="25" t="str">
        <f aca="false">IF(ISNUMBER(A357),IF(COUNTIF(祝日!$A:$A,A357)&gt;0,"祝",CHOOSE(WEEKDAY(A357,2),"月","火","水","木","金","土","日")),"")</f>
        <v/>
      </c>
    </row>
    <row r="358" customFormat="false" ht="15" hidden="false" customHeight="false" outlineLevel="0" collapsed="false">
      <c r="Z358" s="25" t="str">
        <f aca="false">IF(ISNUMBER(A358),IF(COUNTIF(祝日!$A:$A,A358)&gt;0,"祝",CHOOSE(WEEKDAY(A358,2),"月","火","水","木","金","土","日")),"")</f>
        <v/>
      </c>
    </row>
    <row r="359" customFormat="false" ht="15" hidden="false" customHeight="false" outlineLevel="0" collapsed="false">
      <c r="Z359" s="25" t="str">
        <f aca="false">IF(ISNUMBER(A359),IF(COUNTIF(祝日!$A:$A,A359)&gt;0,"祝",CHOOSE(WEEKDAY(A359,2),"月","火","水","木","金","土","日")),"")</f>
        <v/>
      </c>
    </row>
    <row r="360" customFormat="false" ht="15" hidden="false" customHeight="false" outlineLevel="0" collapsed="false">
      <c r="Z360" s="25" t="str">
        <f aca="false">IF(ISNUMBER(A360),IF(COUNTIF(祝日!$A:$A,A360)&gt;0,"祝",CHOOSE(WEEKDAY(A360,2),"月","火","水","木","金","土","日")),"")</f>
        <v/>
      </c>
    </row>
    <row r="361" customFormat="false" ht="15" hidden="false" customHeight="false" outlineLevel="0" collapsed="false">
      <c r="Z361" s="25" t="str">
        <f aca="false">IF(ISNUMBER(A361),IF(COUNTIF(祝日!$A:$A,A361)&gt;0,"祝",CHOOSE(WEEKDAY(A361,2),"月","火","水","木","金","土","日")),"")</f>
        <v/>
      </c>
    </row>
    <row r="362" customFormat="false" ht="15" hidden="false" customHeight="false" outlineLevel="0" collapsed="false">
      <c r="Z362" s="25" t="str">
        <f aca="false">IF(ISNUMBER(A362),IF(COUNTIF(祝日!$A:$A,A362)&gt;0,"祝",CHOOSE(WEEKDAY(A362,2),"月","火","水","木","金","土","日")),"")</f>
        <v/>
      </c>
    </row>
    <row r="363" customFormat="false" ht="15" hidden="false" customHeight="false" outlineLevel="0" collapsed="false">
      <c r="Z363" s="25" t="str">
        <f aca="false">IF(ISNUMBER(A363),IF(COUNTIF(祝日!$A:$A,A363)&gt;0,"祝",CHOOSE(WEEKDAY(A363,2),"月","火","水","木","金","土","日")),"")</f>
        <v/>
      </c>
    </row>
    <row r="364" customFormat="false" ht="15" hidden="false" customHeight="false" outlineLevel="0" collapsed="false">
      <c r="Z364" s="25" t="str">
        <f aca="false">IF(ISNUMBER(A364),IF(COUNTIF(祝日!$A:$A,A364)&gt;0,"祝",CHOOSE(WEEKDAY(A364,2),"月","火","水","木","金","土","日")),"")</f>
        <v/>
      </c>
    </row>
    <row r="365" customFormat="false" ht="15" hidden="false" customHeight="false" outlineLevel="0" collapsed="false">
      <c r="Z365" s="25" t="str">
        <f aca="false">IF(ISNUMBER(A365),IF(COUNTIF(祝日!$A:$A,A365)&gt;0,"祝",CHOOSE(WEEKDAY(A365,2),"月","火","水","木","金","土","日")),"")</f>
        <v/>
      </c>
    </row>
    <row r="366" customFormat="false" ht="15" hidden="false" customHeight="false" outlineLevel="0" collapsed="false">
      <c r="Z366" s="25" t="str">
        <f aca="false">IF(ISNUMBER(A366),IF(COUNTIF(祝日!$A:$A,A366)&gt;0,"祝",CHOOSE(WEEKDAY(A366,2),"月","火","水","木","金","土","日")),"")</f>
        <v/>
      </c>
    </row>
    <row r="367" customFormat="false" ht="15" hidden="false" customHeight="false" outlineLevel="0" collapsed="false">
      <c r="Z367" s="25" t="str">
        <f aca="false">IF(ISNUMBER(A367),IF(COUNTIF(祝日!$A:$A,A367)&gt;0,"祝",CHOOSE(WEEKDAY(A367,2),"月","火","水","木","金","土","日")),"")</f>
        <v/>
      </c>
    </row>
    <row r="368" customFormat="false" ht="15" hidden="false" customHeight="false" outlineLevel="0" collapsed="false">
      <c r="Z368" s="25" t="str">
        <f aca="false">IF(ISNUMBER(A368),IF(COUNTIF(祝日!$A:$A,A368)&gt;0,"祝",CHOOSE(WEEKDAY(A368,2),"月","火","水","木","金","土","日")),"")</f>
        <v/>
      </c>
    </row>
    <row r="369" customFormat="false" ht="15" hidden="false" customHeight="false" outlineLevel="0" collapsed="false">
      <c r="Z369" s="25" t="str">
        <f aca="false">IF(ISNUMBER(A369),IF(COUNTIF(祝日!$A:$A,A369)&gt;0,"祝",CHOOSE(WEEKDAY(A369,2),"月","火","水","木","金","土","日")),"")</f>
        <v/>
      </c>
    </row>
    <row r="370" customFormat="false" ht="15" hidden="false" customHeight="false" outlineLevel="0" collapsed="false">
      <c r="Z370" s="25" t="str">
        <f aca="false">IF(ISNUMBER(A370),IF(COUNTIF(祝日!$A:$A,A370)&gt;0,"祝",CHOOSE(WEEKDAY(A370,2),"月","火","水","木","金","土","日")),"")</f>
        <v/>
      </c>
    </row>
    <row r="371" customFormat="false" ht="15" hidden="false" customHeight="false" outlineLevel="0" collapsed="false">
      <c r="Z371" s="25" t="str">
        <f aca="false">IF(ISNUMBER(A371),IF(COUNTIF(祝日!$A:$A,A371)&gt;0,"祝",CHOOSE(WEEKDAY(A371,2),"月","火","水","木","金","土","日")),"")</f>
        <v/>
      </c>
    </row>
    <row r="372" customFormat="false" ht="15" hidden="false" customHeight="false" outlineLevel="0" collapsed="false">
      <c r="Z372" s="25" t="str">
        <f aca="false">IF(ISNUMBER(A372),IF(COUNTIF(祝日!$A:$A,A372)&gt;0,"祝",CHOOSE(WEEKDAY(A372,2),"月","火","水","木","金","土","日")),"")</f>
        <v/>
      </c>
    </row>
    <row r="373" customFormat="false" ht="15" hidden="false" customHeight="false" outlineLevel="0" collapsed="false">
      <c r="Z373" s="25" t="str">
        <f aca="false">IF(ISNUMBER(A373),IF(COUNTIF(祝日!$A:$A,A373)&gt;0,"祝",CHOOSE(WEEKDAY(A373,2),"月","火","水","木","金","土","日")),"")</f>
        <v/>
      </c>
    </row>
    <row r="374" customFormat="false" ht="15" hidden="false" customHeight="false" outlineLevel="0" collapsed="false">
      <c r="Z374" s="25" t="str">
        <f aca="false">IF(ISNUMBER(A374),IF(COUNTIF(祝日!$A:$A,A374)&gt;0,"祝",CHOOSE(WEEKDAY(A374,2),"月","火","水","木","金","土","日")),"")</f>
        <v/>
      </c>
    </row>
    <row r="375" customFormat="false" ht="15" hidden="false" customHeight="false" outlineLevel="0" collapsed="false">
      <c r="Z375" s="25" t="str">
        <f aca="false">IF(ISNUMBER(A375),IF(COUNTIF(祝日!$A:$A,A375)&gt;0,"祝",CHOOSE(WEEKDAY(A375,2),"月","火","水","木","金","土","日")),"")</f>
        <v/>
      </c>
    </row>
    <row r="376" customFormat="false" ht="15" hidden="false" customHeight="false" outlineLevel="0" collapsed="false">
      <c r="Z376" s="25" t="str">
        <f aca="false">IF(ISNUMBER(A376),IF(COUNTIF(祝日!$A:$A,A376)&gt;0,"祝",CHOOSE(WEEKDAY(A376,2),"月","火","水","木","金","土","日")),"")</f>
        <v/>
      </c>
    </row>
    <row r="377" customFormat="false" ht="15" hidden="false" customHeight="false" outlineLevel="0" collapsed="false">
      <c r="Z377" s="25" t="str">
        <f aca="false">IF(ISNUMBER(A377),IF(COUNTIF(祝日!$A:$A,A377)&gt;0,"祝",CHOOSE(WEEKDAY(A377,2),"月","火","水","木","金","土","日")),"")</f>
        <v/>
      </c>
    </row>
    <row r="378" customFormat="false" ht="15" hidden="false" customHeight="false" outlineLevel="0" collapsed="false">
      <c r="Z378" s="25" t="str">
        <f aca="false">IF(ISNUMBER(A378),IF(COUNTIF(祝日!$A:$A,A378)&gt;0,"祝",CHOOSE(WEEKDAY(A378,2),"月","火","水","木","金","土","日")),"")</f>
        <v/>
      </c>
    </row>
    <row r="379" customFormat="false" ht="15" hidden="false" customHeight="false" outlineLevel="0" collapsed="false">
      <c r="Z379" s="25" t="str">
        <f aca="false">IF(ISNUMBER(A379),IF(COUNTIF(祝日!$A:$A,A379)&gt;0,"祝",CHOOSE(WEEKDAY(A379,2),"月","火","水","木","金","土","日")),"")</f>
        <v/>
      </c>
    </row>
    <row r="380" customFormat="false" ht="15" hidden="false" customHeight="false" outlineLevel="0" collapsed="false">
      <c r="Z380" s="25" t="str">
        <f aca="false">IF(ISNUMBER(A380),IF(COUNTIF(祝日!$A:$A,A380)&gt;0,"祝",CHOOSE(WEEKDAY(A380,2),"月","火","水","木","金","土","日")),"")</f>
        <v/>
      </c>
    </row>
    <row r="381" customFormat="false" ht="15" hidden="false" customHeight="false" outlineLevel="0" collapsed="false">
      <c r="Z381" s="25" t="str">
        <f aca="false">IF(ISNUMBER(A381),IF(COUNTIF(祝日!$A:$A,A381)&gt;0,"祝",CHOOSE(WEEKDAY(A381,2),"月","火","水","木","金","土","日")),"")</f>
        <v/>
      </c>
    </row>
    <row r="382" customFormat="false" ht="15" hidden="false" customHeight="false" outlineLevel="0" collapsed="false">
      <c r="Z382" s="25" t="str">
        <f aca="false">IF(ISNUMBER(A382),IF(COUNTIF(祝日!$A:$A,A382)&gt;0,"祝",CHOOSE(WEEKDAY(A382,2),"月","火","水","木","金","土","日")),"")</f>
        <v/>
      </c>
    </row>
    <row r="383" customFormat="false" ht="15" hidden="false" customHeight="false" outlineLevel="0" collapsed="false">
      <c r="Z383" s="25" t="str">
        <f aca="false">IF(ISNUMBER(A383),IF(COUNTIF(祝日!$A:$A,A383)&gt;0,"祝",CHOOSE(WEEKDAY(A383,2),"月","火","水","木","金","土","日")),"")</f>
        <v/>
      </c>
    </row>
    <row r="384" customFormat="false" ht="15" hidden="false" customHeight="false" outlineLevel="0" collapsed="false">
      <c r="Z384" s="25" t="str">
        <f aca="false">IF(ISNUMBER(A384),IF(COUNTIF(祝日!$A:$A,A384)&gt;0,"祝",CHOOSE(WEEKDAY(A384,2),"月","火","水","木","金","土","日")),"")</f>
        <v/>
      </c>
    </row>
    <row r="385" customFormat="false" ht="15" hidden="false" customHeight="false" outlineLevel="0" collapsed="false">
      <c r="Z385" s="25" t="str">
        <f aca="false">IF(ISNUMBER(A385),IF(COUNTIF(祝日!$A:$A,A385)&gt;0,"祝",CHOOSE(WEEKDAY(A385,2),"月","火","水","木","金","土","日")),"")</f>
        <v/>
      </c>
    </row>
    <row r="386" customFormat="false" ht="15" hidden="false" customHeight="false" outlineLevel="0" collapsed="false">
      <c r="Z386" s="25" t="str">
        <f aca="false">IF(ISNUMBER(A386),IF(COUNTIF(祝日!$A:$A,A386)&gt;0,"祝",CHOOSE(WEEKDAY(A386,2),"月","火","水","木","金","土","日")),"")</f>
        <v/>
      </c>
    </row>
    <row r="387" customFormat="false" ht="15" hidden="false" customHeight="false" outlineLevel="0" collapsed="false">
      <c r="Z387" s="25" t="str">
        <f aca="false">IF(ISNUMBER(A387),IF(COUNTIF(祝日!$A:$A,A387)&gt;0,"祝",CHOOSE(WEEKDAY(A387,2),"月","火","水","木","金","土","日")),"")</f>
        <v/>
      </c>
    </row>
    <row r="388" customFormat="false" ht="15" hidden="false" customHeight="false" outlineLevel="0" collapsed="false">
      <c r="Z388" s="25" t="str">
        <f aca="false">IF(ISNUMBER(A388),IF(COUNTIF(祝日!$A:$A,A388)&gt;0,"祝",CHOOSE(WEEKDAY(A388,2),"月","火","水","木","金","土","日")),"")</f>
        <v/>
      </c>
    </row>
    <row r="389" customFormat="false" ht="15" hidden="false" customHeight="false" outlineLevel="0" collapsed="false">
      <c r="Z389" s="25" t="str">
        <f aca="false">IF(ISNUMBER(A389),IF(COUNTIF(祝日!$A:$A,A389)&gt;0,"祝",CHOOSE(WEEKDAY(A389,2),"月","火","水","木","金","土","日")),"")</f>
        <v/>
      </c>
    </row>
    <row r="390" customFormat="false" ht="15" hidden="false" customHeight="false" outlineLevel="0" collapsed="false">
      <c r="Z390" s="25" t="str">
        <f aca="false">IF(ISNUMBER(A390),IF(COUNTIF(祝日!$A:$A,A390)&gt;0,"祝",CHOOSE(WEEKDAY(A390,2),"月","火","水","木","金","土","日")),"")</f>
        <v/>
      </c>
    </row>
    <row r="391" customFormat="false" ht="15" hidden="false" customHeight="false" outlineLevel="0" collapsed="false">
      <c r="Z391" s="25" t="str">
        <f aca="false">IF(ISNUMBER(A391),IF(COUNTIF(祝日!$A:$A,A391)&gt;0,"祝",CHOOSE(WEEKDAY(A391,2),"月","火","水","木","金","土","日")),"")</f>
        <v/>
      </c>
    </row>
    <row r="392" customFormat="false" ht="15" hidden="false" customHeight="false" outlineLevel="0" collapsed="false">
      <c r="Z392" s="25" t="str">
        <f aca="false">IF(ISNUMBER(A392),IF(COUNTIF(祝日!$A:$A,A392)&gt;0,"祝",CHOOSE(WEEKDAY(A392,2),"月","火","水","木","金","土","日")),"")</f>
        <v/>
      </c>
    </row>
    <row r="393" customFormat="false" ht="15" hidden="false" customHeight="false" outlineLevel="0" collapsed="false">
      <c r="Z393" s="25" t="str">
        <f aca="false">IF(ISNUMBER(A393),IF(COUNTIF(祝日!$A:$A,A393)&gt;0,"祝",CHOOSE(WEEKDAY(A393,2),"月","火","水","木","金","土","日")),"")</f>
        <v/>
      </c>
    </row>
    <row r="394" customFormat="false" ht="15" hidden="false" customHeight="false" outlineLevel="0" collapsed="false">
      <c r="Z394" s="25" t="str">
        <f aca="false">IF(ISNUMBER(A394),IF(COUNTIF(祝日!$A:$A,A394)&gt;0,"祝",CHOOSE(WEEKDAY(A394,2),"月","火","水","木","金","土","日")),"")</f>
        <v/>
      </c>
    </row>
    <row r="395" customFormat="false" ht="15" hidden="false" customHeight="false" outlineLevel="0" collapsed="false">
      <c r="Z395" s="25" t="str">
        <f aca="false">IF(ISNUMBER(A395),IF(COUNTIF(祝日!$A:$A,A395)&gt;0,"祝",CHOOSE(WEEKDAY(A395,2),"月","火","水","木","金","土","日")),"")</f>
        <v/>
      </c>
    </row>
    <row r="396" customFormat="false" ht="15" hidden="false" customHeight="false" outlineLevel="0" collapsed="false">
      <c r="Z396" s="25" t="str">
        <f aca="false">IF(ISNUMBER(A396),IF(COUNTIF(祝日!$A:$A,A396)&gt;0,"祝",CHOOSE(WEEKDAY(A396,2),"月","火","水","木","金","土","日")),"")</f>
        <v/>
      </c>
    </row>
    <row r="397" customFormat="false" ht="15" hidden="false" customHeight="false" outlineLevel="0" collapsed="false">
      <c r="Z397" s="25" t="str">
        <f aca="false">IF(ISNUMBER(A397),IF(COUNTIF(祝日!$A:$A,A397)&gt;0,"祝",CHOOSE(WEEKDAY(A397,2),"月","火","水","木","金","土","日")),"")</f>
        <v/>
      </c>
    </row>
    <row r="398" customFormat="false" ht="15" hidden="false" customHeight="false" outlineLevel="0" collapsed="false">
      <c r="Z398" s="25" t="str">
        <f aca="false">IF(ISNUMBER(A398),IF(COUNTIF(祝日!$A:$A,A398)&gt;0,"祝",CHOOSE(WEEKDAY(A398,2),"月","火","水","木","金","土","日")),"")</f>
        <v/>
      </c>
    </row>
    <row r="399" customFormat="false" ht="15" hidden="false" customHeight="false" outlineLevel="0" collapsed="false">
      <c r="Z399" s="25" t="str">
        <f aca="false">IF(ISNUMBER(A399),IF(COUNTIF(祝日!$A:$A,A399)&gt;0,"祝",CHOOSE(WEEKDAY(A399,2),"月","火","水","木","金","土","日")),"")</f>
        <v/>
      </c>
    </row>
    <row r="400" customFormat="false" ht="15" hidden="false" customHeight="false" outlineLevel="0" collapsed="false">
      <c r="Z400" s="25" t="str">
        <f aca="false">IF(ISNUMBER(A400),IF(COUNTIF(祝日!$A:$A,A400)&gt;0,"祝",CHOOSE(WEEKDAY(A400,2),"月","火","水","木","金","土","日")),"")</f>
        <v/>
      </c>
    </row>
    <row r="401" customFormat="false" ht="15" hidden="false" customHeight="false" outlineLevel="0" collapsed="false">
      <c r="Z401" s="25" t="str">
        <f aca="false">IF(ISNUMBER(A401),IF(COUNTIF(祝日!$A:$A,A401)&gt;0,"祝",CHOOSE(WEEKDAY(A401,2),"月","火","水","木","金","土","日")),"")</f>
        <v/>
      </c>
    </row>
    <row r="402" customFormat="false" ht="15" hidden="false" customHeight="false" outlineLevel="0" collapsed="false">
      <c r="Z402" s="25" t="str">
        <f aca="false">IF(ISNUMBER(A402),IF(COUNTIF(祝日!$A:$A,A402)&gt;0,"祝",CHOOSE(WEEKDAY(A402,2),"月","火","水","木","金","土","日")),"")</f>
        <v/>
      </c>
    </row>
    <row r="403" customFormat="false" ht="15" hidden="false" customHeight="false" outlineLevel="0" collapsed="false">
      <c r="Z403" s="25" t="str">
        <f aca="false">IF(ISNUMBER(A403),IF(COUNTIF(祝日!$A:$A,A403)&gt;0,"祝",CHOOSE(WEEKDAY(A403,2),"月","火","水","木","金","土","日")),"")</f>
        <v/>
      </c>
    </row>
    <row r="404" customFormat="false" ht="15" hidden="false" customHeight="false" outlineLevel="0" collapsed="false">
      <c r="Z404" s="25" t="str">
        <f aca="false">IF(ISNUMBER(A404),IF(COUNTIF(祝日!$A:$A,A404)&gt;0,"祝",CHOOSE(WEEKDAY(A404,2),"月","火","水","木","金","土","日")),"")</f>
        <v/>
      </c>
    </row>
    <row r="405" customFormat="false" ht="15" hidden="false" customHeight="false" outlineLevel="0" collapsed="false">
      <c r="Z405" s="25" t="str">
        <f aca="false">IF(ISNUMBER(A405),IF(COUNTIF(祝日!$A:$A,A405)&gt;0,"祝",CHOOSE(WEEKDAY(A405,2),"月","火","水","木","金","土","日")),"")</f>
        <v/>
      </c>
    </row>
    <row r="406" customFormat="false" ht="15" hidden="false" customHeight="false" outlineLevel="0" collapsed="false">
      <c r="Z406" s="25" t="str">
        <f aca="false">IF(ISNUMBER(A406),IF(COUNTIF(祝日!$A:$A,A406)&gt;0,"祝",CHOOSE(WEEKDAY(A406,2),"月","火","水","木","金","土","日")),"")</f>
        <v/>
      </c>
    </row>
    <row r="407" customFormat="false" ht="15" hidden="false" customHeight="false" outlineLevel="0" collapsed="false">
      <c r="Z407" s="25" t="str">
        <f aca="false">IF(ISNUMBER(A407),IF(COUNTIF(祝日!$A:$A,A407)&gt;0,"祝",CHOOSE(WEEKDAY(A407,2),"月","火","水","木","金","土","日")),"")</f>
        <v/>
      </c>
    </row>
    <row r="408" customFormat="false" ht="15" hidden="false" customHeight="false" outlineLevel="0" collapsed="false">
      <c r="Z408" s="25" t="str">
        <f aca="false">IF(ISNUMBER(A408),IF(COUNTIF(祝日!$A:$A,A408)&gt;0,"祝",CHOOSE(WEEKDAY(A408,2),"月","火","水","木","金","土","日")),"")</f>
        <v/>
      </c>
    </row>
    <row r="409" customFormat="false" ht="15" hidden="false" customHeight="false" outlineLevel="0" collapsed="false">
      <c r="Z409" s="25" t="str">
        <f aca="false">IF(ISNUMBER(A409),IF(COUNTIF(祝日!$A:$A,A409)&gt;0,"祝",CHOOSE(WEEKDAY(A409,2),"月","火","水","木","金","土","日")),"")</f>
        <v/>
      </c>
    </row>
    <row r="410" customFormat="false" ht="15" hidden="false" customHeight="false" outlineLevel="0" collapsed="false">
      <c r="Z410" s="25" t="str">
        <f aca="false">IF(ISNUMBER(A410),IF(COUNTIF(祝日!$A:$A,A410)&gt;0,"祝",CHOOSE(WEEKDAY(A410,2),"月","火","水","木","金","土","日")),"")</f>
        <v/>
      </c>
    </row>
    <row r="411" customFormat="false" ht="15" hidden="false" customHeight="false" outlineLevel="0" collapsed="false">
      <c r="Z411" s="25" t="str">
        <f aca="false">IF(ISNUMBER(A411),IF(COUNTIF(祝日!$A:$A,A411)&gt;0,"祝",CHOOSE(WEEKDAY(A411,2),"月","火","水","木","金","土","日")),"")</f>
        <v/>
      </c>
    </row>
    <row r="412" customFormat="false" ht="15" hidden="false" customHeight="false" outlineLevel="0" collapsed="false">
      <c r="Z412" s="25" t="str">
        <f aca="false">IF(ISNUMBER(A412),IF(COUNTIF(祝日!$A:$A,A412)&gt;0,"祝",CHOOSE(WEEKDAY(A412,2),"月","火","水","木","金","土","日")),"")</f>
        <v/>
      </c>
    </row>
    <row r="413" customFormat="false" ht="15" hidden="false" customHeight="false" outlineLevel="0" collapsed="false">
      <c r="Z413" s="25" t="str">
        <f aca="false">IF(ISNUMBER(A413),IF(COUNTIF(祝日!$A:$A,A413)&gt;0,"祝",CHOOSE(WEEKDAY(A413,2),"月","火","水","木","金","土","日")),"")</f>
        <v/>
      </c>
    </row>
    <row r="414" customFormat="false" ht="15" hidden="false" customHeight="false" outlineLevel="0" collapsed="false">
      <c r="Z414" s="25" t="str">
        <f aca="false">IF(ISNUMBER(A414),IF(COUNTIF(祝日!$A:$A,A414)&gt;0,"祝",CHOOSE(WEEKDAY(A414,2),"月","火","水","木","金","土","日")),"")</f>
        <v/>
      </c>
    </row>
    <row r="415" customFormat="false" ht="15" hidden="false" customHeight="false" outlineLevel="0" collapsed="false">
      <c r="Z415" s="25" t="str">
        <f aca="false">IF(ISNUMBER(A415),IF(COUNTIF(祝日!$A:$A,A415)&gt;0,"祝",CHOOSE(WEEKDAY(A415,2),"月","火","水","木","金","土","日")),"")</f>
        <v/>
      </c>
    </row>
    <row r="416" customFormat="false" ht="15" hidden="false" customHeight="false" outlineLevel="0" collapsed="false">
      <c r="Z416" s="25" t="str">
        <f aca="false">IF(ISNUMBER(A416),IF(COUNTIF(祝日!$A:$A,A416)&gt;0,"祝",CHOOSE(WEEKDAY(A416,2),"月","火","水","木","金","土","日")),"")</f>
        <v/>
      </c>
    </row>
    <row r="417" customFormat="false" ht="15" hidden="false" customHeight="false" outlineLevel="0" collapsed="false">
      <c r="Z417" s="25" t="str">
        <f aca="false">IF(ISNUMBER(A417),IF(COUNTIF(祝日!$A:$A,A417)&gt;0,"祝",CHOOSE(WEEKDAY(A417,2),"月","火","水","木","金","土","日")),"")</f>
        <v/>
      </c>
    </row>
    <row r="418" customFormat="false" ht="15" hidden="false" customHeight="false" outlineLevel="0" collapsed="false">
      <c r="Z418" s="25" t="str">
        <f aca="false">IF(ISNUMBER(A418),IF(COUNTIF(祝日!$A:$A,A418)&gt;0,"祝",CHOOSE(WEEKDAY(A418,2),"月","火","水","木","金","土","日")),"")</f>
        <v/>
      </c>
    </row>
    <row r="419" customFormat="false" ht="15" hidden="false" customHeight="false" outlineLevel="0" collapsed="false">
      <c r="Z419" s="25" t="str">
        <f aca="false">IF(ISNUMBER(A419),IF(COUNTIF(祝日!$A:$A,A419)&gt;0,"祝",CHOOSE(WEEKDAY(A419,2),"月","火","水","木","金","土","日")),"")</f>
        <v/>
      </c>
    </row>
    <row r="420" customFormat="false" ht="15" hidden="false" customHeight="false" outlineLevel="0" collapsed="false">
      <c r="Z420" s="25" t="str">
        <f aca="false">IF(ISNUMBER(A420),IF(COUNTIF(祝日!$A:$A,A420)&gt;0,"祝",CHOOSE(WEEKDAY(A420,2),"月","火","水","木","金","土","日")),"")</f>
        <v/>
      </c>
    </row>
    <row r="421" customFormat="false" ht="15" hidden="false" customHeight="false" outlineLevel="0" collapsed="false">
      <c r="Z421" s="25" t="str">
        <f aca="false">IF(ISNUMBER(A421),IF(COUNTIF(祝日!$A:$A,A421)&gt;0,"祝",CHOOSE(WEEKDAY(A421,2),"月","火","水","木","金","土","日")),"")</f>
        <v/>
      </c>
    </row>
    <row r="422" customFormat="false" ht="15" hidden="false" customHeight="false" outlineLevel="0" collapsed="false">
      <c r="Z422" s="25" t="str">
        <f aca="false">IF(ISNUMBER(A422),IF(COUNTIF(祝日!$A:$A,A422)&gt;0,"祝",CHOOSE(WEEKDAY(A422,2),"月","火","水","木","金","土","日")),"")</f>
        <v/>
      </c>
    </row>
    <row r="423" customFormat="false" ht="15" hidden="false" customHeight="false" outlineLevel="0" collapsed="false">
      <c r="Z423" s="25" t="str">
        <f aca="false">IF(ISNUMBER(A423),IF(COUNTIF(祝日!$A:$A,A423)&gt;0,"祝",CHOOSE(WEEKDAY(A423,2),"月","火","水","木","金","土","日")),"")</f>
        <v/>
      </c>
    </row>
    <row r="424" customFormat="false" ht="15" hidden="false" customHeight="false" outlineLevel="0" collapsed="false">
      <c r="Z424" s="25" t="str">
        <f aca="false">IF(ISNUMBER(A424),IF(COUNTIF(祝日!$A:$A,A424)&gt;0,"祝",CHOOSE(WEEKDAY(A424,2),"月","火","水","木","金","土","日")),"")</f>
        <v/>
      </c>
    </row>
    <row r="425" customFormat="false" ht="15" hidden="false" customHeight="false" outlineLevel="0" collapsed="false">
      <c r="Z425" s="25" t="str">
        <f aca="false">IF(ISNUMBER(A425),IF(COUNTIF(祝日!$A:$A,A425)&gt;0,"祝",CHOOSE(WEEKDAY(A425,2),"月","火","水","木","金","土","日")),"")</f>
        <v/>
      </c>
    </row>
    <row r="426" customFormat="false" ht="15" hidden="false" customHeight="false" outlineLevel="0" collapsed="false">
      <c r="Z426" s="25" t="str">
        <f aca="false">IF(ISNUMBER(A426),IF(COUNTIF(祝日!$A:$A,A426)&gt;0,"祝",CHOOSE(WEEKDAY(A426,2),"月","火","水","木","金","土","日")),"")</f>
        <v/>
      </c>
    </row>
    <row r="427" customFormat="false" ht="15" hidden="false" customHeight="false" outlineLevel="0" collapsed="false">
      <c r="Z427" s="25" t="str">
        <f aca="false">IF(ISNUMBER(A427),IF(COUNTIF(祝日!$A:$A,A427)&gt;0,"祝",CHOOSE(WEEKDAY(A427,2),"月","火","水","木","金","土","日")),"")</f>
        <v/>
      </c>
    </row>
    <row r="428" customFormat="false" ht="15" hidden="false" customHeight="false" outlineLevel="0" collapsed="false">
      <c r="Z428" s="25" t="str">
        <f aca="false">IF(ISNUMBER(A428),IF(COUNTIF(祝日!$A:$A,A428)&gt;0,"祝",CHOOSE(WEEKDAY(A428,2),"月","火","水","木","金","土","日")),"")</f>
        <v/>
      </c>
    </row>
    <row r="429" customFormat="false" ht="15" hidden="false" customHeight="false" outlineLevel="0" collapsed="false">
      <c r="Z429" s="25" t="str">
        <f aca="false">IF(ISNUMBER(A429),IF(COUNTIF(祝日!$A:$A,A429)&gt;0,"祝",CHOOSE(WEEKDAY(A429,2),"月","火","水","木","金","土","日")),"")</f>
        <v/>
      </c>
    </row>
    <row r="430" customFormat="false" ht="15" hidden="false" customHeight="false" outlineLevel="0" collapsed="false">
      <c r="Z430" s="25" t="str">
        <f aca="false">IF(ISNUMBER(A430),IF(COUNTIF(祝日!$A:$A,A430)&gt;0,"祝",CHOOSE(WEEKDAY(A430,2),"月","火","水","木","金","土","日")),"")</f>
        <v/>
      </c>
    </row>
    <row r="431" customFormat="false" ht="15" hidden="false" customHeight="false" outlineLevel="0" collapsed="false">
      <c r="Z431" s="25" t="str">
        <f aca="false">IF(ISNUMBER(A431),IF(COUNTIF(祝日!$A:$A,A431)&gt;0,"祝",CHOOSE(WEEKDAY(A431,2),"月","火","水","木","金","土","日")),"")</f>
        <v/>
      </c>
    </row>
    <row r="432" customFormat="false" ht="15" hidden="false" customHeight="false" outlineLevel="0" collapsed="false">
      <c r="Z432" s="25" t="str">
        <f aca="false">IF(ISNUMBER(A432),IF(COUNTIF(祝日!$A:$A,A432)&gt;0,"祝",CHOOSE(WEEKDAY(A432,2),"月","火","水","木","金","土","日")),"")</f>
        <v/>
      </c>
    </row>
    <row r="433" customFormat="false" ht="15" hidden="false" customHeight="false" outlineLevel="0" collapsed="false">
      <c r="Z433" s="25" t="str">
        <f aca="false">IF(ISNUMBER(A433),IF(COUNTIF(祝日!$A:$A,A433)&gt;0,"祝",CHOOSE(WEEKDAY(A433,2),"月","火","水","木","金","土","日")),"")</f>
        <v/>
      </c>
    </row>
    <row r="434" customFormat="false" ht="15" hidden="false" customHeight="false" outlineLevel="0" collapsed="false">
      <c r="Z434" s="25" t="str">
        <f aca="false">IF(ISNUMBER(A434),IF(COUNTIF(祝日!$A:$A,A434)&gt;0,"祝",CHOOSE(WEEKDAY(A434,2),"月","火","水","木","金","土","日")),"")</f>
        <v/>
      </c>
    </row>
    <row r="435" customFormat="false" ht="15" hidden="false" customHeight="false" outlineLevel="0" collapsed="false">
      <c r="Z435" s="25" t="str">
        <f aca="false">IF(ISNUMBER(A435),IF(COUNTIF(祝日!$A:$A,A435)&gt;0,"祝",CHOOSE(WEEKDAY(A435,2),"月","火","水","木","金","土","日")),"")</f>
        <v/>
      </c>
    </row>
    <row r="436" customFormat="false" ht="15" hidden="false" customHeight="false" outlineLevel="0" collapsed="false">
      <c r="Z436" s="25" t="str">
        <f aca="false">IF(ISNUMBER(A436),IF(COUNTIF(祝日!$A:$A,A436)&gt;0,"祝",CHOOSE(WEEKDAY(A436,2),"月","火","水","木","金","土","日")),"")</f>
        <v/>
      </c>
    </row>
    <row r="437" customFormat="false" ht="15" hidden="false" customHeight="false" outlineLevel="0" collapsed="false">
      <c r="Z437" s="25" t="str">
        <f aca="false">IF(ISNUMBER(A437),IF(COUNTIF(祝日!$A:$A,A437)&gt;0,"祝",CHOOSE(WEEKDAY(A437,2),"月","火","水","木","金","土","日")),"")</f>
        <v/>
      </c>
    </row>
    <row r="438" customFormat="false" ht="15" hidden="false" customHeight="false" outlineLevel="0" collapsed="false">
      <c r="Z438" s="25" t="str">
        <f aca="false">IF(ISNUMBER(A438),IF(COUNTIF(祝日!$A:$A,A438)&gt;0,"祝",CHOOSE(WEEKDAY(A438,2),"月","火","水","木","金","土","日")),"")</f>
        <v/>
      </c>
    </row>
    <row r="439" customFormat="false" ht="15" hidden="false" customHeight="false" outlineLevel="0" collapsed="false">
      <c r="Z439" s="25" t="str">
        <f aca="false">IF(ISNUMBER(A439),IF(COUNTIF(祝日!$A:$A,A439)&gt;0,"祝",CHOOSE(WEEKDAY(A439,2),"月","火","水","木","金","土","日")),"")</f>
        <v/>
      </c>
    </row>
    <row r="440" customFormat="false" ht="15" hidden="false" customHeight="false" outlineLevel="0" collapsed="false">
      <c r="Z440" s="25" t="str">
        <f aca="false">IF(ISNUMBER(A440),IF(COUNTIF(祝日!$A:$A,A440)&gt;0,"祝",CHOOSE(WEEKDAY(A440,2),"月","火","水","木","金","土","日")),"")</f>
        <v/>
      </c>
    </row>
    <row r="441" customFormat="false" ht="15" hidden="false" customHeight="false" outlineLevel="0" collapsed="false">
      <c r="Z441" s="25" t="str">
        <f aca="false">IF(ISNUMBER(A441),IF(COUNTIF(祝日!$A:$A,A441)&gt;0,"祝",CHOOSE(WEEKDAY(A441,2),"月","火","水","木","金","土","日")),"")</f>
        <v/>
      </c>
    </row>
    <row r="442" customFormat="false" ht="15" hidden="false" customHeight="false" outlineLevel="0" collapsed="false">
      <c r="Z442" s="25" t="str">
        <f aca="false">IF(ISNUMBER(A442),IF(COUNTIF(祝日!$A:$A,A442)&gt;0,"祝",CHOOSE(WEEKDAY(A442,2),"月","火","水","木","金","土","日")),"")</f>
        <v/>
      </c>
    </row>
    <row r="443" customFormat="false" ht="15" hidden="false" customHeight="false" outlineLevel="0" collapsed="false">
      <c r="Z443" s="25" t="str">
        <f aca="false">IF(ISNUMBER(A443),IF(COUNTIF(祝日!$A:$A,A443)&gt;0,"祝",CHOOSE(WEEKDAY(A443,2),"月","火","水","木","金","土","日")),"")</f>
        <v/>
      </c>
    </row>
    <row r="444" customFormat="false" ht="15" hidden="false" customHeight="false" outlineLevel="0" collapsed="false">
      <c r="Z444" s="25" t="str">
        <f aca="false">IF(ISNUMBER(A444),IF(COUNTIF(祝日!$A:$A,A444)&gt;0,"祝",CHOOSE(WEEKDAY(A444,2),"月","火","水","木","金","土","日")),"")</f>
        <v/>
      </c>
    </row>
    <row r="445" customFormat="false" ht="15" hidden="false" customHeight="false" outlineLevel="0" collapsed="false">
      <c r="Z445" s="25" t="str">
        <f aca="false">IF(ISNUMBER(A445),IF(COUNTIF(祝日!$A:$A,A445)&gt;0,"祝",CHOOSE(WEEKDAY(A445,2),"月","火","水","木","金","土","日")),"")</f>
        <v/>
      </c>
    </row>
    <row r="446" customFormat="false" ht="15" hidden="false" customHeight="false" outlineLevel="0" collapsed="false">
      <c r="Z446" s="25" t="str">
        <f aca="false">IF(ISNUMBER(A446),IF(COUNTIF(祝日!$A:$A,A446)&gt;0,"祝",CHOOSE(WEEKDAY(A446,2),"月","火","水","木","金","土","日")),"")</f>
        <v/>
      </c>
    </row>
    <row r="447" customFormat="false" ht="15" hidden="false" customHeight="false" outlineLevel="0" collapsed="false">
      <c r="Z447" s="25" t="str">
        <f aca="false">IF(ISNUMBER(A447),IF(COUNTIF(祝日!$A:$A,A447)&gt;0,"祝",CHOOSE(WEEKDAY(A447,2),"月","火","水","木","金","土","日")),"")</f>
        <v/>
      </c>
    </row>
    <row r="448" customFormat="false" ht="15" hidden="false" customHeight="false" outlineLevel="0" collapsed="false">
      <c r="Z448" s="25" t="str">
        <f aca="false">IF(ISNUMBER(A448),IF(COUNTIF(祝日!$A:$A,A448)&gt;0,"祝",CHOOSE(WEEKDAY(A448,2),"月","火","水","木","金","土","日")),"")</f>
        <v/>
      </c>
    </row>
    <row r="449" customFormat="false" ht="15" hidden="false" customHeight="false" outlineLevel="0" collapsed="false">
      <c r="Z449" s="25" t="str">
        <f aca="false">IF(ISNUMBER(A449),IF(COUNTIF(祝日!$A:$A,A449)&gt;0,"祝",CHOOSE(WEEKDAY(A449,2),"月","火","水","木","金","土","日")),"")</f>
        <v/>
      </c>
    </row>
    <row r="450" customFormat="false" ht="15" hidden="false" customHeight="false" outlineLevel="0" collapsed="false">
      <c r="Z450" s="25" t="str">
        <f aca="false">IF(ISNUMBER(A450),IF(COUNTIF(祝日!$A:$A,A450)&gt;0,"祝",CHOOSE(WEEKDAY(A450,2),"月","火","水","木","金","土","日")),"")</f>
        <v/>
      </c>
    </row>
    <row r="451" customFormat="false" ht="15" hidden="false" customHeight="false" outlineLevel="0" collapsed="false">
      <c r="Z451" s="25" t="str">
        <f aca="false">IF(ISNUMBER(A451),IF(COUNTIF(祝日!$A:$A,A451)&gt;0,"祝",CHOOSE(WEEKDAY(A451,2),"月","火","水","木","金","土","日")),"")</f>
        <v/>
      </c>
    </row>
    <row r="452" customFormat="false" ht="15" hidden="false" customHeight="false" outlineLevel="0" collapsed="false">
      <c r="Z452" s="25" t="str">
        <f aca="false">IF(ISNUMBER(A452),IF(COUNTIF(祝日!$A:$A,A452)&gt;0,"祝",CHOOSE(WEEKDAY(A452,2),"月","火","水","木","金","土","日")),"")</f>
        <v/>
      </c>
    </row>
    <row r="453" customFormat="false" ht="15" hidden="false" customHeight="false" outlineLevel="0" collapsed="false">
      <c r="Z453" s="25" t="str">
        <f aca="false">IF(ISNUMBER(A453),IF(COUNTIF(祝日!$A:$A,A453)&gt;0,"祝",CHOOSE(WEEKDAY(A453,2),"月","火","水","木","金","土","日")),"")</f>
        <v/>
      </c>
    </row>
    <row r="454" customFormat="false" ht="15" hidden="false" customHeight="false" outlineLevel="0" collapsed="false">
      <c r="Z454" s="25" t="str">
        <f aca="false">IF(ISNUMBER(A454),IF(COUNTIF(祝日!$A:$A,A454)&gt;0,"祝",CHOOSE(WEEKDAY(A454,2),"月","火","水","木","金","土","日")),"")</f>
        <v/>
      </c>
    </row>
    <row r="455" customFormat="false" ht="15" hidden="false" customHeight="false" outlineLevel="0" collapsed="false">
      <c r="Z455" s="25" t="str">
        <f aca="false">IF(ISNUMBER(A455),IF(COUNTIF(祝日!$A:$A,A455)&gt;0,"祝",CHOOSE(WEEKDAY(A455,2),"月","火","水","木","金","土","日")),"")</f>
        <v/>
      </c>
    </row>
    <row r="456" customFormat="false" ht="15" hidden="false" customHeight="false" outlineLevel="0" collapsed="false">
      <c r="Z456" s="25" t="str">
        <f aca="false">IF(ISNUMBER(A456),IF(COUNTIF(祝日!$A:$A,A456)&gt;0,"祝",CHOOSE(WEEKDAY(A456,2),"月","火","水","木","金","土","日")),"")</f>
        <v/>
      </c>
    </row>
    <row r="457" customFormat="false" ht="15" hidden="false" customHeight="false" outlineLevel="0" collapsed="false">
      <c r="Z457" s="25" t="str">
        <f aca="false">IF(ISNUMBER(A457),IF(COUNTIF(祝日!$A:$A,A457)&gt;0,"祝",CHOOSE(WEEKDAY(A457,2),"月","火","水","木","金","土","日")),"")</f>
        <v/>
      </c>
    </row>
    <row r="458" customFormat="false" ht="15" hidden="false" customHeight="false" outlineLevel="0" collapsed="false">
      <c r="Z458" s="25" t="str">
        <f aca="false">IF(ISNUMBER(A458),IF(COUNTIF(祝日!$A:$A,A458)&gt;0,"祝",CHOOSE(WEEKDAY(A458,2),"月","火","水","木","金","土","日")),"")</f>
        <v/>
      </c>
    </row>
    <row r="459" customFormat="false" ht="15" hidden="false" customHeight="false" outlineLevel="0" collapsed="false">
      <c r="Z459" s="25" t="str">
        <f aca="false">IF(ISNUMBER(A459),IF(COUNTIF(祝日!$A:$A,A459)&gt;0,"祝",CHOOSE(WEEKDAY(A459,2),"月","火","水","木","金","土","日")),"")</f>
        <v/>
      </c>
    </row>
    <row r="460" customFormat="false" ht="15" hidden="false" customHeight="false" outlineLevel="0" collapsed="false">
      <c r="Z460" s="25" t="str">
        <f aca="false">IF(ISNUMBER(A460),IF(COUNTIF(祝日!$A:$A,A460)&gt;0,"祝",CHOOSE(WEEKDAY(A460,2),"月","火","水","木","金","土","日")),"")</f>
        <v/>
      </c>
    </row>
    <row r="461" customFormat="false" ht="15" hidden="false" customHeight="false" outlineLevel="0" collapsed="false">
      <c r="Z461" s="25" t="str">
        <f aca="false">IF(ISNUMBER(A461),IF(COUNTIF(祝日!$A:$A,A461)&gt;0,"祝",CHOOSE(WEEKDAY(A461,2),"月","火","水","木","金","土","日")),"")</f>
        <v/>
      </c>
    </row>
    <row r="462" customFormat="false" ht="15" hidden="false" customHeight="false" outlineLevel="0" collapsed="false">
      <c r="Z462" s="25" t="str">
        <f aca="false">IF(ISNUMBER(A462),IF(COUNTIF(祝日!$A:$A,A462)&gt;0,"祝",CHOOSE(WEEKDAY(A462,2),"月","火","水","木","金","土","日")),"")</f>
        <v/>
      </c>
    </row>
    <row r="463" customFormat="false" ht="15" hidden="false" customHeight="false" outlineLevel="0" collapsed="false">
      <c r="Z463" s="25" t="str">
        <f aca="false">IF(ISNUMBER(A463),IF(COUNTIF(祝日!$A:$A,A463)&gt;0,"祝",CHOOSE(WEEKDAY(A463,2),"月","火","水","木","金","土","日")),"")</f>
        <v/>
      </c>
    </row>
    <row r="464" customFormat="false" ht="15" hidden="false" customHeight="false" outlineLevel="0" collapsed="false">
      <c r="Z464" s="25" t="str">
        <f aca="false">IF(ISNUMBER(A464),IF(COUNTIF(祝日!$A:$A,A464)&gt;0,"祝",CHOOSE(WEEKDAY(A464,2),"月","火","水","木","金","土","日")),"")</f>
        <v/>
      </c>
    </row>
    <row r="465" customFormat="false" ht="15" hidden="false" customHeight="false" outlineLevel="0" collapsed="false">
      <c r="Z465" s="25" t="str">
        <f aca="false">IF(ISNUMBER(A465),IF(COUNTIF(祝日!$A:$A,A465)&gt;0,"祝",CHOOSE(WEEKDAY(A465,2),"月","火","水","木","金","土","日")),"")</f>
        <v/>
      </c>
    </row>
    <row r="466" customFormat="false" ht="15" hidden="false" customHeight="false" outlineLevel="0" collapsed="false">
      <c r="Z466" s="25" t="str">
        <f aca="false">IF(ISNUMBER(A466),IF(COUNTIF(祝日!$A:$A,A466)&gt;0,"祝",CHOOSE(WEEKDAY(A466,2),"月","火","水","木","金","土","日")),"")</f>
        <v/>
      </c>
    </row>
    <row r="467" customFormat="false" ht="15" hidden="false" customHeight="false" outlineLevel="0" collapsed="false">
      <c r="Z467" s="25" t="str">
        <f aca="false">IF(ISNUMBER(A467),IF(COUNTIF(祝日!$A:$A,A467)&gt;0,"祝",CHOOSE(WEEKDAY(A467,2),"月","火","水","木","金","土","日")),"")</f>
        <v/>
      </c>
    </row>
    <row r="468" customFormat="false" ht="15" hidden="false" customHeight="false" outlineLevel="0" collapsed="false">
      <c r="Z468" s="25" t="str">
        <f aca="false">IF(ISNUMBER(A468),IF(COUNTIF(祝日!$A:$A,A468)&gt;0,"祝",CHOOSE(WEEKDAY(A468,2),"月","火","水","木","金","土","日")),"")</f>
        <v/>
      </c>
    </row>
    <row r="469" customFormat="false" ht="15" hidden="false" customHeight="false" outlineLevel="0" collapsed="false">
      <c r="Z469" s="25" t="str">
        <f aca="false">IF(ISNUMBER(A469),IF(COUNTIF(祝日!$A:$A,A469)&gt;0,"祝",CHOOSE(WEEKDAY(A469,2),"月","火","水","木","金","土","日")),"")</f>
        <v/>
      </c>
    </row>
    <row r="470" customFormat="false" ht="15" hidden="false" customHeight="false" outlineLevel="0" collapsed="false">
      <c r="Z470" s="25" t="str">
        <f aca="false">IF(ISNUMBER(A470),IF(COUNTIF(祝日!$A:$A,A470)&gt;0,"祝",CHOOSE(WEEKDAY(A470,2),"月","火","水","木","金","土","日")),"")</f>
        <v/>
      </c>
    </row>
    <row r="471" customFormat="false" ht="15" hidden="false" customHeight="false" outlineLevel="0" collapsed="false">
      <c r="Z471" s="25" t="str">
        <f aca="false">IF(ISNUMBER(A471),IF(COUNTIF(祝日!$A:$A,A471)&gt;0,"祝",CHOOSE(WEEKDAY(A471,2),"月","火","水","木","金","土","日")),"")</f>
        <v/>
      </c>
    </row>
    <row r="472" customFormat="false" ht="15" hidden="false" customHeight="false" outlineLevel="0" collapsed="false">
      <c r="Z472" s="25" t="str">
        <f aca="false">IF(ISNUMBER(A472),IF(COUNTIF(祝日!$A:$A,A472)&gt;0,"祝",CHOOSE(WEEKDAY(A472,2),"月","火","水","木","金","土","日")),"")</f>
        <v/>
      </c>
    </row>
    <row r="473" customFormat="false" ht="15" hidden="false" customHeight="false" outlineLevel="0" collapsed="false">
      <c r="Z473" s="25" t="str">
        <f aca="false">IF(ISNUMBER(A473),IF(COUNTIF(祝日!$A:$A,A473)&gt;0,"祝",CHOOSE(WEEKDAY(A473,2),"月","火","水","木","金","土","日")),"")</f>
        <v/>
      </c>
    </row>
    <row r="474" customFormat="false" ht="15" hidden="false" customHeight="false" outlineLevel="0" collapsed="false">
      <c r="Z474" s="25" t="str">
        <f aca="false">IF(ISNUMBER(A474),IF(COUNTIF(祝日!$A:$A,A474)&gt;0,"祝",CHOOSE(WEEKDAY(A474,2),"月","火","水","木","金","土","日")),"")</f>
        <v/>
      </c>
    </row>
    <row r="475" customFormat="false" ht="15" hidden="false" customHeight="false" outlineLevel="0" collapsed="false">
      <c r="Z475" s="25" t="str">
        <f aca="false">IF(ISNUMBER(A475),IF(COUNTIF(祝日!$A:$A,A475)&gt;0,"祝",CHOOSE(WEEKDAY(A475,2),"月","火","水","木","金","土","日")),"")</f>
        <v/>
      </c>
    </row>
    <row r="476" customFormat="false" ht="15" hidden="false" customHeight="false" outlineLevel="0" collapsed="false">
      <c r="Z476" s="25" t="str">
        <f aca="false">IF(ISNUMBER(A476),IF(COUNTIF(祝日!$A:$A,A476)&gt;0,"祝",CHOOSE(WEEKDAY(A476,2),"月","火","水","木","金","土","日")),"")</f>
        <v/>
      </c>
    </row>
    <row r="477" customFormat="false" ht="15" hidden="false" customHeight="false" outlineLevel="0" collapsed="false">
      <c r="Z477" s="25" t="str">
        <f aca="false">IF(ISNUMBER(A477),IF(COUNTIF(祝日!$A:$A,A477)&gt;0,"祝",CHOOSE(WEEKDAY(A477,2),"月","火","水","木","金","土","日")),"")</f>
        <v/>
      </c>
    </row>
    <row r="478" customFormat="false" ht="15" hidden="false" customHeight="false" outlineLevel="0" collapsed="false">
      <c r="Z478" s="25" t="str">
        <f aca="false">IF(ISNUMBER(A478),IF(COUNTIF(祝日!$A:$A,A478)&gt;0,"祝",CHOOSE(WEEKDAY(A478,2),"月","火","水","木","金","土","日")),"")</f>
        <v/>
      </c>
    </row>
    <row r="479" customFormat="false" ht="15" hidden="false" customHeight="false" outlineLevel="0" collapsed="false">
      <c r="Z479" s="25" t="str">
        <f aca="false">IF(ISNUMBER(A479),IF(COUNTIF(祝日!$A:$A,A479)&gt;0,"祝",CHOOSE(WEEKDAY(A479,2),"月","火","水","木","金","土","日")),"")</f>
        <v/>
      </c>
    </row>
    <row r="480" customFormat="false" ht="15" hidden="false" customHeight="false" outlineLevel="0" collapsed="false">
      <c r="Z480" s="25" t="str">
        <f aca="false">IF(ISNUMBER(A480),IF(COUNTIF(祝日!$A:$A,A480)&gt;0,"祝",CHOOSE(WEEKDAY(A480,2),"月","火","水","木","金","土","日")),"")</f>
        <v/>
      </c>
    </row>
    <row r="481" customFormat="false" ht="15" hidden="false" customHeight="false" outlineLevel="0" collapsed="false">
      <c r="Z481" s="25" t="str">
        <f aca="false">IF(ISNUMBER(A481),IF(COUNTIF(祝日!$A:$A,A481)&gt;0,"祝",CHOOSE(WEEKDAY(A481,2),"月","火","水","木","金","土","日")),"")</f>
        <v/>
      </c>
    </row>
    <row r="482" customFormat="false" ht="15" hidden="false" customHeight="false" outlineLevel="0" collapsed="false">
      <c r="Z482" s="25" t="str">
        <f aca="false">IF(ISNUMBER(A482),IF(COUNTIF(祝日!$A:$A,A482)&gt;0,"祝",CHOOSE(WEEKDAY(A482,2),"月","火","水","木","金","土","日")),"")</f>
        <v/>
      </c>
    </row>
    <row r="483" customFormat="false" ht="15" hidden="false" customHeight="false" outlineLevel="0" collapsed="false">
      <c r="Z483" s="25" t="str">
        <f aca="false">IF(ISNUMBER(A483),IF(COUNTIF(祝日!$A:$A,A483)&gt;0,"祝",CHOOSE(WEEKDAY(A483,2),"月","火","水","木","金","土","日")),"")</f>
        <v/>
      </c>
    </row>
    <row r="484" customFormat="false" ht="15" hidden="false" customHeight="false" outlineLevel="0" collapsed="false">
      <c r="Z484" s="25" t="str">
        <f aca="false">IF(ISNUMBER(A484),IF(COUNTIF(祝日!$A:$A,A484)&gt;0,"祝",CHOOSE(WEEKDAY(A484,2),"月","火","水","木","金","土","日")),"")</f>
        <v/>
      </c>
    </row>
    <row r="485" customFormat="false" ht="15" hidden="false" customHeight="false" outlineLevel="0" collapsed="false">
      <c r="Z485" s="25" t="str">
        <f aca="false">IF(ISNUMBER(A485),IF(COUNTIF(祝日!$A:$A,A485)&gt;0,"祝",CHOOSE(WEEKDAY(A485,2),"月","火","水","木","金","土","日")),"")</f>
        <v/>
      </c>
    </row>
    <row r="486" customFormat="false" ht="15" hidden="false" customHeight="false" outlineLevel="0" collapsed="false">
      <c r="Z486" s="25" t="str">
        <f aca="false">IF(ISNUMBER(A486),IF(COUNTIF(祝日!$A:$A,A486)&gt;0,"祝",CHOOSE(WEEKDAY(A486,2),"月","火","水","木","金","土","日")),"")</f>
        <v/>
      </c>
    </row>
    <row r="487" customFormat="false" ht="15" hidden="false" customHeight="false" outlineLevel="0" collapsed="false">
      <c r="Z487" s="25" t="str">
        <f aca="false">IF(ISNUMBER(A487),IF(COUNTIF(祝日!$A:$A,A487)&gt;0,"祝",CHOOSE(WEEKDAY(A487,2),"月","火","水","木","金","土","日")),"")</f>
        <v/>
      </c>
    </row>
    <row r="488" customFormat="false" ht="15" hidden="false" customHeight="false" outlineLevel="0" collapsed="false">
      <c r="Z488" s="25" t="str">
        <f aca="false">IF(ISNUMBER(A488),IF(COUNTIF(祝日!$A:$A,A488)&gt;0,"祝",CHOOSE(WEEKDAY(A488,2),"月","火","水","木","金","土","日")),"")</f>
        <v/>
      </c>
    </row>
    <row r="489" customFormat="false" ht="15" hidden="false" customHeight="false" outlineLevel="0" collapsed="false">
      <c r="Z489" s="25" t="str">
        <f aca="false">IF(ISNUMBER(A489),IF(COUNTIF(祝日!$A:$A,A489)&gt;0,"祝",CHOOSE(WEEKDAY(A489,2),"月","火","水","木","金","土","日")),"")</f>
        <v/>
      </c>
    </row>
    <row r="490" customFormat="false" ht="15" hidden="false" customHeight="false" outlineLevel="0" collapsed="false">
      <c r="Z490" s="25" t="str">
        <f aca="false">IF(ISNUMBER(A490),IF(COUNTIF(祝日!$A:$A,A490)&gt;0,"祝",CHOOSE(WEEKDAY(A490,2),"月","火","水","木","金","土","日")),"")</f>
        <v/>
      </c>
    </row>
    <row r="491" customFormat="false" ht="15" hidden="false" customHeight="false" outlineLevel="0" collapsed="false">
      <c r="Z491" s="25" t="str">
        <f aca="false">IF(ISNUMBER(A491),IF(COUNTIF(祝日!$A:$A,A491)&gt;0,"祝",CHOOSE(WEEKDAY(A491,2),"月","火","水","木","金","土","日")),"")</f>
        <v/>
      </c>
    </row>
    <row r="492" customFormat="false" ht="15" hidden="false" customHeight="false" outlineLevel="0" collapsed="false">
      <c r="Z492" s="25" t="str">
        <f aca="false">IF(ISNUMBER(A492),IF(COUNTIF(祝日!$A:$A,A492)&gt;0,"祝",CHOOSE(WEEKDAY(A492,2),"月","火","水","木","金","土","日")),"")</f>
        <v/>
      </c>
    </row>
    <row r="493" customFormat="false" ht="15" hidden="false" customHeight="false" outlineLevel="0" collapsed="false">
      <c r="Z493" s="25" t="str">
        <f aca="false">IF(ISNUMBER(A493),IF(COUNTIF(祝日!$A:$A,A493)&gt;0,"祝",CHOOSE(WEEKDAY(A493,2),"月","火","水","木","金","土","日")),"")</f>
        <v/>
      </c>
    </row>
    <row r="494" customFormat="false" ht="15" hidden="false" customHeight="false" outlineLevel="0" collapsed="false">
      <c r="Z494" s="25" t="str">
        <f aca="false">IF(ISNUMBER(A494),IF(COUNTIF(祝日!$A:$A,A494)&gt;0,"祝",CHOOSE(WEEKDAY(A494,2),"月","火","水","木","金","土","日")),"")</f>
        <v/>
      </c>
    </row>
    <row r="495" customFormat="false" ht="15" hidden="false" customHeight="false" outlineLevel="0" collapsed="false">
      <c r="Z495" s="25" t="str">
        <f aca="false">IF(ISNUMBER(A495),IF(COUNTIF(祝日!$A:$A,A495)&gt;0,"祝",CHOOSE(WEEKDAY(A495,2),"月","火","水","木","金","土","日")),"")</f>
        <v/>
      </c>
    </row>
    <row r="496" customFormat="false" ht="15" hidden="false" customHeight="false" outlineLevel="0" collapsed="false">
      <c r="Z496" s="25" t="str">
        <f aca="false">IF(ISNUMBER(A496),IF(COUNTIF(祝日!$A:$A,A496)&gt;0,"祝",CHOOSE(WEEKDAY(A496,2),"月","火","水","木","金","土","日")),"")</f>
        <v/>
      </c>
    </row>
    <row r="497" customFormat="false" ht="15" hidden="false" customHeight="false" outlineLevel="0" collapsed="false">
      <c r="Z497" s="25" t="str">
        <f aca="false">IF(ISNUMBER(A497),IF(COUNTIF(祝日!$A:$A,A497)&gt;0,"祝",CHOOSE(WEEKDAY(A497,2),"月","火","水","木","金","土","日")),"")</f>
        <v/>
      </c>
    </row>
    <row r="498" customFormat="false" ht="15" hidden="false" customHeight="false" outlineLevel="0" collapsed="false">
      <c r="Z498" s="25" t="str">
        <f aca="false">IF(ISNUMBER(A498),IF(COUNTIF(祝日!$A:$A,A498)&gt;0,"祝",CHOOSE(WEEKDAY(A498,2),"月","火","水","木","金","土","日")),"")</f>
        <v/>
      </c>
    </row>
    <row r="499" customFormat="false" ht="15" hidden="false" customHeight="false" outlineLevel="0" collapsed="false">
      <c r="Z499" s="25" t="str">
        <f aca="false">IF(ISNUMBER(A499),IF(COUNTIF(祝日!$A:$A,A499)&gt;0,"祝",CHOOSE(WEEKDAY(A499,2),"月","火","水","木","金","土","日")),"")</f>
        <v/>
      </c>
    </row>
    <row r="500" customFormat="false" ht="15" hidden="false" customHeight="false" outlineLevel="0" collapsed="false">
      <c r="Z500" s="25" t="str">
        <f aca="false">IF(ISNUMBER(A500),IF(COUNTIF(祝日!$A:$A,A500)&gt;0,"祝",CHOOSE(WEEKDAY(A500,2),"月","火","水","木","金","土","日")),"")</f>
        <v/>
      </c>
    </row>
    <row r="501" customFormat="false" ht="15" hidden="false" customHeight="false" outlineLevel="0" collapsed="false">
      <c r="Z501" s="25" t="str">
        <f aca="false">IF(ISNUMBER(A501),IF(COUNTIF(祝日!$A:$A,A501)&gt;0,"祝",CHOOSE(WEEKDAY(A501,2),"月","火","水","木","金","土","日")),"")</f>
        <v/>
      </c>
    </row>
    <row r="502" customFormat="false" ht="15" hidden="false" customHeight="false" outlineLevel="0" collapsed="false">
      <c r="Z502" s="25" t="str">
        <f aca="false">IF(ISNUMBER(A502),IF(COUNTIF(祝日!$A:$A,A502)&gt;0,"祝",CHOOSE(WEEKDAY(A502,2),"月","火","水","木","金","土","日")),"")</f>
        <v/>
      </c>
    </row>
    <row r="503" customFormat="false" ht="15" hidden="false" customHeight="false" outlineLevel="0" collapsed="false">
      <c r="Z503" s="25" t="str">
        <f aca="false">IF(ISNUMBER(A503),IF(COUNTIF(祝日!$A:$A,A503)&gt;0,"祝",CHOOSE(WEEKDAY(A503,2),"月","火","水","木","金","土","日")),"")</f>
        <v/>
      </c>
    </row>
    <row r="504" customFormat="false" ht="15" hidden="false" customHeight="false" outlineLevel="0" collapsed="false">
      <c r="Z504" s="25" t="str">
        <f aca="false">IF(ISNUMBER(A504),IF(COUNTIF(祝日!$A:$A,A504)&gt;0,"祝",CHOOSE(WEEKDAY(A504,2),"月","火","水","木","金","土","日")),"")</f>
        <v/>
      </c>
    </row>
    <row r="505" customFormat="false" ht="15" hidden="false" customHeight="false" outlineLevel="0" collapsed="false">
      <c r="Z505" s="25" t="str">
        <f aca="false">IF(ISNUMBER(A505),IF(COUNTIF(祝日!$A:$A,A505)&gt;0,"祝",CHOOSE(WEEKDAY(A505,2),"月","火","水","木","金","土","日")),"")</f>
        <v/>
      </c>
    </row>
    <row r="506" customFormat="false" ht="15" hidden="false" customHeight="false" outlineLevel="0" collapsed="false">
      <c r="Z506" s="25" t="str">
        <f aca="false">IF(ISNUMBER(A506),IF(COUNTIF(祝日!$A:$A,A506)&gt;0,"祝",CHOOSE(WEEKDAY(A506,2),"月","火","水","木","金","土","日")),"")</f>
        <v/>
      </c>
    </row>
    <row r="507" customFormat="false" ht="15" hidden="false" customHeight="false" outlineLevel="0" collapsed="false">
      <c r="Z507" s="25" t="str">
        <f aca="false">IF(ISNUMBER(A507),IF(COUNTIF(祝日!$A:$A,A507)&gt;0,"祝",CHOOSE(WEEKDAY(A507,2),"月","火","水","木","金","土","日")),"")</f>
        <v/>
      </c>
    </row>
    <row r="508" customFormat="false" ht="15" hidden="false" customHeight="false" outlineLevel="0" collapsed="false">
      <c r="Z508" s="25" t="str">
        <f aca="false">IF(ISNUMBER(A508),IF(COUNTIF(祝日!$A:$A,A508)&gt;0,"祝",CHOOSE(WEEKDAY(A508,2),"月","火","水","木","金","土","日")),"")</f>
        <v/>
      </c>
    </row>
    <row r="509" customFormat="false" ht="15" hidden="false" customHeight="false" outlineLevel="0" collapsed="false">
      <c r="Z509" s="25" t="str">
        <f aca="false">IF(ISNUMBER(A509),IF(COUNTIF(祝日!$A:$A,A509)&gt;0,"祝",CHOOSE(WEEKDAY(A509,2),"月","火","水","木","金","土","日")),"")</f>
        <v/>
      </c>
    </row>
    <row r="510" customFormat="false" ht="15" hidden="false" customHeight="false" outlineLevel="0" collapsed="false">
      <c r="Z510" s="25" t="str">
        <f aca="false">IF(ISNUMBER(A510),IF(COUNTIF(祝日!$A:$A,A510)&gt;0,"祝",CHOOSE(WEEKDAY(A510,2),"月","火","水","木","金","土","日")),"")</f>
        <v/>
      </c>
    </row>
    <row r="511" customFormat="false" ht="15" hidden="false" customHeight="false" outlineLevel="0" collapsed="false">
      <c r="Z511" s="25" t="str">
        <f aca="false">IF(ISNUMBER(A511),IF(COUNTIF(祝日!$A:$A,A511)&gt;0,"祝",CHOOSE(WEEKDAY(A511,2),"月","火","水","木","金","土","日")),"")</f>
        <v/>
      </c>
    </row>
    <row r="512" customFormat="false" ht="15" hidden="false" customHeight="false" outlineLevel="0" collapsed="false">
      <c r="Z512" s="25" t="str">
        <f aca="false">IF(ISNUMBER(A512),IF(COUNTIF(祝日!$A:$A,A512)&gt;0,"祝",CHOOSE(WEEKDAY(A512,2),"月","火","水","木","金","土","日")),"")</f>
        <v/>
      </c>
    </row>
    <row r="513" customFormat="false" ht="15" hidden="false" customHeight="false" outlineLevel="0" collapsed="false">
      <c r="Z513" s="25" t="str">
        <f aca="false">IF(ISNUMBER(A513),IF(COUNTIF(祝日!$A:$A,A513)&gt;0,"祝",CHOOSE(WEEKDAY(A513,2),"月","火","水","木","金","土","日")),"")</f>
        <v/>
      </c>
    </row>
    <row r="514" customFormat="false" ht="15" hidden="false" customHeight="false" outlineLevel="0" collapsed="false">
      <c r="Z514" s="25" t="str">
        <f aca="false">IF(ISNUMBER(A514),IF(COUNTIF(祝日!$A:$A,A514)&gt;0,"祝",CHOOSE(WEEKDAY(A514,2),"月","火","水","木","金","土","日")),"")</f>
        <v/>
      </c>
    </row>
    <row r="515" customFormat="false" ht="15" hidden="false" customHeight="false" outlineLevel="0" collapsed="false">
      <c r="Z515" s="25" t="str">
        <f aca="false">IF(ISNUMBER(A515),IF(COUNTIF(祝日!$A:$A,A515)&gt;0,"祝",CHOOSE(WEEKDAY(A515,2),"月","火","水","木","金","土","日")),"")</f>
        <v/>
      </c>
    </row>
    <row r="516" customFormat="false" ht="15" hidden="false" customHeight="false" outlineLevel="0" collapsed="false">
      <c r="Z516" s="25" t="str">
        <f aca="false">IF(ISNUMBER(A516),IF(COUNTIF(祝日!$A:$A,A516)&gt;0,"祝",CHOOSE(WEEKDAY(A516,2),"月","火","水","木","金","土","日")),"")</f>
        <v/>
      </c>
    </row>
    <row r="517" customFormat="false" ht="15" hidden="false" customHeight="false" outlineLevel="0" collapsed="false">
      <c r="Z517" s="25" t="str">
        <f aca="false">IF(ISNUMBER(A517),IF(COUNTIF(祝日!$A:$A,A517)&gt;0,"祝",CHOOSE(WEEKDAY(A517,2),"月","火","水","木","金","土","日")),"")</f>
        <v/>
      </c>
    </row>
    <row r="518" customFormat="false" ht="15" hidden="false" customHeight="false" outlineLevel="0" collapsed="false">
      <c r="Z518" s="25" t="str">
        <f aca="false">IF(ISNUMBER(A518),IF(COUNTIF(祝日!$A:$A,A518)&gt;0,"祝",CHOOSE(WEEKDAY(A518,2),"月","火","水","木","金","土","日")),"")</f>
        <v/>
      </c>
    </row>
    <row r="519" customFormat="false" ht="15" hidden="false" customHeight="false" outlineLevel="0" collapsed="false">
      <c r="Z519" s="25" t="str">
        <f aca="false">IF(ISNUMBER(A519),IF(COUNTIF(祝日!$A:$A,A519)&gt;0,"祝",CHOOSE(WEEKDAY(A519,2),"月","火","水","木","金","土","日")),"")</f>
        <v/>
      </c>
    </row>
    <row r="520" customFormat="false" ht="15" hidden="false" customHeight="false" outlineLevel="0" collapsed="false">
      <c r="Z520" s="25" t="str">
        <f aca="false">IF(ISNUMBER(A520),IF(COUNTIF(祝日!$A:$A,A520)&gt;0,"祝",CHOOSE(WEEKDAY(A520,2),"月","火","水","木","金","土","日")),"")</f>
        <v/>
      </c>
    </row>
    <row r="521" customFormat="false" ht="15" hidden="false" customHeight="false" outlineLevel="0" collapsed="false">
      <c r="Z521" s="25" t="str">
        <f aca="false">IF(ISNUMBER(A521),IF(COUNTIF(祝日!$A:$A,A521)&gt;0,"祝",CHOOSE(WEEKDAY(A521,2),"月","火","水","木","金","土","日")),"")</f>
        <v/>
      </c>
    </row>
    <row r="522" customFormat="false" ht="15" hidden="false" customHeight="false" outlineLevel="0" collapsed="false">
      <c r="Z522" s="25" t="str">
        <f aca="false">IF(ISNUMBER(A522),IF(COUNTIF(祝日!$A:$A,A522)&gt;0,"祝",CHOOSE(WEEKDAY(A522,2),"月","火","水","木","金","土","日")),"")</f>
        <v/>
      </c>
    </row>
    <row r="523" customFormat="false" ht="15" hidden="false" customHeight="false" outlineLevel="0" collapsed="false">
      <c r="Z523" s="25" t="str">
        <f aca="false">IF(ISNUMBER(A523),IF(COUNTIF(祝日!$A:$A,A523)&gt;0,"祝",CHOOSE(WEEKDAY(A523,2),"月","火","水","木","金","土","日")),"")</f>
        <v/>
      </c>
    </row>
    <row r="524" customFormat="false" ht="15" hidden="false" customHeight="false" outlineLevel="0" collapsed="false">
      <c r="Z524" s="25" t="str">
        <f aca="false">IF(ISNUMBER(A524),IF(COUNTIF(祝日!$A:$A,A524)&gt;0,"祝",CHOOSE(WEEKDAY(A524,2),"月","火","水","木","金","土","日")),"")</f>
        <v/>
      </c>
    </row>
    <row r="525" customFormat="false" ht="15" hidden="false" customHeight="false" outlineLevel="0" collapsed="false">
      <c r="Z525" s="25" t="str">
        <f aca="false">IF(ISNUMBER(A525),IF(COUNTIF(祝日!$A:$A,A525)&gt;0,"祝",CHOOSE(WEEKDAY(A525,2),"月","火","水","木","金","土","日")),"")</f>
        <v/>
      </c>
    </row>
    <row r="526" customFormat="false" ht="15" hidden="false" customHeight="false" outlineLevel="0" collapsed="false">
      <c r="Z526" s="25" t="str">
        <f aca="false">IF(ISNUMBER(A526),IF(COUNTIF(祝日!$A:$A,A526)&gt;0,"祝",CHOOSE(WEEKDAY(A526,2),"月","火","水","木","金","土","日")),"")</f>
        <v/>
      </c>
    </row>
    <row r="527" customFormat="false" ht="15" hidden="false" customHeight="false" outlineLevel="0" collapsed="false">
      <c r="Z527" s="25" t="str">
        <f aca="false">IF(ISNUMBER(A527),IF(COUNTIF(祝日!$A:$A,A527)&gt;0,"祝",CHOOSE(WEEKDAY(A527,2),"月","火","水","木","金","土","日")),"")</f>
        <v/>
      </c>
    </row>
    <row r="528" customFormat="false" ht="15" hidden="false" customHeight="false" outlineLevel="0" collapsed="false">
      <c r="Z528" s="25" t="str">
        <f aca="false">IF(ISNUMBER(A528),IF(COUNTIF(祝日!$A:$A,A528)&gt;0,"祝",CHOOSE(WEEKDAY(A528,2),"月","火","水","木","金","土","日")),"")</f>
        <v/>
      </c>
    </row>
    <row r="529" customFormat="false" ht="15" hidden="false" customHeight="false" outlineLevel="0" collapsed="false">
      <c r="Z529" s="25" t="str">
        <f aca="false">IF(ISNUMBER(A529),IF(COUNTIF(祝日!$A:$A,A529)&gt;0,"祝",CHOOSE(WEEKDAY(A529,2),"月","火","水","木","金","土","日")),"")</f>
        <v/>
      </c>
    </row>
    <row r="530" customFormat="false" ht="15" hidden="false" customHeight="false" outlineLevel="0" collapsed="false">
      <c r="Z530" s="25" t="str">
        <f aca="false">IF(ISNUMBER(A530),IF(COUNTIF(祝日!$A:$A,A530)&gt;0,"祝",CHOOSE(WEEKDAY(A530,2),"月","火","水","木","金","土","日")),"")</f>
        <v/>
      </c>
    </row>
    <row r="531" customFormat="false" ht="15" hidden="false" customHeight="false" outlineLevel="0" collapsed="false">
      <c r="Z531" s="25" t="str">
        <f aca="false">IF(ISNUMBER(A531),IF(COUNTIF(祝日!$A:$A,A531)&gt;0,"祝",CHOOSE(WEEKDAY(A531,2),"月","火","水","木","金","土","日")),"")</f>
        <v/>
      </c>
    </row>
    <row r="532" customFormat="false" ht="15" hidden="false" customHeight="false" outlineLevel="0" collapsed="false">
      <c r="Z532" s="25" t="str">
        <f aca="false">IF(ISNUMBER(A532),IF(COUNTIF(祝日!$A:$A,A532)&gt;0,"祝",CHOOSE(WEEKDAY(A532,2),"月","火","水","木","金","土","日")),"")</f>
        <v/>
      </c>
    </row>
    <row r="533" customFormat="false" ht="15" hidden="false" customHeight="false" outlineLevel="0" collapsed="false">
      <c r="Z533" s="25" t="str">
        <f aca="false">IF(ISNUMBER(A533),IF(COUNTIF(祝日!$A:$A,A533)&gt;0,"祝",CHOOSE(WEEKDAY(A533,2),"月","火","水","木","金","土","日")),"")</f>
        <v/>
      </c>
    </row>
    <row r="534" customFormat="false" ht="15" hidden="false" customHeight="false" outlineLevel="0" collapsed="false">
      <c r="Z534" s="25" t="str">
        <f aca="false">IF(ISNUMBER(A534),IF(COUNTIF(祝日!$A:$A,A534)&gt;0,"祝",CHOOSE(WEEKDAY(A534,2),"月","火","水","木","金","土","日")),"")</f>
        <v/>
      </c>
    </row>
    <row r="535" customFormat="false" ht="15" hidden="false" customHeight="false" outlineLevel="0" collapsed="false">
      <c r="Z535" s="25" t="str">
        <f aca="false">IF(ISNUMBER(A535),IF(COUNTIF(祝日!$A:$A,A535)&gt;0,"祝",CHOOSE(WEEKDAY(A535,2),"月","火","水","木","金","土","日")),"")</f>
        <v/>
      </c>
    </row>
    <row r="536" customFormat="false" ht="15" hidden="false" customHeight="false" outlineLevel="0" collapsed="false">
      <c r="Z536" s="25" t="str">
        <f aca="false">IF(ISNUMBER(A536),IF(COUNTIF(祝日!$A:$A,A536)&gt;0,"祝",CHOOSE(WEEKDAY(A536,2),"月","火","水","木","金","土","日")),"")</f>
        <v/>
      </c>
    </row>
    <row r="537" customFormat="false" ht="15" hidden="false" customHeight="false" outlineLevel="0" collapsed="false">
      <c r="Z537" s="25" t="str">
        <f aca="false">IF(ISNUMBER(A537),IF(COUNTIF(祝日!$A:$A,A537)&gt;0,"祝",CHOOSE(WEEKDAY(A537,2),"月","火","水","木","金","土","日")),"")</f>
        <v/>
      </c>
    </row>
    <row r="538" customFormat="false" ht="15" hidden="false" customHeight="false" outlineLevel="0" collapsed="false">
      <c r="Z538" s="25" t="str">
        <f aca="false">IF(ISNUMBER(A538),IF(COUNTIF(祝日!$A:$A,A538)&gt;0,"祝",CHOOSE(WEEKDAY(A538,2),"月","火","水","木","金","土","日")),"")</f>
        <v/>
      </c>
    </row>
    <row r="539" customFormat="false" ht="15" hidden="false" customHeight="false" outlineLevel="0" collapsed="false">
      <c r="Z539" s="25" t="str">
        <f aca="false">IF(ISNUMBER(A539),IF(COUNTIF(祝日!$A:$A,A539)&gt;0,"祝",CHOOSE(WEEKDAY(A539,2),"月","火","水","木","金","土","日")),"")</f>
        <v/>
      </c>
    </row>
    <row r="540" customFormat="false" ht="15" hidden="false" customHeight="false" outlineLevel="0" collapsed="false">
      <c r="Z540" s="25" t="str">
        <f aca="false">IF(ISNUMBER(A540),IF(COUNTIF(祝日!$A:$A,A540)&gt;0,"祝",CHOOSE(WEEKDAY(A540,2),"月","火","水","木","金","土","日")),"")</f>
        <v/>
      </c>
    </row>
    <row r="541" customFormat="false" ht="15" hidden="false" customHeight="false" outlineLevel="0" collapsed="false">
      <c r="Z541" s="25" t="str">
        <f aca="false">IF(ISNUMBER(A541),IF(COUNTIF(祝日!$A:$A,A541)&gt;0,"祝",CHOOSE(WEEKDAY(A541,2),"月","火","水","木","金","土","日")),"")</f>
        <v/>
      </c>
    </row>
    <row r="542" customFormat="false" ht="15" hidden="false" customHeight="false" outlineLevel="0" collapsed="false">
      <c r="Z542" s="25" t="str">
        <f aca="false">IF(ISNUMBER(A542),IF(COUNTIF(祝日!$A:$A,A542)&gt;0,"祝",CHOOSE(WEEKDAY(A542,2),"月","火","水","木","金","土","日")),"")</f>
        <v/>
      </c>
    </row>
    <row r="543" customFormat="false" ht="15" hidden="false" customHeight="false" outlineLevel="0" collapsed="false">
      <c r="Z543" s="25" t="str">
        <f aca="false">IF(ISNUMBER(A543),IF(COUNTIF(祝日!$A:$A,A543)&gt;0,"祝",CHOOSE(WEEKDAY(A543,2),"月","火","水","木","金","土","日")),"")</f>
        <v/>
      </c>
    </row>
    <row r="544" customFormat="false" ht="15" hidden="false" customHeight="false" outlineLevel="0" collapsed="false">
      <c r="Z544" s="25" t="str">
        <f aca="false">IF(ISNUMBER(A544),IF(COUNTIF(祝日!$A:$A,A544)&gt;0,"祝",CHOOSE(WEEKDAY(A544,2),"月","火","水","木","金","土","日")),"")</f>
        <v/>
      </c>
    </row>
    <row r="545" customFormat="false" ht="15" hidden="false" customHeight="false" outlineLevel="0" collapsed="false">
      <c r="Z545" s="25" t="str">
        <f aca="false">IF(ISNUMBER(A545),IF(COUNTIF(祝日!$A:$A,A545)&gt;0,"祝",CHOOSE(WEEKDAY(A545,2),"月","火","水","木","金","土","日")),"")</f>
        <v/>
      </c>
    </row>
    <row r="546" customFormat="false" ht="15" hidden="false" customHeight="false" outlineLevel="0" collapsed="false">
      <c r="Z546" s="25" t="str">
        <f aca="false">IF(ISNUMBER(A546),IF(COUNTIF(祝日!$A:$A,A546)&gt;0,"祝",CHOOSE(WEEKDAY(A546,2),"月","火","水","木","金","土","日")),"")</f>
        <v/>
      </c>
    </row>
    <row r="547" customFormat="false" ht="15" hidden="false" customHeight="false" outlineLevel="0" collapsed="false">
      <c r="Z547" s="25" t="str">
        <f aca="false">IF(ISNUMBER(A547),IF(COUNTIF(祝日!$A:$A,A547)&gt;0,"祝",CHOOSE(WEEKDAY(A547,2),"月","火","水","木","金","土","日")),"")</f>
        <v/>
      </c>
    </row>
    <row r="548" customFormat="false" ht="15" hidden="false" customHeight="false" outlineLevel="0" collapsed="false">
      <c r="Z548" s="25" t="str">
        <f aca="false">IF(ISNUMBER(A548),IF(COUNTIF(祝日!$A:$A,A548)&gt;0,"祝",CHOOSE(WEEKDAY(A548,2),"月","火","水","木","金","土","日")),"")</f>
        <v/>
      </c>
    </row>
    <row r="549" customFormat="false" ht="15" hidden="false" customHeight="false" outlineLevel="0" collapsed="false">
      <c r="Z549" s="25" t="str">
        <f aca="false">IF(ISNUMBER(A549),IF(COUNTIF(祝日!$A:$A,A549)&gt;0,"祝",CHOOSE(WEEKDAY(A549,2),"月","火","水","木","金","土","日")),"")</f>
        <v/>
      </c>
    </row>
    <row r="550" customFormat="false" ht="15" hidden="false" customHeight="false" outlineLevel="0" collapsed="false">
      <c r="Z550" s="25" t="str">
        <f aca="false">IF(ISNUMBER(A550),IF(COUNTIF(祝日!$A:$A,A550)&gt;0,"祝",CHOOSE(WEEKDAY(A550,2),"月","火","水","木","金","土","日")),"")</f>
        <v/>
      </c>
    </row>
    <row r="551" customFormat="false" ht="15" hidden="false" customHeight="false" outlineLevel="0" collapsed="false">
      <c r="Z551" s="25" t="str">
        <f aca="false">IF(ISNUMBER(A551),IF(COUNTIF(祝日!$A:$A,A551)&gt;0,"祝",CHOOSE(WEEKDAY(A551,2),"月","火","水","木","金","土","日")),"")</f>
        <v/>
      </c>
    </row>
    <row r="552" customFormat="false" ht="15" hidden="false" customHeight="false" outlineLevel="0" collapsed="false">
      <c r="Z552" s="25" t="str">
        <f aca="false">IF(ISNUMBER(A552),IF(COUNTIF(祝日!$A:$A,A552)&gt;0,"祝",CHOOSE(WEEKDAY(A552,2),"月","火","水","木","金","土","日")),"")</f>
        <v/>
      </c>
    </row>
    <row r="553" customFormat="false" ht="15" hidden="false" customHeight="false" outlineLevel="0" collapsed="false">
      <c r="Z553" s="25" t="str">
        <f aca="false">IF(ISNUMBER(A553),IF(COUNTIF(祝日!$A:$A,A553)&gt;0,"祝",CHOOSE(WEEKDAY(A553,2),"月","火","水","木","金","土","日")),"")</f>
        <v/>
      </c>
    </row>
    <row r="554" customFormat="false" ht="15" hidden="false" customHeight="false" outlineLevel="0" collapsed="false">
      <c r="Z554" s="25" t="str">
        <f aca="false">IF(ISNUMBER(A554),IF(COUNTIF(祝日!$A:$A,A554)&gt;0,"祝",CHOOSE(WEEKDAY(A554,2),"月","火","水","木","金","土","日")),"")</f>
        <v/>
      </c>
    </row>
    <row r="555" customFormat="false" ht="15" hidden="false" customHeight="false" outlineLevel="0" collapsed="false">
      <c r="Z555" s="25" t="str">
        <f aca="false">IF(ISNUMBER(A555),IF(COUNTIF(祝日!$A:$A,A555)&gt;0,"祝",CHOOSE(WEEKDAY(A555,2),"月","火","水","木","金","土","日")),"")</f>
        <v/>
      </c>
    </row>
    <row r="556" customFormat="false" ht="15" hidden="false" customHeight="false" outlineLevel="0" collapsed="false">
      <c r="Z556" s="25" t="str">
        <f aca="false">IF(ISNUMBER(A556),IF(COUNTIF(祝日!$A:$A,A556)&gt;0,"祝",CHOOSE(WEEKDAY(A556,2),"月","火","水","木","金","土","日")),"")</f>
        <v/>
      </c>
    </row>
    <row r="557" customFormat="false" ht="15" hidden="false" customHeight="false" outlineLevel="0" collapsed="false">
      <c r="Z557" s="25" t="str">
        <f aca="false">IF(ISNUMBER(A557),IF(COUNTIF(祝日!$A:$A,A557)&gt;0,"祝",CHOOSE(WEEKDAY(A557,2),"月","火","水","木","金","土","日")),"")</f>
        <v/>
      </c>
    </row>
    <row r="558" customFormat="false" ht="15" hidden="false" customHeight="false" outlineLevel="0" collapsed="false">
      <c r="Z558" s="25" t="str">
        <f aca="false">IF(ISNUMBER(A558),IF(COUNTIF(祝日!$A:$A,A558)&gt;0,"祝",CHOOSE(WEEKDAY(A558,2),"月","火","水","木","金","土","日")),"")</f>
        <v/>
      </c>
    </row>
    <row r="559" customFormat="false" ht="15" hidden="false" customHeight="false" outlineLevel="0" collapsed="false">
      <c r="Z559" s="25" t="str">
        <f aca="false">IF(ISNUMBER(A559),IF(COUNTIF(祝日!$A:$A,A559)&gt;0,"祝",CHOOSE(WEEKDAY(A559,2),"月","火","水","木","金","土","日")),"")</f>
        <v/>
      </c>
    </row>
    <row r="560" customFormat="false" ht="15" hidden="false" customHeight="false" outlineLevel="0" collapsed="false">
      <c r="Z560" s="25" t="str">
        <f aca="false">IF(ISNUMBER(A560),IF(COUNTIF(祝日!$A:$A,A560)&gt;0,"祝",CHOOSE(WEEKDAY(A560,2),"月","火","水","木","金","土","日")),"")</f>
        <v/>
      </c>
    </row>
    <row r="561" customFormat="false" ht="15" hidden="false" customHeight="false" outlineLevel="0" collapsed="false">
      <c r="Z561" s="25" t="str">
        <f aca="false">IF(ISNUMBER(A561),IF(COUNTIF(祝日!$A:$A,A561)&gt;0,"祝",CHOOSE(WEEKDAY(A561,2),"月","火","水","木","金","土","日")),"")</f>
        <v/>
      </c>
    </row>
    <row r="562" customFormat="false" ht="15" hidden="false" customHeight="false" outlineLevel="0" collapsed="false">
      <c r="Z562" s="25" t="str">
        <f aca="false">IF(ISNUMBER(A562),IF(COUNTIF(祝日!$A:$A,A562)&gt;0,"祝",CHOOSE(WEEKDAY(A562,2),"月","火","水","木","金","土","日")),"")</f>
        <v/>
      </c>
    </row>
    <row r="563" customFormat="false" ht="15" hidden="false" customHeight="false" outlineLevel="0" collapsed="false">
      <c r="Z563" s="25" t="str">
        <f aca="false">IF(ISNUMBER(A563),IF(COUNTIF(祝日!$A:$A,A563)&gt;0,"祝",CHOOSE(WEEKDAY(A563,2),"月","火","水","木","金","土","日")),"")</f>
        <v/>
      </c>
    </row>
    <row r="564" customFormat="false" ht="15" hidden="false" customHeight="false" outlineLevel="0" collapsed="false">
      <c r="Z564" s="25" t="str">
        <f aca="false">IF(ISNUMBER(A564),IF(COUNTIF(祝日!$A:$A,A564)&gt;0,"祝",CHOOSE(WEEKDAY(A564,2),"月","火","水","木","金","土","日")),"")</f>
        <v/>
      </c>
    </row>
    <row r="565" customFormat="false" ht="15" hidden="false" customHeight="false" outlineLevel="0" collapsed="false">
      <c r="Z565" s="25" t="str">
        <f aca="false">IF(ISNUMBER(A565),IF(COUNTIF(祝日!$A:$A,A565)&gt;0,"祝",CHOOSE(WEEKDAY(A565,2),"月","火","水","木","金","土","日")),"")</f>
        <v/>
      </c>
    </row>
    <row r="566" customFormat="false" ht="15" hidden="false" customHeight="false" outlineLevel="0" collapsed="false">
      <c r="Z566" s="25" t="str">
        <f aca="false">IF(ISNUMBER(A566),IF(COUNTIF(祝日!$A:$A,A566)&gt;0,"祝",CHOOSE(WEEKDAY(A566,2),"月","火","水","木","金","土","日")),"")</f>
        <v/>
      </c>
    </row>
    <row r="567" customFormat="false" ht="15" hidden="false" customHeight="false" outlineLevel="0" collapsed="false">
      <c r="Z567" s="25" t="str">
        <f aca="false">IF(ISNUMBER(A567),IF(COUNTIF(祝日!$A:$A,A567)&gt;0,"祝",CHOOSE(WEEKDAY(A567,2),"月","火","水","木","金","土","日")),"")</f>
        <v/>
      </c>
    </row>
    <row r="568" customFormat="false" ht="15" hidden="false" customHeight="false" outlineLevel="0" collapsed="false">
      <c r="Z568" s="25" t="str">
        <f aca="false">IF(ISNUMBER(A568),IF(COUNTIF(祝日!$A:$A,A568)&gt;0,"祝",CHOOSE(WEEKDAY(A568,2),"月","火","水","木","金","土","日")),"")</f>
        <v/>
      </c>
    </row>
    <row r="569" customFormat="false" ht="15" hidden="false" customHeight="false" outlineLevel="0" collapsed="false">
      <c r="Z569" s="25" t="str">
        <f aca="false">IF(ISNUMBER(A569),IF(COUNTIF(祝日!$A:$A,A569)&gt;0,"祝",CHOOSE(WEEKDAY(A569,2),"月","火","水","木","金","土","日")),"")</f>
        <v/>
      </c>
    </row>
    <row r="570" customFormat="false" ht="15" hidden="false" customHeight="false" outlineLevel="0" collapsed="false">
      <c r="Z570" s="25" t="str">
        <f aca="false">IF(ISNUMBER(A570),IF(COUNTIF(祝日!$A:$A,A570)&gt;0,"祝",CHOOSE(WEEKDAY(A570,2),"月","火","水","木","金","土","日")),"")</f>
        <v/>
      </c>
    </row>
    <row r="571" customFormat="false" ht="15" hidden="false" customHeight="false" outlineLevel="0" collapsed="false">
      <c r="Z571" s="25" t="str">
        <f aca="false">IF(ISNUMBER(A571),IF(COUNTIF(祝日!$A:$A,A571)&gt;0,"祝",CHOOSE(WEEKDAY(A571,2),"月","火","水","木","金","土","日")),"")</f>
        <v/>
      </c>
    </row>
    <row r="572" customFormat="false" ht="15" hidden="false" customHeight="false" outlineLevel="0" collapsed="false">
      <c r="Z572" s="25" t="str">
        <f aca="false">IF(ISNUMBER(A572),IF(COUNTIF(祝日!$A:$A,A572)&gt;0,"祝",CHOOSE(WEEKDAY(A572,2),"月","火","水","木","金","土","日")),"")</f>
        <v/>
      </c>
    </row>
    <row r="573" customFormat="false" ht="15" hidden="false" customHeight="false" outlineLevel="0" collapsed="false">
      <c r="Z573" s="25" t="str">
        <f aca="false">IF(ISNUMBER(A573),IF(COUNTIF(祝日!$A:$A,A573)&gt;0,"祝",CHOOSE(WEEKDAY(A573,2),"月","火","水","木","金","土","日")),"")</f>
        <v/>
      </c>
    </row>
    <row r="574" customFormat="false" ht="15" hidden="false" customHeight="false" outlineLevel="0" collapsed="false">
      <c r="Z574" s="25" t="str">
        <f aca="false">IF(ISNUMBER(A574),IF(COUNTIF(祝日!$A:$A,A574)&gt;0,"祝",CHOOSE(WEEKDAY(A574,2),"月","火","水","木","金","土","日")),"")</f>
        <v/>
      </c>
    </row>
    <row r="575" customFormat="false" ht="15" hidden="false" customHeight="false" outlineLevel="0" collapsed="false">
      <c r="Z575" s="25" t="str">
        <f aca="false">IF(ISNUMBER(A575),IF(COUNTIF(祝日!$A:$A,A575)&gt;0,"祝",CHOOSE(WEEKDAY(A575,2),"月","火","水","木","金","土","日")),"")</f>
        <v/>
      </c>
    </row>
    <row r="576" customFormat="false" ht="15" hidden="false" customHeight="false" outlineLevel="0" collapsed="false">
      <c r="Z576" s="25" t="str">
        <f aca="false">IF(ISNUMBER(A576),IF(COUNTIF(祝日!$A:$A,A576)&gt;0,"祝",CHOOSE(WEEKDAY(A576,2),"月","火","水","木","金","土","日")),"")</f>
        <v/>
      </c>
    </row>
    <row r="577" customFormat="false" ht="15" hidden="false" customHeight="false" outlineLevel="0" collapsed="false">
      <c r="Z577" s="25" t="str">
        <f aca="false">IF(ISNUMBER(A577),IF(COUNTIF(祝日!$A:$A,A577)&gt;0,"祝",CHOOSE(WEEKDAY(A577,2),"月","火","水","木","金","土","日")),"")</f>
        <v/>
      </c>
    </row>
    <row r="578" customFormat="false" ht="15" hidden="false" customHeight="false" outlineLevel="0" collapsed="false">
      <c r="Z578" s="25" t="str">
        <f aca="false">IF(ISNUMBER(A578),IF(COUNTIF(祝日!$A:$A,A578)&gt;0,"祝",CHOOSE(WEEKDAY(A578,2),"月","火","水","木","金","土","日")),"")</f>
        <v/>
      </c>
    </row>
    <row r="579" customFormat="false" ht="15" hidden="false" customHeight="false" outlineLevel="0" collapsed="false">
      <c r="Z579" s="25" t="str">
        <f aca="false">IF(ISNUMBER(A579),IF(COUNTIF(祝日!$A:$A,A579)&gt;0,"祝",CHOOSE(WEEKDAY(A579,2),"月","火","水","木","金","土","日")),"")</f>
        <v/>
      </c>
    </row>
    <row r="580" customFormat="false" ht="15" hidden="false" customHeight="false" outlineLevel="0" collapsed="false">
      <c r="Z580" s="25" t="str">
        <f aca="false">IF(ISNUMBER(A580),IF(COUNTIF(祝日!$A:$A,A580)&gt;0,"祝",CHOOSE(WEEKDAY(A580,2),"月","火","水","木","金","土","日")),"")</f>
        <v/>
      </c>
    </row>
    <row r="581" customFormat="false" ht="15" hidden="false" customHeight="false" outlineLevel="0" collapsed="false">
      <c r="Z581" s="25" t="str">
        <f aca="false">IF(ISNUMBER(A581),IF(COUNTIF(祝日!$A:$A,A581)&gt;0,"祝",CHOOSE(WEEKDAY(A581,2),"月","火","水","木","金","土","日")),"")</f>
        <v/>
      </c>
    </row>
    <row r="582" customFormat="false" ht="15" hidden="false" customHeight="false" outlineLevel="0" collapsed="false">
      <c r="Z582" s="25" t="str">
        <f aca="false">IF(ISNUMBER(A582),IF(COUNTIF(祝日!$A:$A,A582)&gt;0,"祝",CHOOSE(WEEKDAY(A582,2),"月","火","水","木","金","土","日")),"")</f>
        <v/>
      </c>
    </row>
    <row r="583" customFormat="false" ht="15" hidden="false" customHeight="false" outlineLevel="0" collapsed="false">
      <c r="Z583" s="25" t="str">
        <f aca="false">IF(ISNUMBER(A583),IF(COUNTIF(祝日!$A:$A,A583)&gt;0,"祝",CHOOSE(WEEKDAY(A583,2),"月","火","水","木","金","土","日")),"")</f>
        <v/>
      </c>
    </row>
    <row r="584" customFormat="false" ht="15" hidden="false" customHeight="false" outlineLevel="0" collapsed="false">
      <c r="Z584" s="25" t="str">
        <f aca="false">IF(ISNUMBER(A584),IF(COUNTIF(祝日!$A:$A,A584)&gt;0,"祝",CHOOSE(WEEKDAY(A584,2),"月","火","水","木","金","土","日")),"")</f>
        <v/>
      </c>
    </row>
    <row r="585" customFormat="false" ht="15" hidden="false" customHeight="false" outlineLevel="0" collapsed="false">
      <c r="Z585" s="25" t="str">
        <f aca="false">IF(ISNUMBER(A585),IF(COUNTIF(祝日!$A:$A,A585)&gt;0,"祝",CHOOSE(WEEKDAY(A585,2),"月","火","水","木","金","土","日")),"")</f>
        <v/>
      </c>
    </row>
    <row r="586" customFormat="false" ht="15" hidden="false" customHeight="false" outlineLevel="0" collapsed="false">
      <c r="Z586" s="25" t="str">
        <f aca="false">IF(ISNUMBER(A586),IF(COUNTIF(祝日!$A:$A,A586)&gt;0,"祝",CHOOSE(WEEKDAY(A586,2),"月","火","水","木","金","土","日")),"")</f>
        <v/>
      </c>
    </row>
    <row r="587" customFormat="false" ht="15" hidden="false" customHeight="false" outlineLevel="0" collapsed="false">
      <c r="Z587" s="25" t="str">
        <f aca="false">IF(ISNUMBER(A587),IF(COUNTIF(祝日!$A:$A,A587)&gt;0,"祝",CHOOSE(WEEKDAY(A587,2),"月","火","水","木","金","土","日")),"")</f>
        <v/>
      </c>
    </row>
    <row r="588" customFormat="false" ht="15" hidden="false" customHeight="false" outlineLevel="0" collapsed="false">
      <c r="Z588" s="25" t="str">
        <f aca="false">IF(ISNUMBER(A588),IF(COUNTIF(祝日!$A:$A,A588)&gt;0,"祝",CHOOSE(WEEKDAY(A588,2),"月","火","水","木","金","土","日")),"")</f>
        <v/>
      </c>
    </row>
    <row r="589" customFormat="false" ht="15" hidden="false" customHeight="false" outlineLevel="0" collapsed="false">
      <c r="Z589" s="25" t="str">
        <f aca="false">IF(ISNUMBER(A589),IF(COUNTIF(祝日!$A:$A,A589)&gt;0,"祝",CHOOSE(WEEKDAY(A589,2),"月","火","水","木","金","土","日")),"")</f>
        <v/>
      </c>
    </row>
    <row r="590" customFormat="false" ht="15" hidden="false" customHeight="false" outlineLevel="0" collapsed="false">
      <c r="Z590" s="25" t="str">
        <f aca="false">IF(ISNUMBER(A590),IF(COUNTIF(祝日!$A:$A,A590)&gt;0,"祝",CHOOSE(WEEKDAY(A590,2),"月","火","水","木","金","土","日")),"")</f>
        <v/>
      </c>
    </row>
    <row r="591" customFormat="false" ht="15" hidden="false" customHeight="false" outlineLevel="0" collapsed="false">
      <c r="Z591" s="25" t="str">
        <f aca="false">IF(ISNUMBER(A591),IF(COUNTIF(祝日!$A:$A,A591)&gt;0,"祝",CHOOSE(WEEKDAY(A591,2),"月","火","水","木","金","土","日")),"")</f>
        <v/>
      </c>
    </row>
    <row r="592" customFormat="false" ht="15" hidden="false" customHeight="false" outlineLevel="0" collapsed="false">
      <c r="Z592" s="25" t="str">
        <f aca="false">IF(ISNUMBER(A592),IF(COUNTIF(祝日!$A:$A,A592)&gt;0,"祝",CHOOSE(WEEKDAY(A592,2),"月","火","水","木","金","土","日")),"")</f>
        <v/>
      </c>
    </row>
    <row r="593" customFormat="false" ht="15" hidden="false" customHeight="false" outlineLevel="0" collapsed="false">
      <c r="Z593" s="25" t="str">
        <f aca="false">IF(ISNUMBER(A593),IF(COUNTIF(祝日!$A:$A,A593)&gt;0,"祝",CHOOSE(WEEKDAY(A593,2),"月","火","水","木","金","土","日")),"")</f>
        <v/>
      </c>
    </row>
    <row r="594" customFormat="false" ht="15" hidden="false" customHeight="false" outlineLevel="0" collapsed="false">
      <c r="Z594" s="25" t="str">
        <f aca="false">IF(ISNUMBER(A594),IF(COUNTIF(祝日!$A:$A,A594)&gt;0,"祝",CHOOSE(WEEKDAY(A594,2),"月","火","水","木","金","土","日")),"")</f>
        <v/>
      </c>
    </row>
    <row r="595" customFormat="false" ht="15" hidden="false" customHeight="false" outlineLevel="0" collapsed="false">
      <c r="Z595" s="25" t="str">
        <f aca="false">IF(ISNUMBER(A595),IF(COUNTIF(祝日!$A:$A,A595)&gt;0,"祝",CHOOSE(WEEKDAY(A595,2),"月","火","水","木","金","土","日")),"")</f>
        <v/>
      </c>
    </row>
    <row r="596" customFormat="false" ht="15" hidden="false" customHeight="false" outlineLevel="0" collapsed="false">
      <c r="Z596" s="25" t="str">
        <f aca="false">IF(ISNUMBER(A596),IF(COUNTIF(祝日!$A:$A,A596)&gt;0,"祝",CHOOSE(WEEKDAY(A596,2),"月","火","水","木","金","土","日")),"")</f>
        <v/>
      </c>
    </row>
    <row r="597" customFormat="false" ht="15" hidden="false" customHeight="false" outlineLevel="0" collapsed="false">
      <c r="Z597" s="25" t="str">
        <f aca="false">IF(ISNUMBER(A597),IF(COUNTIF(祝日!$A:$A,A597)&gt;0,"祝",CHOOSE(WEEKDAY(A597,2),"月","火","水","木","金","土","日")),"")</f>
        <v/>
      </c>
    </row>
    <row r="598" customFormat="false" ht="15" hidden="false" customHeight="false" outlineLevel="0" collapsed="false">
      <c r="Z598" s="25" t="str">
        <f aca="false">IF(ISNUMBER(A598),IF(COUNTIF(祝日!$A:$A,A598)&gt;0,"祝",CHOOSE(WEEKDAY(A598,2),"月","火","水","木","金","土","日")),"")</f>
        <v/>
      </c>
    </row>
    <row r="599" customFormat="false" ht="15" hidden="false" customHeight="false" outlineLevel="0" collapsed="false">
      <c r="Z599" s="25" t="str">
        <f aca="false">IF(ISNUMBER(A599),IF(COUNTIF(祝日!$A:$A,A599)&gt;0,"祝",CHOOSE(WEEKDAY(A599,2),"月","火","水","木","金","土","日")),"")</f>
        <v/>
      </c>
    </row>
    <row r="600" customFormat="false" ht="15" hidden="false" customHeight="false" outlineLevel="0" collapsed="false">
      <c r="Z600" s="25" t="str">
        <f aca="false">IF(ISNUMBER(A600),IF(COUNTIF(祝日!$A:$A,A600)&gt;0,"祝",CHOOSE(WEEKDAY(A600,2),"月","火","水","木","金","土","日")),"")</f>
        <v/>
      </c>
    </row>
    <row r="601" customFormat="false" ht="15" hidden="false" customHeight="false" outlineLevel="0" collapsed="false">
      <c r="Z601" s="25" t="str">
        <f aca="false">IF(ISNUMBER(A601),IF(COUNTIF(祝日!$A:$A,A601)&gt;0,"祝",CHOOSE(WEEKDAY(A601,2),"月","火","水","木","金","土","日")),"")</f>
        <v/>
      </c>
    </row>
    <row r="602" customFormat="false" ht="15" hidden="false" customHeight="false" outlineLevel="0" collapsed="false">
      <c r="Z602" s="25" t="str">
        <f aca="false">IF(ISNUMBER(A602),IF(COUNTIF(祝日!$A:$A,A602)&gt;0,"祝",CHOOSE(WEEKDAY(A602,2),"月","火","水","木","金","土","日")),"")</f>
        <v/>
      </c>
    </row>
    <row r="603" customFormat="false" ht="15" hidden="false" customHeight="false" outlineLevel="0" collapsed="false">
      <c r="Z603" s="25" t="str">
        <f aca="false">IF(ISNUMBER(A603),IF(COUNTIF(祝日!$A:$A,A603)&gt;0,"祝",CHOOSE(WEEKDAY(A603,2),"月","火","水","木","金","土","日")),"")</f>
        <v/>
      </c>
    </row>
    <row r="604" customFormat="false" ht="15" hidden="false" customHeight="false" outlineLevel="0" collapsed="false">
      <c r="Z604" s="25" t="str">
        <f aca="false">IF(ISNUMBER(A604),IF(COUNTIF(祝日!$A:$A,A604)&gt;0,"祝",CHOOSE(WEEKDAY(A604,2),"月","火","水","木","金","土","日")),"")</f>
        <v/>
      </c>
    </row>
    <row r="605" customFormat="false" ht="15" hidden="false" customHeight="false" outlineLevel="0" collapsed="false">
      <c r="Z605" s="25" t="str">
        <f aca="false">IF(ISNUMBER(A605),IF(COUNTIF(祝日!$A:$A,A605)&gt;0,"祝",CHOOSE(WEEKDAY(A605,2),"月","火","水","木","金","土","日")),"")</f>
        <v/>
      </c>
    </row>
    <row r="606" customFormat="false" ht="15" hidden="false" customHeight="false" outlineLevel="0" collapsed="false">
      <c r="Z606" s="25" t="str">
        <f aca="false">IF(ISNUMBER(A606),IF(COUNTIF(祝日!$A:$A,A606)&gt;0,"祝",CHOOSE(WEEKDAY(A606,2),"月","火","水","木","金","土","日")),"")</f>
        <v/>
      </c>
    </row>
    <row r="607" customFormat="false" ht="15" hidden="false" customHeight="false" outlineLevel="0" collapsed="false">
      <c r="Z607" s="25" t="str">
        <f aca="false">IF(ISNUMBER(A607),IF(COUNTIF(祝日!$A:$A,A607)&gt;0,"祝",CHOOSE(WEEKDAY(A607,2),"月","火","水","木","金","土","日")),"")</f>
        <v/>
      </c>
    </row>
    <row r="608" customFormat="false" ht="15" hidden="false" customHeight="false" outlineLevel="0" collapsed="false">
      <c r="Z608" s="25" t="str">
        <f aca="false">IF(ISNUMBER(A608),IF(COUNTIF(祝日!$A:$A,A608)&gt;0,"祝",CHOOSE(WEEKDAY(A608,2),"月","火","水","木","金","土","日")),"")</f>
        <v/>
      </c>
    </row>
    <row r="609" customFormat="false" ht="15" hidden="false" customHeight="false" outlineLevel="0" collapsed="false">
      <c r="Z609" s="25" t="str">
        <f aca="false">IF(ISNUMBER(A609),IF(COUNTIF(祝日!$A:$A,A609)&gt;0,"祝",CHOOSE(WEEKDAY(A609,2),"月","火","水","木","金","土","日")),"")</f>
        <v/>
      </c>
    </row>
    <row r="610" customFormat="false" ht="15" hidden="false" customHeight="false" outlineLevel="0" collapsed="false">
      <c r="Z610" s="25" t="str">
        <f aca="false">IF(ISNUMBER(A610),IF(COUNTIF(祝日!$A:$A,A610)&gt;0,"祝",CHOOSE(WEEKDAY(A610,2),"月","火","水","木","金","土","日")),"")</f>
        <v/>
      </c>
    </row>
    <row r="611" customFormat="false" ht="15" hidden="false" customHeight="false" outlineLevel="0" collapsed="false">
      <c r="Z611" s="25" t="str">
        <f aca="false">IF(ISNUMBER(A611),IF(COUNTIF(祝日!$A:$A,A611)&gt;0,"祝",CHOOSE(WEEKDAY(A611,2),"月","火","水","木","金","土","日")),"")</f>
        <v/>
      </c>
    </row>
    <row r="612" customFormat="false" ht="15" hidden="false" customHeight="false" outlineLevel="0" collapsed="false">
      <c r="Z612" s="25" t="str">
        <f aca="false">IF(ISNUMBER(A612),IF(COUNTIF(祝日!$A:$A,A612)&gt;0,"祝",CHOOSE(WEEKDAY(A612,2),"月","火","水","木","金","土","日")),"")</f>
        <v/>
      </c>
    </row>
    <row r="613" customFormat="false" ht="15" hidden="false" customHeight="false" outlineLevel="0" collapsed="false">
      <c r="Z613" s="25" t="str">
        <f aca="false">IF(ISNUMBER(A613),IF(COUNTIF(祝日!$A:$A,A613)&gt;0,"祝",CHOOSE(WEEKDAY(A613,2),"月","火","水","木","金","土","日")),"")</f>
        <v/>
      </c>
    </row>
    <row r="614" customFormat="false" ht="15" hidden="false" customHeight="false" outlineLevel="0" collapsed="false">
      <c r="Z614" s="25" t="str">
        <f aca="false">IF(ISNUMBER(A614),IF(COUNTIF(祝日!$A:$A,A614)&gt;0,"祝",CHOOSE(WEEKDAY(A614,2),"月","火","水","木","金","土","日")),"")</f>
        <v/>
      </c>
    </row>
    <row r="615" customFormat="false" ht="15" hidden="false" customHeight="false" outlineLevel="0" collapsed="false">
      <c r="Z615" s="25" t="str">
        <f aca="false">IF(ISNUMBER(A615),IF(COUNTIF(祝日!$A:$A,A615)&gt;0,"祝",CHOOSE(WEEKDAY(A615,2),"月","火","水","木","金","土","日")),"")</f>
        <v/>
      </c>
    </row>
    <row r="616" customFormat="false" ht="15" hidden="false" customHeight="false" outlineLevel="0" collapsed="false">
      <c r="Z616" s="25" t="str">
        <f aca="false">IF(ISNUMBER(A616),IF(COUNTIF(祝日!$A:$A,A616)&gt;0,"祝",CHOOSE(WEEKDAY(A616,2),"月","火","水","木","金","土","日")),"")</f>
        <v/>
      </c>
    </row>
    <row r="617" customFormat="false" ht="15" hidden="false" customHeight="false" outlineLevel="0" collapsed="false">
      <c r="Z617" s="25" t="str">
        <f aca="false">IF(ISNUMBER(A617),IF(COUNTIF(祝日!$A:$A,A617)&gt;0,"祝",CHOOSE(WEEKDAY(A617,2),"月","火","水","木","金","土","日")),"")</f>
        <v/>
      </c>
    </row>
    <row r="618" customFormat="false" ht="15" hidden="false" customHeight="false" outlineLevel="0" collapsed="false">
      <c r="Z618" s="25" t="str">
        <f aca="false">IF(ISNUMBER(A618),IF(COUNTIF(祝日!$A:$A,A618)&gt;0,"祝",CHOOSE(WEEKDAY(A618,2),"月","火","水","木","金","土","日")),"")</f>
        <v/>
      </c>
    </row>
    <row r="619" customFormat="false" ht="15" hidden="false" customHeight="false" outlineLevel="0" collapsed="false">
      <c r="Z619" s="25" t="str">
        <f aca="false">IF(ISNUMBER(A619),IF(COUNTIF(祝日!$A:$A,A619)&gt;0,"祝",CHOOSE(WEEKDAY(A619,2),"月","火","水","木","金","土","日")),"")</f>
        <v/>
      </c>
    </row>
    <row r="620" customFormat="false" ht="15" hidden="false" customHeight="false" outlineLevel="0" collapsed="false">
      <c r="Z620" s="25" t="str">
        <f aca="false">IF(ISNUMBER(A620),IF(COUNTIF(祝日!$A:$A,A620)&gt;0,"祝",CHOOSE(WEEKDAY(A620,2),"月","火","水","木","金","土","日")),"")</f>
        <v/>
      </c>
    </row>
    <row r="621" customFormat="false" ht="15" hidden="false" customHeight="false" outlineLevel="0" collapsed="false">
      <c r="Z621" s="25" t="str">
        <f aca="false">IF(ISNUMBER(A621),IF(COUNTIF(祝日!$A:$A,A621)&gt;0,"祝",CHOOSE(WEEKDAY(A621,2),"月","火","水","木","金","土","日")),"")</f>
        <v/>
      </c>
    </row>
    <row r="622" customFormat="false" ht="15" hidden="false" customHeight="false" outlineLevel="0" collapsed="false">
      <c r="Z622" s="25" t="str">
        <f aca="false">IF(ISNUMBER(A622),IF(COUNTIF(祝日!$A:$A,A622)&gt;0,"祝",CHOOSE(WEEKDAY(A622,2),"月","火","水","木","金","土","日")),"")</f>
        <v/>
      </c>
    </row>
    <row r="623" customFormat="false" ht="15" hidden="false" customHeight="false" outlineLevel="0" collapsed="false">
      <c r="Z623" s="25" t="str">
        <f aca="false">IF(ISNUMBER(A623),IF(COUNTIF(祝日!$A:$A,A623)&gt;0,"祝",CHOOSE(WEEKDAY(A623,2),"月","火","水","木","金","土","日")),"")</f>
        <v/>
      </c>
    </row>
    <row r="624" customFormat="false" ht="15" hidden="false" customHeight="false" outlineLevel="0" collapsed="false">
      <c r="Z624" s="25" t="str">
        <f aca="false">IF(ISNUMBER(A624),IF(COUNTIF(祝日!$A:$A,A624)&gt;0,"祝",CHOOSE(WEEKDAY(A624,2),"月","火","水","木","金","土","日")),"")</f>
        <v/>
      </c>
    </row>
    <row r="625" customFormat="false" ht="15" hidden="false" customHeight="false" outlineLevel="0" collapsed="false">
      <c r="Z625" s="25" t="str">
        <f aca="false">IF(ISNUMBER(A625),IF(COUNTIF(祝日!$A:$A,A625)&gt;0,"祝",CHOOSE(WEEKDAY(A625,2),"月","火","水","木","金","土","日")),"")</f>
        <v/>
      </c>
    </row>
    <row r="626" customFormat="false" ht="15" hidden="false" customHeight="false" outlineLevel="0" collapsed="false">
      <c r="Z626" s="25" t="str">
        <f aca="false">IF(ISNUMBER(A626),IF(COUNTIF(祝日!$A:$A,A626)&gt;0,"祝",CHOOSE(WEEKDAY(A626,2),"月","火","水","木","金","土","日")),"")</f>
        <v/>
      </c>
    </row>
    <row r="627" customFormat="false" ht="15" hidden="false" customHeight="false" outlineLevel="0" collapsed="false">
      <c r="Z627" s="25" t="str">
        <f aca="false">IF(ISNUMBER(A627),IF(COUNTIF(祝日!$A:$A,A627)&gt;0,"祝",CHOOSE(WEEKDAY(A627,2),"月","火","水","木","金","土","日")),"")</f>
        <v/>
      </c>
    </row>
    <row r="628" customFormat="false" ht="15" hidden="false" customHeight="false" outlineLevel="0" collapsed="false">
      <c r="Z628" s="25" t="str">
        <f aca="false">IF(ISNUMBER(A628),IF(COUNTIF(祝日!$A:$A,A628)&gt;0,"祝",CHOOSE(WEEKDAY(A628,2),"月","火","水","木","金","土","日")),"")</f>
        <v/>
      </c>
    </row>
    <row r="629" customFormat="false" ht="15" hidden="false" customHeight="false" outlineLevel="0" collapsed="false">
      <c r="Z629" s="25" t="str">
        <f aca="false">IF(ISNUMBER(A629),IF(COUNTIF(祝日!$A:$A,A629)&gt;0,"祝",CHOOSE(WEEKDAY(A629,2),"月","火","水","木","金","土","日")),"")</f>
        <v/>
      </c>
    </row>
    <row r="630" customFormat="false" ht="15" hidden="false" customHeight="false" outlineLevel="0" collapsed="false">
      <c r="Z630" s="25" t="str">
        <f aca="false">IF(ISNUMBER(A630),IF(COUNTIF(祝日!$A:$A,A630)&gt;0,"祝",CHOOSE(WEEKDAY(A630,2),"月","火","水","木","金","土","日")),"")</f>
        <v/>
      </c>
    </row>
    <row r="631" customFormat="false" ht="15" hidden="false" customHeight="false" outlineLevel="0" collapsed="false">
      <c r="Z631" s="25" t="str">
        <f aca="false">IF(ISNUMBER(A631),IF(COUNTIF(祝日!$A:$A,A631)&gt;0,"祝",CHOOSE(WEEKDAY(A631,2),"月","火","水","木","金","土","日")),"")</f>
        <v/>
      </c>
    </row>
    <row r="632" customFormat="false" ht="15" hidden="false" customHeight="false" outlineLevel="0" collapsed="false">
      <c r="Z632" s="25" t="str">
        <f aca="false">IF(ISNUMBER(A632),IF(COUNTIF(祝日!$A:$A,A632)&gt;0,"祝",CHOOSE(WEEKDAY(A632,2),"月","火","水","木","金","土","日")),"")</f>
        <v/>
      </c>
    </row>
    <row r="633" customFormat="false" ht="15" hidden="false" customHeight="false" outlineLevel="0" collapsed="false">
      <c r="Z633" s="25" t="str">
        <f aca="false">IF(ISNUMBER(A633),IF(COUNTIF(祝日!$A:$A,A633)&gt;0,"祝",CHOOSE(WEEKDAY(A633,2),"月","火","水","木","金","土","日")),"")</f>
        <v/>
      </c>
    </row>
    <row r="634" customFormat="false" ht="15" hidden="false" customHeight="false" outlineLevel="0" collapsed="false">
      <c r="Z634" s="25" t="str">
        <f aca="false">IF(ISNUMBER(A634),IF(COUNTIF(祝日!$A:$A,A634)&gt;0,"祝",CHOOSE(WEEKDAY(A634,2),"月","火","水","木","金","土","日")),"")</f>
        <v/>
      </c>
    </row>
    <row r="635" customFormat="false" ht="15" hidden="false" customHeight="false" outlineLevel="0" collapsed="false">
      <c r="Z635" s="25" t="str">
        <f aca="false">IF(ISNUMBER(A635),IF(COUNTIF(祝日!$A:$A,A635)&gt;0,"祝",CHOOSE(WEEKDAY(A635,2),"月","火","水","木","金","土","日")),"")</f>
        <v/>
      </c>
    </row>
    <row r="636" customFormat="false" ht="15" hidden="false" customHeight="false" outlineLevel="0" collapsed="false">
      <c r="Z636" s="25" t="str">
        <f aca="false">IF(ISNUMBER(A636),IF(COUNTIF(祝日!$A:$A,A636)&gt;0,"祝",CHOOSE(WEEKDAY(A636,2),"月","火","水","木","金","土","日")),"")</f>
        <v/>
      </c>
    </row>
    <row r="637" customFormat="false" ht="15" hidden="false" customHeight="false" outlineLevel="0" collapsed="false">
      <c r="Z637" s="25" t="str">
        <f aca="false">IF(ISNUMBER(A637),IF(COUNTIF(祝日!$A:$A,A637)&gt;0,"祝",CHOOSE(WEEKDAY(A637,2),"月","火","水","木","金","土","日")),"")</f>
        <v/>
      </c>
    </row>
    <row r="638" customFormat="false" ht="15" hidden="false" customHeight="false" outlineLevel="0" collapsed="false">
      <c r="Z638" s="25" t="str">
        <f aca="false">IF(ISNUMBER(A638),IF(COUNTIF(祝日!$A:$A,A638)&gt;0,"祝",CHOOSE(WEEKDAY(A638,2),"月","火","水","木","金","土","日")),"")</f>
        <v/>
      </c>
    </row>
    <row r="639" customFormat="false" ht="15" hidden="false" customHeight="false" outlineLevel="0" collapsed="false">
      <c r="Z639" s="25" t="str">
        <f aca="false">IF(ISNUMBER(A639),IF(COUNTIF(祝日!$A:$A,A639)&gt;0,"祝",CHOOSE(WEEKDAY(A639,2),"月","火","水","木","金","土","日")),"")</f>
        <v/>
      </c>
    </row>
    <row r="640" customFormat="false" ht="15" hidden="false" customHeight="false" outlineLevel="0" collapsed="false">
      <c r="Z640" s="25" t="str">
        <f aca="false">IF(ISNUMBER(A640),IF(COUNTIF(祝日!$A:$A,A640)&gt;0,"祝",CHOOSE(WEEKDAY(A640,2),"月","火","水","木","金","土","日")),"")</f>
        <v/>
      </c>
    </row>
    <row r="641" customFormat="false" ht="15" hidden="false" customHeight="false" outlineLevel="0" collapsed="false">
      <c r="Z641" s="25" t="str">
        <f aca="false">IF(ISNUMBER(A641),IF(COUNTIF(祝日!$A:$A,A641)&gt;0,"祝",CHOOSE(WEEKDAY(A641,2),"月","火","水","木","金","土","日")),"")</f>
        <v/>
      </c>
    </row>
    <row r="642" customFormat="false" ht="15" hidden="false" customHeight="false" outlineLevel="0" collapsed="false">
      <c r="Z642" s="25" t="str">
        <f aca="false">IF(ISNUMBER(A642),IF(COUNTIF(祝日!$A:$A,A642)&gt;0,"祝",CHOOSE(WEEKDAY(A642,2),"月","火","水","木","金","土","日")),"")</f>
        <v/>
      </c>
    </row>
    <row r="643" customFormat="false" ht="15" hidden="false" customHeight="false" outlineLevel="0" collapsed="false">
      <c r="Z643" s="25" t="str">
        <f aca="false">IF(ISNUMBER(A643),IF(COUNTIF(祝日!$A:$A,A643)&gt;0,"祝",CHOOSE(WEEKDAY(A643,2),"月","火","水","木","金","土","日")),"")</f>
        <v/>
      </c>
    </row>
    <row r="644" customFormat="false" ht="15" hidden="false" customHeight="false" outlineLevel="0" collapsed="false">
      <c r="Z644" s="25" t="str">
        <f aca="false">IF(ISNUMBER(A644),IF(COUNTIF(祝日!$A:$A,A644)&gt;0,"祝",CHOOSE(WEEKDAY(A644,2),"月","火","水","木","金","土","日")),"")</f>
        <v/>
      </c>
    </row>
    <row r="645" customFormat="false" ht="15" hidden="false" customHeight="false" outlineLevel="0" collapsed="false">
      <c r="Z645" s="25" t="str">
        <f aca="false">IF(ISNUMBER(A645),IF(COUNTIF(祝日!$A:$A,A645)&gt;0,"祝",CHOOSE(WEEKDAY(A645,2),"月","火","水","木","金","土","日")),"")</f>
        <v/>
      </c>
    </row>
    <row r="646" customFormat="false" ht="15" hidden="false" customHeight="false" outlineLevel="0" collapsed="false">
      <c r="Z646" s="25" t="str">
        <f aca="false">IF(ISNUMBER(A646),IF(COUNTIF(祝日!$A:$A,A646)&gt;0,"祝",CHOOSE(WEEKDAY(A646,2),"月","火","水","木","金","土","日")),"")</f>
        <v/>
      </c>
    </row>
    <row r="647" customFormat="false" ht="15" hidden="false" customHeight="false" outlineLevel="0" collapsed="false">
      <c r="Z647" s="25" t="str">
        <f aca="false">IF(ISNUMBER(A647),IF(COUNTIF(祝日!$A:$A,A647)&gt;0,"祝",CHOOSE(WEEKDAY(A647,2),"月","火","水","木","金","土","日")),"")</f>
        <v/>
      </c>
    </row>
    <row r="648" customFormat="false" ht="15" hidden="false" customHeight="false" outlineLevel="0" collapsed="false">
      <c r="Z648" s="25" t="str">
        <f aca="false">IF(ISNUMBER(A648),IF(COUNTIF(祝日!$A:$A,A648)&gt;0,"祝",CHOOSE(WEEKDAY(A648,2),"月","火","水","木","金","土","日")),"")</f>
        <v/>
      </c>
    </row>
    <row r="649" customFormat="false" ht="15" hidden="false" customHeight="false" outlineLevel="0" collapsed="false">
      <c r="Z649" s="25" t="str">
        <f aca="false">IF(ISNUMBER(A649),IF(COUNTIF(祝日!$A:$A,A649)&gt;0,"祝",CHOOSE(WEEKDAY(A649,2),"月","火","水","木","金","土","日")),"")</f>
        <v/>
      </c>
    </row>
    <row r="650" customFormat="false" ht="15" hidden="false" customHeight="false" outlineLevel="0" collapsed="false">
      <c r="Z650" s="25" t="str">
        <f aca="false">IF(ISNUMBER(A650),IF(COUNTIF(祝日!$A:$A,A650)&gt;0,"祝",CHOOSE(WEEKDAY(A650,2),"月","火","水","木","金","土","日")),"")</f>
        <v/>
      </c>
    </row>
    <row r="651" customFormat="false" ht="15" hidden="false" customHeight="false" outlineLevel="0" collapsed="false">
      <c r="Z651" s="25" t="str">
        <f aca="false">IF(ISNUMBER(A651),IF(COUNTIF(祝日!$A:$A,A651)&gt;0,"祝",CHOOSE(WEEKDAY(A651,2),"月","火","水","木","金","土","日")),"")</f>
        <v/>
      </c>
    </row>
    <row r="652" customFormat="false" ht="15" hidden="false" customHeight="false" outlineLevel="0" collapsed="false">
      <c r="Z652" s="25" t="str">
        <f aca="false">IF(ISNUMBER(A652),IF(COUNTIF(祝日!$A:$A,A652)&gt;0,"祝",CHOOSE(WEEKDAY(A652,2),"月","火","水","木","金","土","日")),"")</f>
        <v/>
      </c>
    </row>
    <row r="653" customFormat="false" ht="15" hidden="false" customHeight="false" outlineLevel="0" collapsed="false">
      <c r="Z653" s="25" t="str">
        <f aca="false">IF(ISNUMBER(A653),IF(COUNTIF(祝日!$A:$A,A653)&gt;0,"祝",CHOOSE(WEEKDAY(A653,2),"月","火","水","木","金","土","日")),"")</f>
        <v/>
      </c>
    </row>
    <row r="654" customFormat="false" ht="15" hidden="false" customHeight="false" outlineLevel="0" collapsed="false">
      <c r="Z654" s="25" t="str">
        <f aca="false">IF(ISNUMBER(A654),IF(COUNTIF(祝日!$A:$A,A654)&gt;0,"祝",CHOOSE(WEEKDAY(A654,2),"月","火","水","木","金","土","日")),"")</f>
        <v/>
      </c>
    </row>
    <row r="655" customFormat="false" ht="15" hidden="false" customHeight="false" outlineLevel="0" collapsed="false">
      <c r="Z655" s="25" t="str">
        <f aca="false">IF(ISNUMBER(A655),IF(COUNTIF(祝日!$A:$A,A655)&gt;0,"祝",CHOOSE(WEEKDAY(A655,2),"月","火","水","木","金","土","日")),"")</f>
        <v/>
      </c>
    </row>
    <row r="656" customFormat="false" ht="15" hidden="false" customHeight="false" outlineLevel="0" collapsed="false">
      <c r="Z656" s="25" t="str">
        <f aca="false">IF(ISNUMBER(A656),IF(COUNTIF(祝日!$A:$A,A656)&gt;0,"祝",CHOOSE(WEEKDAY(A656,2),"月","火","水","木","金","土","日")),"")</f>
        <v/>
      </c>
    </row>
    <row r="657" customFormat="false" ht="15" hidden="false" customHeight="false" outlineLevel="0" collapsed="false">
      <c r="Z657" s="25" t="str">
        <f aca="false">IF(ISNUMBER(A657),IF(COUNTIF(祝日!$A:$A,A657)&gt;0,"祝",CHOOSE(WEEKDAY(A657,2),"月","火","水","木","金","土","日")),"")</f>
        <v/>
      </c>
    </row>
    <row r="658" customFormat="false" ht="15" hidden="false" customHeight="false" outlineLevel="0" collapsed="false">
      <c r="Z658" s="25" t="str">
        <f aca="false">IF(ISNUMBER(A658),IF(COUNTIF(祝日!$A:$A,A658)&gt;0,"祝",CHOOSE(WEEKDAY(A658,2),"月","火","水","木","金","土","日")),"")</f>
        <v/>
      </c>
    </row>
    <row r="659" customFormat="false" ht="15" hidden="false" customHeight="false" outlineLevel="0" collapsed="false">
      <c r="Z659" s="25" t="str">
        <f aca="false">IF(ISNUMBER(A659),IF(COUNTIF(祝日!$A:$A,A659)&gt;0,"祝",CHOOSE(WEEKDAY(A659,2),"月","火","水","木","金","土","日")),"")</f>
        <v/>
      </c>
    </row>
    <row r="660" customFormat="false" ht="15" hidden="false" customHeight="false" outlineLevel="0" collapsed="false">
      <c r="Z660" s="25" t="str">
        <f aca="false">IF(ISNUMBER(A660),IF(COUNTIF(祝日!$A:$A,A660)&gt;0,"祝",CHOOSE(WEEKDAY(A660,2),"月","火","水","木","金","土","日")),"")</f>
        <v/>
      </c>
    </row>
    <row r="661" customFormat="false" ht="15" hidden="false" customHeight="false" outlineLevel="0" collapsed="false">
      <c r="Z661" s="25" t="str">
        <f aca="false">IF(ISNUMBER(A661),IF(COUNTIF(祝日!$A:$A,A661)&gt;0,"祝",CHOOSE(WEEKDAY(A661,2),"月","火","水","木","金","土","日")),"")</f>
        <v/>
      </c>
    </row>
    <row r="662" customFormat="false" ht="15" hidden="false" customHeight="false" outlineLevel="0" collapsed="false">
      <c r="Z662" s="25" t="str">
        <f aca="false">IF(ISNUMBER(A662),IF(COUNTIF(祝日!$A:$A,A662)&gt;0,"祝",CHOOSE(WEEKDAY(A662,2),"月","火","水","木","金","土","日")),"")</f>
        <v/>
      </c>
    </row>
    <row r="663" customFormat="false" ht="15" hidden="false" customHeight="false" outlineLevel="0" collapsed="false">
      <c r="Z663" s="25" t="str">
        <f aca="false">IF(ISNUMBER(A663),IF(COUNTIF(祝日!$A:$A,A663)&gt;0,"祝",CHOOSE(WEEKDAY(A663,2),"月","火","水","木","金","土","日")),"")</f>
        <v/>
      </c>
    </row>
    <row r="664" customFormat="false" ht="15" hidden="false" customHeight="false" outlineLevel="0" collapsed="false">
      <c r="Z664" s="25" t="str">
        <f aca="false">IF(ISNUMBER(A664),IF(COUNTIF(祝日!$A:$A,A664)&gt;0,"祝",CHOOSE(WEEKDAY(A664,2),"月","火","水","木","金","土","日")),"")</f>
        <v/>
      </c>
    </row>
    <row r="665" customFormat="false" ht="15" hidden="false" customHeight="false" outlineLevel="0" collapsed="false">
      <c r="Z665" s="25" t="str">
        <f aca="false">IF(ISNUMBER(A665),IF(COUNTIF(祝日!$A:$A,A665)&gt;0,"祝",CHOOSE(WEEKDAY(A665,2),"月","火","水","木","金","土","日")),"")</f>
        <v/>
      </c>
    </row>
    <row r="666" customFormat="false" ht="15" hidden="false" customHeight="false" outlineLevel="0" collapsed="false">
      <c r="Z666" s="25" t="str">
        <f aca="false">IF(ISNUMBER(A666),IF(COUNTIF(祝日!$A:$A,A666)&gt;0,"祝",CHOOSE(WEEKDAY(A666,2),"月","火","水","木","金","土","日")),"")</f>
        <v/>
      </c>
    </row>
    <row r="667" customFormat="false" ht="15" hidden="false" customHeight="false" outlineLevel="0" collapsed="false">
      <c r="Z667" s="25" t="str">
        <f aca="false">IF(ISNUMBER(A667),IF(COUNTIF(祝日!$A:$A,A667)&gt;0,"祝",CHOOSE(WEEKDAY(A667,2),"月","火","水","木","金","土","日")),"")</f>
        <v/>
      </c>
    </row>
    <row r="668" customFormat="false" ht="15" hidden="false" customHeight="false" outlineLevel="0" collapsed="false">
      <c r="Z668" s="25" t="str">
        <f aca="false">IF(ISNUMBER(A668),IF(COUNTIF(祝日!$A:$A,A668)&gt;0,"祝",CHOOSE(WEEKDAY(A668,2),"月","火","水","木","金","土","日")),"")</f>
        <v/>
      </c>
    </row>
    <row r="669" customFormat="false" ht="15" hidden="false" customHeight="false" outlineLevel="0" collapsed="false">
      <c r="Z669" s="25" t="str">
        <f aca="false">IF(ISNUMBER(A669),IF(COUNTIF(祝日!$A:$A,A669)&gt;0,"祝",CHOOSE(WEEKDAY(A669,2),"月","火","水","木","金","土","日")),"")</f>
        <v/>
      </c>
    </row>
    <row r="670" customFormat="false" ht="15" hidden="false" customHeight="false" outlineLevel="0" collapsed="false">
      <c r="Z670" s="25" t="str">
        <f aca="false">IF(ISNUMBER(A670),IF(COUNTIF(祝日!$A:$A,A670)&gt;0,"祝",CHOOSE(WEEKDAY(A670,2),"月","火","水","木","金","土","日")),"")</f>
        <v/>
      </c>
    </row>
    <row r="671" customFormat="false" ht="15" hidden="false" customHeight="false" outlineLevel="0" collapsed="false">
      <c r="Z671" s="25" t="str">
        <f aca="false">IF(ISNUMBER(A671),IF(COUNTIF(祝日!$A:$A,A671)&gt;0,"祝",CHOOSE(WEEKDAY(A671,2),"月","火","水","木","金","土","日")),"")</f>
        <v/>
      </c>
    </row>
    <row r="672" customFormat="false" ht="15" hidden="false" customHeight="false" outlineLevel="0" collapsed="false">
      <c r="Z672" s="25" t="str">
        <f aca="false">IF(ISNUMBER(A672),IF(COUNTIF(祝日!$A:$A,A672)&gt;0,"祝",CHOOSE(WEEKDAY(A672,2),"月","火","水","木","金","土","日")),"")</f>
        <v/>
      </c>
    </row>
    <row r="673" customFormat="false" ht="15" hidden="false" customHeight="false" outlineLevel="0" collapsed="false">
      <c r="Z673" s="25" t="str">
        <f aca="false">IF(ISNUMBER(A673),IF(COUNTIF(祝日!$A:$A,A673)&gt;0,"祝",CHOOSE(WEEKDAY(A673,2),"月","火","水","木","金","土","日")),"")</f>
        <v/>
      </c>
    </row>
    <row r="674" customFormat="false" ht="15" hidden="false" customHeight="false" outlineLevel="0" collapsed="false">
      <c r="Z674" s="25" t="str">
        <f aca="false">IF(ISNUMBER(A674),IF(COUNTIF(祝日!$A:$A,A674)&gt;0,"祝",CHOOSE(WEEKDAY(A674,2),"月","火","水","木","金","土","日")),"")</f>
        <v/>
      </c>
    </row>
    <row r="675" customFormat="false" ht="15" hidden="false" customHeight="false" outlineLevel="0" collapsed="false">
      <c r="Z675" s="25" t="str">
        <f aca="false">IF(ISNUMBER(A675),IF(COUNTIF(祝日!$A:$A,A675)&gt;0,"祝",CHOOSE(WEEKDAY(A675,2),"月","火","水","木","金","土","日")),"")</f>
        <v/>
      </c>
    </row>
    <row r="676" customFormat="false" ht="15" hidden="false" customHeight="false" outlineLevel="0" collapsed="false">
      <c r="Z676" s="25" t="str">
        <f aca="false">IF(ISNUMBER(A676),IF(COUNTIF(祝日!$A:$A,A676)&gt;0,"祝",CHOOSE(WEEKDAY(A676,2),"月","火","水","木","金","土","日")),"")</f>
        <v/>
      </c>
    </row>
    <row r="677" customFormat="false" ht="15" hidden="false" customHeight="false" outlineLevel="0" collapsed="false">
      <c r="Z677" s="25" t="str">
        <f aca="false">IF(ISNUMBER(A677),IF(COUNTIF(祝日!$A:$A,A677)&gt;0,"祝",CHOOSE(WEEKDAY(A677,2),"月","火","水","木","金","土","日")),"")</f>
        <v/>
      </c>
    </row>
    <row r="678" customFormat="false" ht="15" hidden="false" customHeight="false" outlineLevel="0" collapsed="false">
      <c r="Z678" s="25" t="str">
        <f aca="false">IF(ISNUMBER(A678),IF(COUNTIF(祝日!$A:$A,A678)&gt;0,"祝",CHOOSE(WEEKDAY(A678,2),"月","火","水","木","金","土","日")),"")</f>
        <v/>
      </c>
    </row>
    <row r="679" customFormat="false" ht="15" hidden="false" customHeight="false" outlineLevel="0" collapsed="false">
      <c r="Z679" s="25" t="str">
        <f aca="false">IF(ISNUMBER(A679),IF(COUNTIF(祝日!$A:$A,A679)&gt;0,"祝",CHOOSE(WEEKDAY(A679,2),"月","火","水","木","金","土","日")),"")</f>
        <v/>
      </c>
    </row>
    <row r="680" customFormat="false" ht="15" hidden="false" customHeight="false" outlineLevel="0" collapsed="false">
      <c r="Z680" s="25" t="str">
        <f aca="false">IF(ISNUMBER(A680),IF(COUNTIF(祝日!$A:$A,A680)&gt;0,"祝",CHOOSE(WEEKDAY(A680,2),"月","火","水","木","金","土","日")),"")</f>
        <v/>
      </c>
    </row>
    <row r="681" customFormat="false" ht="15" hidden="false" customHeight="false" outlineLevel="0" collapsed="false">
      <c r="Z681" s="25" t="str">
        <f aca="false">IF(ISNUMBER(A681),IF(COUNTIF(祝日!$A:$A,A681)&gt;0,"祝",CHOOSE(WEEKDAY(A681,2),"月","火","水","木","金","土","日")),"")</f>
        <v/>
      </c>
    </row>
    <row r="682" customFormat="false" ht="15" hidden="false" customHeight="false" outlineLevel="0" collapsed="false">
      <c r="Z682" s="25" t="str">
        <f aca="false">IF(ISNUMBER(A682),IF(COUNTIF(祝日!$A:$A,A682)&gt;0,"祝",CHOOSE(WEEKDAY(A682,2),"月","火","水","木","金","土","日")),"")</f>
        <v/>
      </c>
    </row>
    <row r="683" customFormat="false" ht="15" hidden="false" customHeight="false" outlineLevel="0" collapsed="false">
      <c r="Z683" s="25" t="str">
        <f aca="false">IF(ISNUMBER(A683),IF(COUNTIF(祝日!$A:$A,A683)&gt;0,"祝",CHOOSE(WEEKDAY(A683,2),"月","火","水","木","金","土","日")),"")</f>
        <v/>
      </c>
    </row>
    <row r="684" customFormat="false" ht="15" hidden="false" customHeight="false" outlineLevel="0" collapsed="false">
      <c r="Z684" s="25" t="str">
        <f aca="false">IF(ISNUMBER(A684),IF(COUNTIF(祝日!$A:$A,A684)&gt;0,"祝",CHOOSE(WEEKDAY(A684,2),"月","火","水","木","金","土","日")),"")</f>
        <v/>
      </c>
    </row>
    <row r="685" customFormat="false" ht="15" hidden="false" customHeight="false" outlineLevel="0" collapsed="false">
      <c r="Z685" s="25" t="str">
        <f aca="false">IF(ISNUMBER(A685),IF(COUNTIF(祝日!$A:$A,A685)&gt;0,"祝",CHOOSE(WEEKDAY(A685,2),"月","火","水","木","金","土","日")),"")</f>
        <v/>
      </c>
    </row>
    <row r="686" customFormat="false" ht="15" hidden="false" customHeight="false" outlineLevel="0" collapsed="false">
      <c r="Z686" s="25" t="str">
        <f aca="false">IF(ISNUMBER(A686),IF(COUNTIF(祝日!$A:$A,A686)&gt;0,"祝",CHOOSE(WEEKDAY(A686,2),"月","火","水","木","金","土","日")),"")</f>
        <v/>
      </c>
    </row>
    <row r="687" customFormat="false" ht="15" hidden="false" customHeight="false" outlineLevel="0" collapsed="false">
      <c r="Z687" s="25" t="str">
        <f aca="false">IF(ISNUMBER(A687),IF(COUNTIF(祝日!$A:$A,A687)&gt;0,"祝",CHOOSE(WEEKDAY(A687,2),"月","火","水","木","金","土","日")),"")</f>
        <v/>
      </c>
    </row>
    <row r="688" customFormat="false" ht="15" hidden="false" customHeight="false" outlineLevel="0" collapsed="false">
      <c r="Z688" s="25" t="str">
        <f aca="false">IF(ISNUMBER(A688),IF(COUNTIF(祝日!$A:$A,A688)&gt;0,"祝",CHOOSE(WEEKDAY(A688,2),"月","火","水","木","金","土","日")),"")</f>
        <v/>
      </c>
    </row>
    <row r="689" customFormat="false" ht="15" hidden="false" customHeight="false" outlineLevel="0" collapsed="false">
      <c r="Z689" s="25" t="str">
        <f aca="false">IF(ISNUMBER(A689),IF(COUNTIF(祝日!$A:$A,A689)&gt;0,"祝",CHOOSE(WEEKDAY(A689,2),"月","火","水","木","金","土","日")),"")</f>
        <v/>
      </c>
    </row>
    <row r="690" customFormat="false" ht="15" hidden="false" customHeight="false" outlineLevel="0" collapsed="false">
      <c r="Z690" s="25" t="str">
        <f aca="false">IF(ISNUMBER(A690),IF(COUNTIF(祝日!$A:$A,A690)&gt;0,"祝",CHOOSE(WEEKDAY(A690,2),"月","火","水","木","金","土","日")),"")</f>
        <v/>
      </c>
    </row>
    <row r="691" customFormat="false" ht="15" hidden="false" customHeight="false" outlineLevel="0" collapsed="false">
      <c r="Z691" s="25" t="str">
        <f aca="false">IF(ISNUMBER(A691),IF(COUNTIF(祝日!$A:$A,A691)&gt;0,"祝",CHOOSE(WEEKDAY(A691,2),"月","火","水","木","金","土","日")),"")</f>
        <v/>
      </c>
    </row>
    <row r="692" customFormat="false" ht="15" hidden="false" customHeight="false" outlineLevel="0" collapsed="false">
      <c r="Z692" s="25" t="str">
        <f aca="false">IF(ISNUMBER(A692),IF(COUNTIF(祝日!$A:$A,A692)&gt;0,"祝",CHOOSE(WEEKDAY(A692,2),"月","火","水","木","金","土","日")),"")</f>
        <v/>
      </c>
    </row>
    <row r="693" customFormat="false" ht="15" hidden="false" customHeight="false" outlineLevel="0" collapsed="false">
      <c r="Z693" s="25" t="str">
        <f aca="false">IF(ISNUMBER(A693),IF(COUNTIF(祝日!$A:$A,A693)&gt;0,"祝",CHOOSE(WEEKDAY(A693,2),"月","火","水","木","金","土","日")),"")</f>
        <v/>
      </c>
    </row>
    <row r="694" customFormat="false" ht="15" hidden="false" customHeight="false" outlineLevel="0" collapsed="false">
      <c r="Z694" s="25" t="str">
        <f aca="false">IF(ISNUMBER(A694),IF(COUNTIF(祝日!$A:$A,A694)&gt;0,"祝",CHOOSE(WEEKDAY(A694,2),"月","火","水","木","金","土","日")),"")</f>
        <v/>
      </c>
    </row>
    <row r="695" customFormat="false" ht="15" hidden="false" customHeight="false" outlineLevel="0" collapsed="false">
      <c r="Z695" s="25" t="str">
        <f aca="false">IF(ISNUMBER(A695),IF(COUNTIF(祝日!$A:$A,A695)&gt;0,"祝",CHOOSE(WEEKDAY(A695,2),"月","火","水","木","金","土","日")),"")</f>
        <v/>
      </c>
    </row>
    <row r="696" customFormat="false" ht="15" hidden="false" customHeight="false" outlineLevel="0" collapsed="false">
      <c r="Z696" s="25" t="str">
        <f aca="false">IF(ISNUMBER(A696),IF(COUNTIF(祝日!$A:$A,A696)&gt;0,"祝",CHOOSE(WEEKDAY(A696,2),"月","火","水","木","金","土","日")),"")</f>
        <v/>
      </c>
    </row>
    <row r="697" customFormat="false" ht="15" hidden="false" customHeight="false" outlineLevel="0" collapsed="false">
      <c r="Z697" s="25" t="str">
        <f aca="false">IF(ISNUMBER(A697),IF(COUNTIF(祝日!$A:$A,A697)&gt;0,"祝",CHOOSE(WEEKDAY(A697,2),"月","火","水","木","金","土","日")),"")</f>
        <v/>
      </c>
    </row>
    <row r="698" customFormat="false" ht="15" hidden="false" customHeight="false" outlineLevel="0" collapsed="false">
      <c r="Z698" s="25" t="str">
        <f aca="false">IF(ISNUMBER(A698),IF(COUNTIF(祝日!$A:$A,A698)&gt;0,"祝",CHOOSE(WEEKDAY(A698,2),"月","火","水","木","金","土","日")),"")</f>
        <v/>
      </c>
    </row>
    <row r="699" customFormat="false" ht="15" hidden="false" customHeight="false" outlineLevel="0" collapsed="false">
      <c r="Z699" s="25" t="str">
        <f aca="false">IF(ISNUMBER(A699),IF(COUNTIF(祝日!$A:$A,A699)&gt;0,"祝",CHOOSE(WEEKDAY(A699,2),"月","火","水","木","金","土","日")),"")</f>
        <v/>
      </c>
    </row>
    <row r="700" customFormat="false" ht="15" hidden="false" customHeight="false" outlineLevel="0" collapsed="false">
      <c r="Z700" s="25" t="str">
        <f aca="false">IF(ISNUMBER(A700),IF(COUNTIF(祝日!$A:$A,A700)&gt;0,"祝",CHOOSE(WEEKDAY(A700,2),"月","火","水","木","金","土","日")),"")</f>
        <v/>
      </c>
    </row>
    <row r="701" customFormat="false" ht="15" hidden="false" customHeight="false" outlineLevel="0" collapsed="false">
      <c r="Z701" s="25" t="str">
        <f aca="false">IF(ISNUMBER(A701),IF(COUNTIF(祝日!$A:$A,A701)&gt;0,"祝",CHOOSE(WEEKDAY(A701,2),"月","火","水","木","金","土","日")),"")</f>
        <v/>
      </c>
    </row>
    <row r="702" customFormat="false" ht="15" hidden="false" customHeight="false" outlineLevel="0" collapsed="false">
      <c r="Z702" s="25" t="str">
        <f aca="false">IF(ISNUMBER(A702),IF(COUNTIF(祝日!$A:$A,A702)&gt;0,"祝",CHOOSE(WEEKDAY(A702,2),"月","火","水","木","金","土","日")),"")</f>
        <v/>
      </c>
    </row>
    <row r="703" customFormat="false" ht="15" hidden="false" customHeight="false" outlineLevel="0" collapsed="false">
      <c r="Z703" s="25" t="str">
        <f aca="false">IF(ISNUMBER(A703),IF(COUNTIF(祝日!$A:$A,A703)&gt;0,"祝",CHOOSE(WEEKDAY(A703,2),"月","火","水","木","金","土","日")),"")</f>
        <v/>
      </c>
    </row>
    <row r="704" customFormat="false" ht="15" hidden="false" customHeight="false" outlineLevel="0" collapsed="false">
      <c r="Z704" s="25" t="str">
        <f aca="false">IF(ISNUMBER(A704),IF(COUNTIF(祝日!$A:$A,A704)&gt;0,"祝",CHOOSE(WEEKDAY(A704,2),"月","火","水","木","金","土","日")),"")</f>
        <v/>
      </c>
    </row>
    <row r="705" customFormat="false" ht="15" hidden="false" customHeight="false" outlineLevel="0" collapsed="false">
      <c r="Z705" s="25" t="str">
        <f aca="false">IF(ISNUMBER(A705),IF(COUNTIF(祝日!$A:$A,A705)&gt;0,"祝",CHOOSE(WEEKDAY(A705,2),"月","火","水","木","金","土","日")),"")</f>
        <v/>
      </c>
    </row>
    <row r="706" customFormat="false" ht="15" hidden="false" customHeight="false" outlineLevel="0" collapsed="false">
      <c r="Z706" s="25" t="str">
        <f aca="false">IF(ISNUMBER(A706),IF(COUNTIF(祝日!$A:$A,A706)&gt;0,"祝",CHOOSE(WEEKDAY(A706,2),"月","火","水","木","金","土","日")),"")</f>
        <v/>
      </c>
    </row>
    <row r="707" customFormat="false" ht="15" hidden="false" customHeight="false" outlineLevel="0" collapsed="false">
      <c r="Z707" s="25" t="str">
        <f aca="false">IF(ISNUMBER(A707),IF(COUNTIF(祝日!$A:$A,A707)&gt;0,"祝",CHOOSE(WEEKDAY(A707,2),"月","火","水","木","金","土","日")),"")</f>
        <v/>
      </c>
    </row>
    <row r="708" customFormat="false" ht="15" hidden="false" customHeight="false" outlineLevel="0" collapsed="false">
      <c r="Z708" s="25" t="str">
        <f aca="false">IF(ISNUMBER(A708),IF(COUNTIF(祝日!$A:$A,A708)&gt;0,"祝",CHOOSE(WEEKDAY(A708,2),"月","火","水","木","金","土","日")),"")</f>
        <v/>
      </c>
    </row>
    <row r="709" customFormat="false" ht="15" hidden="false" customHeight="false" outlineLevel="0" collapsed="false">
      <c r="Z709" s="25" t="str">
        <f aca="false">IF(ISNUMBER(A709),IF(COUNTIF(祝日!$A:$A,A709)&gt;0,"祝",CHOOSE(WEEKDAY(A709,2),"月","火","水","木","金","土","日")),"")</f>
        <v/>
      </c>
    </row>
    <row r="710" customFormat="false" ht="15" hidden="false" customHeight="false" outlineLevel="0" collapsed="false">
      <c r="Z710" s="25" t="str">
        <f aca="false">IF(ISNUMBER(A710),IF(COUNTIF(祝日!$A:$A,A710)&gt;0,"祝",CHOOSE(WEEKDAY(A710,2),"月","火","水","木","金","土","日")),"")</f>
        <v/>
      </c>
    </row>
    <row r="711" customFormat="false" ht="15" hidden="false" customHeight="false" outlineLevel="0" collapsed="false">
      <c r="Z711" s="25" t="str">
        <f aca="false">IF(ISNUMBER(A711),IF(COUNTIF(祝日!$A:$A,A711)&gt;0,"祝",CHOOSE(WEEKDAY(A711,2),"月","火","水","木","金","土","日")),"")</f>
        <v/>
      </c>
    </row>
    <row r="712" customFormat="false" ht="15" hidden="false" customHeight="false" outlineLevel="0" collapsed="false">
      <c r="Z712" s="25" t="str">
        <f aca="false">IF(ISNUMBER(A712),IF(COUNTIF(祝日!$A:$A,A712)&gt;0,"祝",CHOOSE(WEEKDAY(A712,2),"月","火","水","木","金","土","日")),"")</f>
        <v/>
      </c>
    </row>
    <row r="713" customFormat="false" ht="15" hidden="false" customHeight="false" outlineLevel="0" collapsed="false">
      <c r="Z713" s="25" t="str">
        <f aca="false">IF(ISNUMBER(A713),IF(COUNTIF(祝日!$A:$A,A713)&gt;0,"祝",CHOOSE(WEEKDAY(A713,2),"月","火","水","木","金","土","日")),"")</f>
        <v/>
      </c>
    </row>
    <row r="714" customFormat="false" ht="15" hidden="false" customHeight="false" outlineLevel="0" collapsed="false">
      <c r="Z714" s="25" t="str">
        <f aca="false">IF(ISNUMBER(A714),IF(COUNTIF(祝日!$A:$A,A714)&gt;0,"祝",CHOOSE(WEEKDAY(A714,2),"月","火","水","木","金","土","日")),"")</f>
        <v/>
      </c>
    </row>
    <row r="715" customFormat="false" ht="15" hidden="false" customHeight="false" outlineLevel="0" collapsed="false">
      <c r="Z715" s="25" t="str">
        <f aca="false">IF(ISNUMBER(A715),IF(COUNTIF(祝日!$A:$A,A715)&gt;0,"祝",CHOOSE(WEEKDAY(A715,2),"月","火","水","木","金","土","日")),"")</f>
        <v/>
      </c>
    </row>
    <row r="716" customFormat="false" ht="15" hidden="false" customHeight="false" outlineLevel="0" collapsed="false">
      <c r="Z716" s="25" t="str">
        <f aca="false">IF(ISNUMBER(A716),IF(COUNTIF(祝日!$A:$A,A716)&gt;0,"祝",CHOOSE(WEEKDAY(A716,2),"月","火","水","木","金","土","日")),"")</f>
        <v/>
      </c>
    </row>
    <row r="717" customFormat="false" ht="15" hidden="false" customHeight="false" outlineLevel="0" collapsed="false">
      <c r="Z717" s="25" t="str">
        <f aca="false">IF(ISNUMBER(A717),IF(COUNTIF(祝日!$A:$A,A717)&gt;0,"祝",CHOOSE(WEEKDAY(A717,2),"月","火","水","木","金","土","日")),"")</f>
        <v/>
      </c>
    </row>
    <row r="718" customFormat="false" ht="15" hidden="false" customHeight="false" outlineLevel="0" collapsed="false">
      <c r="Z718" s="25" t="str">
        <f aca="false">IF(ISNUMBER(A718),IF(COUNTIF(祝日!$A:$A,A718)&gt;0,"祝",CHOOSE(WEEKDAY(A718,2),"月","火","水","木","金","土","日")),"")</f>
        <v/>
      </c>
    </row>
    <row r="719" customFormat="false" ht="15" hidden="false" customHeight="false" outlineLevel="0" collapsed="false">
      <c r="Z719" s="25" t="str">
        <f aca="false">IF(ISNUMBER(A719),IF(COUNTIF(祝日!$A:$A,A719)&gt;0,"祝",CHOOSE(WEEKDAY(A719,2),"月","火","水","木","金","土","日")),"")</f>
        <v/>
      </c>
    </row>
    <row r="720" customFormat="false" ht="15" hidden="false" customHeight="false" outlineLevel="0" collapsed="false">
      <c r="Z720" s="25" t="str">
        <f aca="false">IF(ISNUMBER(A720),IF(COUNTIF(祝日!$A:$A,A720)&gt;0,"祝",CHOOSE(WEEKDAY(A720,2),"月","火","水","木","金","土","日")),"")</f>
        <v/>
      </c>
    </row>
    <row r="721" customFormat="false" ht="15" hidden="false" customHeight="false" outlineLevel="0" collapsed="false">
      <c r="Z721" s="25" t="str">
        <f aca="false">IF(ISNUMBER(A721),IF(COUNTIF(祝日!$A:$A,A721)&gt;0,"祝",CHOOSE(WEEKDAY(A721,2),"月","火","水","木","金","土","日")),"")</f>
        <v/>
      </c>
    </row>
    <row r="722" customFormat="false" ht="15" hidden="false" customHeight="false" outlineLevel="0" collapsed="false">
      <c r="Z722" s="25" t="str">
        <f aca="false">IF(ISNUMBER(A722),IF(COUNTIF(祝日!$A:$A,A722)&gt;0,"祝",CHOOSE(WEEKDAY(A722,2),"月","火","水","木","金","土","日")),"")</f>
        <v/>
      </c>
    </row>
    <row r="723" customFormat="false" ht="15" hidden="false" customHeight="false" outlineLevel="0" collapsed="false">
      <c r="Z723" s="25" t="str">
        <f aca="false">IF(ISNUMBER(A723),IF(COUNTIF(祝日!$A:$A,A723)&gt;0,"祝",CHOOSE(WEEKDAY(A723,2),"月","火","水","木","金","土","日")),"")</f>
        <v/>
      </c>
    </row>
    <row r="724" customFormat="false" ht="15" hidden="false" customHeight="false" outlineLevel="0" collapsed="false">
      <c r="Z724" s="25" t="str">
        <f aca="false">IF(ISNUMBER(A724),IF(COUNTIF(祝日!$A:$A,A724)&gt;0,"祝",CHOOSE(WEEKDAY(A724,2),"月","火","水","木","金","土","日")),"")</f>
        <v/>
      </c>
    </row>
    <row r="725" customFormat="false" ht="15" hidden="false" customHeight="false" outlineLevel="0" collapsed="false">
      <c r="Z725" s="25" t="str">
        <f aca="false">IF(ISNUMBER(A725),IF(COUNTIF(祝日!$A:$A,A725)&gt;0,"祝",CHOOSE(WEEKDAY(A725,2),"月","火","水","木","金","土","日")),"")</f>
        <v/>
      </c>
    </row>
    <row r="726" customFormat="false" ht="15" hidden="false" customHeight="false" outlineLevel="0" collapsed="false">
      <c r="Z726" s="25" t="str">
        <f aca="false">IF(ISNUMBER(A726),IF(COUNTIF(祝日!$A:$A,A726)&gt;0,"祝",CHOOSE(WEEKDAY(A726,2),"月","火","水","木","金","土","日")),"")</f>
        <v/>
      </c>
    </row>
    <row r="727" customFormat="false" ht="15" hidden="false" customHeight="false" outlineLevel="0" collapsed="false">
      <c r="Z727" s="25" t="str">
        <f aca="false">IF(ISNUMBER(A727),IF(COUNTIF(祝日!$A:$A,A727)&gt;0,"祝",CHOOSE(WEEKDAY(A727,2),"月","火","水","木","金","土","日")),"")</f>
        <v/>
      </c>
    </row>
    <row r="728" customFormat="false" ht="15" hidden="false" customHeight="false" outlineLevel="0" collapsed="false">
      <c r="Z728" s="25" t="str">
        <f aca="false">IF(ISNUMBER(A728),IF(COUNTIF(祝日!$A:$A,A728)&gt;0,"祝",CHOOSE(WEEKDAY(A728,2),"月","火","水","木","金","土","日")),"")</f>
        <v/>
      </c>
    </row>
    <row r="729" customFormat="false" ht="15" hidden="false" customHeight="false" outlineLevel="0" collapsed="false">
      <c r="Z729" s="25" t="str">
        <f aca="false">IF(ISNUMBER(A729),IF(COUNTIF(祝日!$A:$A,A729)&gt;0,"祝",CHOOSE(WEEKDAY(A729,2),"月","火","水","木","金","土","日")),"")</f>
        <v/>
      </c>
    </row>
    <row r="730" customFormat="false" ht="15" hidden="false" customHeight="false" outlineLevel="0" collapsed="false">
      <c r="Z730" s="25" t="str">
        <f aca="false">IF(ISNUMBER(A730),IF(COUNTIF(祝日!$A:$A,A730)&gt;0,"祝",CHOOSE(WEEKDAY(A730,2),"月","火","水","木","金","土","日")),"")</f>
        <v/>
      </c>
    </row>
    <row r="731" customFormat="false" ht="15" hidden="false" customHeight="false" outlineLevel="0" collapsed="false">
      <c r="Z731" s="25" t="str">
        <f aca="false">IF(ISNUMBER(A731),IF(COUNTIF(祝日!$A:$A,A731)&gt;0,"祝",CHOOSE(WEEKDAY(A731,2),"月","火","水","木","金","土","日")),"")</f>
        <v/>
      </c>
    </row>
    <row r="732" customFormat="false" ht="15" hidden="false" customHeight="false" outlineLevel="0" collapsed="false">
      <c r="Z732" s="25" t="str">
        <f aca="false">IF(ISNUMBER(A732),IF(COUNTIF(祝日!$A:$A,A732)&gt;0,"祝",CHOOSE(WEEKDAY(A732,2),"月","火","水","木","金","土","日")),"")</f>
        <v/>
      </c>
    </row>
    <row r="733" customFormat="false" ht="15" hidden="false" customHeight="false" outlineLevel="0" collapsed="false">
      <c r="Z733" s="25" t="str">
        <f aca="false">IF(ISNUMBER(A733),IF(COUNTIF(祝日!$A:$A,A733)&gt;0,"祝",CHOOSE(WEEKDAY(A733,2),"月","火","水","木","金","土","日")),"")</f>
        <v/>
      </c>
    </row>
    <row r="734" customFormat="false" ht="15" hidden="false" customHeight="false" outlineLevel="0" collapsed="false">
      <c r="Z734" s="25" t="str">
        <f aca="false">IF(ISNUMBER(A734),IF(COUNTIF(祝日!$A:$A,A734)&gt;0,"祝",CHOOSE(WEEKDAY(A734,2),"月","火","水","木","金","土","日")),"")</f>
        <v/>
      </c>
    </row>
    <row r="735" customFormat="false" ht="15" hidden="false" customHeight="false" outlineLevel="0" collapsed="false">
      <c r="Z735" s="25" t="str">
        <f aca="false">IF(ISNUMBER(A735),IF(COUNTIF(祝日!$A:$A,A735)&gt;0,"祝",CHOOSE(WEEKDAY(A735,2),"月","火","水","木","金","土","日")),"")</f>
        <v/>
      </c>
    </row>
    <row r="736" customFormat="false" ht="15" hidden="false" customHeight="false" outlineLevel="0" collapsed="false">
      <c r="Z736" s="25" t="str">
        <f aca="false">IF(ISNUMBER(A736),IF(COUNTIF(祝日!$A:$A,A736)&gt;0,"祝",CHOOSE(WEEKDAY(A736,2),"月","火","水","木","金","土","日")),"")</f>
        <v/>
      </c>
    </row>
    <row r="737" customFormat="false" ht="15" hidden="false" customHeight="false" outlineLevel="0" collapsed="false">
      <c r="Z737" s="25" t="str">
        <f aca="false">IF(ISNUMBER(A737),IF(COUNTIF(祝日!$A:$A,A737)&gt;0,"祝",CHOOSE(WEEKDAY(A737,2),"月","火","水","木","金","土","日")),"")</f>
        <v/>
      </c>
    </row>
    <row r="738" customFormat="false" ht="15" hidden="false" customHeight="false" outlineLevel="0" collapsed="false">
      <c r="Z738" s="25" t="str">
        <f aca="false">IF(ISNUMBER(A738),IF(COUNTIF(祝日!$A:$A,A738)&gt;0,"祝",CHOOSE(WEEKDAY(A738,2),"月","火","水","木","金","土","日")),"")</f>
        <v/>
      </c>
    </row>
    <row r="739" customFormat="false" ht="15" hidden="false" customHeight="false" outlineLevel="0" collapsed="false">
      <c r="Z739" s="25" t="str">
        <f aca="false">IF(ISNUMBER(A739),IF(COUNTIF(祝日!$A:$A,A739)&gt;0,"祝",CHOOSE(WEEKDAY(A739,2),"月","火","水","木","金","土","日")),"")</f>
        <v/>
      </c>
    </row>
    <row r="740" customFormat="false" ht="15" hidden="false" customHeight="false" outlineLevel="0" collapsed="false">
      <c r="Z740" s="25" t="str">
        <f aca="false">IF(ISNUMBER(A740),IF(COUNTIF(祝日!$A:$A,A740)&gt;0,"祝",CHOOSE(WEEKDAY(A740,2),"月","火","水","木","金","土","日")),"")</f>
        <v/>
      </c>
    </row>
    <row r="741" customFormat="false" ht="15" hidden="false" customHeight="false" outlineLevel="0" collapsed="false">
      <c r="Z741" s="25" t="str">
        <f aca="false">IF(ISNUMBER(A741),IF(COUNTIF(祝日!$A:$A,A741)&gt;0,"祝",CHOOSE(WEEKDAY(A741,2),"月","火","水","木","金","土","日")),"")</f>
        <v/>
      </c>
    </row>
    <row r="742" customFormat="false" ht="15" hidden="false" customHeight="false" outlineLevel="0" collapsed="false">
      <c r="Z742" s="25" t="str">
        <f aca="false">IF(ISNUMBER(A742),IF(COUNTIF(祝日!$A:$A,A742)&gt;0,"祝",CHOOSE(WEEKDAY(A742,2),"月","火","水","木","金","土","日")),"")</f>
        <v/>
      </c>
    </row>
    <row r="743" customFormat="false" ht="15" hidden="false" customHeight="false" outlineLevel="0" collapsed="false">
      <c r="Z743" s="25" t="str">
        <f aca="false">IF(ISNUMBER(A743),IF(COUNTIF(祝日!$A:$A,A743)&gt;0,"祝",CHOOSE(WEEKDAY(A743,2),"月","火","水","木","金","土","日")),"")</f>
        <v/>
      </c>
    </row>
    <row r="744" customFormat="false" ht="15" hidden="false" customHeight="false" outlineLevel="0" collapsed="false">
      <c r="Z744" s="25" t="str">
        <f aca="false">IF(ISNUMBER(A744),IF(COUNTIF(祝日!$A:$A,A744)&gt;0,"祝",CHOOSE(WEEKDAY(A744,2),"月","火","水","木","金","土","日")),"")</f>
        <v/>
      </c>
    </row>
    <row r="745" customFormat="false" ht="15" hidden="false" customHeight="false" outlineLevel="0" collapsed="false">
      <c r="Z745" s="25" t="str">
        <f aca="false">IF(ISNUMBER(A745),IF(COUNTIF(祝日!$A:$A,A745)&gt;0,"祝",CHOOSE(WEEKDAY(A745,2),"月","火","水","木","金","土","日")),"")</f>
        <v/>
      </c>
    </row>
    <row r="746" customFormat="false" ht="15" hidden="false" customHeight="false" outlineLevel="0" collapsed="false">
      <c r="Z746" s="25" t="str">
        <f aca="false">IF(ISNUMBER(A746),IF(COUNTIF(祝日!$A:$A,A746)&gt;0,"祝",CHOOSE(WEEKDAY(A746,2),"月","火","水","木","金","土","日")),"")</f>
        <v/>
      </c>
    </row>
    <row r="747" customFormat="false" ht="15" hidden="false" customHeight="false" outlineLevel="0" collapsed="false">
      <c r="Z747" s="25" t="str">
        <f aca="false">IF(ISNUMBER(A747),IF(COUNTIF(祝日!$A:$A,A747)&gt;0,"祝",CHOOSE(WEEKDAY(A747,2),"月","火","水","木","金","土","日")),"")</f>
        <v/>
      </c>
    </row>
    <row r="748" customFormat="false" ht="15" hidden="false" customHeight="false" outlineLevel="0" collapsed="false">
      <c r="Z748" s="25" t="str">
        <f aca="false">IF(ISNUMBER(A748),IF(COUNTIF(祝日!$A:$A,A748)&gt;0,"祝",CHOOSE(WEEKDAY(A748,2),"月","火","水","木","金","土","日")),"")</f>
        <v/>
      </c>
    </row>
    <row r="749" customFormat="false" ht="15" hidden="false" customHeight="false" outlineLevel="0" collapsed="false">
      <c r="Z749" s="25" t="str">
        <f aca="false">IF(ISNUMBER(A749),IF(COUNTIF(祝日!$A:$A,A749)&gt;0,"祝",CHOOSE(WEEKDAY(A749,2),"月","火","水","木","金","土","日")),"")</f>
        <v/>
      </c>
    </row>
    <row r="750" customFormat="false" ht="15" hidden="false" customHeight="false" outlineLevel="0" collapsed="false">
      <c r="Z750" s="25" t="str">
        <f aca="false">IF(ISNUMBER(A750),IF(COUNTIF(祝日!$A:$A,A750)&gt;0,"祝",CHOOSE(WEEKDAY(A750,2),"月","火","水","木","金","土","日")),"")</f>
        <v/>
      </c>
    </row>
    <row r="751" customFormat="false" ht="15" hidden="false" customHeight="false" outlineLevel="0" collapsed="false">
      <c r="Z751" s="25" t="str">
        <f aca="false">IF(ISNUMBER(A751),IF(COUNTIF(祝日!$A:$A,A751)&gt;0,"祝",CHOOSE(WEEKDAY(A751,2),"月","火","水","木","金","土","日")),"")</f>
        <v/>
      </c>
    </row>
    <row r="752" customFormat="false" ht="15" hidden="false" customHeight="false" outlineLevel="0" collapsed="false">
      <c r="Z752" s="25" t="str">
        <f aca="false">IF(ISNUMBER(A752),IF(COUNTIF(祝日!$A:$A,A752)&gt;0,"祝",CHOOSE(WEEKDAY(A752,2),"月","火","水","木","金","土","日")),"")</f>
        <v/>
      </c>
    </row>
    <row r="753" customFormat="false" ht="15" hidden="false" customHeight="false" outlineLevel="0" collapsed="false">
      <c r="Z753" s="25" t="str">
        <f aca="false">IF(ISNUMBER(A753),IF(COUNTIF(祝日!$A:$A,A753)&gt;0,"祝",CHOOSE(WEEKDAY(A753,2),"月","火","水","木","金","土","日")),"")</f>
        <v/>
      </c>
    </row>
    <row r="754" customFormat="false" ht="15" hidden="false" customHeight="false" outlineLevel="0" collapsed="false">
      <c r="Z754" s="25" t="str">
        <f aca="false">IF(ISNUMBER(A754),IF(COUNTIF(祝日!$A:$A,A754)&gt;0,"祝",CHOOSE(WEEKDAY(A754,2),"月","火","水","木","金","土","日")),"")</f>
        <v/>
      </c>
    </row>
    <row r="755" customFormat="false" ht="15" hidden="false" customHeight="false" outlineLevel="0" collapsed="false">
      <c r="Z755" s="25" t="str">
        <f aca="false">IF(ISNUMBER(A755),IF(COUNTIF(祝日!$A:$A,A755)&gt;0,"祝",CHOOSE(WEEKDAY(A755,2),"月","火","水","木","金","土","日")),"")</f>
        <v/>
      </c>
    </row>
    <row r="756" customFormat="false" ht="15" hidden="false" customHeight="false" outlineLevel="0" collapsed="false">
      <c r="Z756" s="25" t="str">
        <f aca="false">IF(ISNUMBER(A756),IF(COUNTIF(祝日!$A:$A,A756)&gt;0,"祝",CHOOSE(WEEKDAY(A756,2),"月","火","水","木","金","土","日")),"")</f>
        <v/>
      </c>
    </row>
    <row r="757" customFormat="false" ht="15" hidden="false" customHeight="false" outlineLevel="0" collapsed="false">
      <c r="Z757" s="25" t="str">
        <f aca="false">IF(ISNUMBER(A757),IF(COUNTIF(祝日!$A:$A,A757)&gt;0,"祝",CHOOSE(WEEKDAY(A757,2),"月","火","水","木","金","土","日")),"")</f>
        <v/>
      </c>
    </row>
    <row r="758" customFormat="false" ht="15" hidden="false" customHeight="false" outlineLevel="0" collapsed="false">
      <c r="Z758" s="25" t="str">
        <f aca="false">IF(ISNUMBER(A758),IF(COUNTIF(祝日!$A:$A,A758)&gt;0,"祝",CHOOSE(WEEKDAY(A758,2),"月","火","水","木","金","土","日")),"")</f>
        <v/>
      </c>
    </row>
    <row r="759" customFormat="false" ht="15" hidden="false" customHeight="false" outlineLevel="0" collapsed="false">
      <c r="Z759" s="25" t="str">
        <f aca="false">IF(ISNUMBER(A759),IF(COUNTIF(祝日!$A:$A,A759)&gt;0,"祝",CHOOSE(WEEKDAY(A759,2),"月","火","水","木","金","土","日")),"")</f>
        <v/>
      </c>
    </row>
    <row r="760" customFormat="false" ht="15" hidden="false" customHeight="false" outlineLevel="0" collapsed="false">
      <c r="Z760" s="25" t="str">
        <f aca="false">IF(ISNUMBER(A760),IF(COUNTIF(祝日!$A:$A,A760)&gt;0,"祝",CHOOSE(WEEKDAY(A760,2),"月","火","水","木","金","土","日")),"")</f>
        <v/>
      </c>
    </row>
    <row r="761" customFormat="false" ht="15" hidden="false" customHeight="false" outlineLevel="0" collapsed="false">
      <c r="Z761" s="25" t="str">
        <f aca="false">IF(ISNUMBER(A761),IF(COUNTIF(祝日!$A:$A,A761)&gt;0,"祝",CHOOSE(WEEKDAY(A761,2),"月","火","水","木","金","土","日")),"")</f>
        <v/>
      </c>
    </row>
    <row r="762" customFormat="false" ht="15" hidden="false" customHeight="false" outlineLevel="0" collapsed="false">
      <c r="Z762" s="25" t="str">
        <f aca="false">IF(ISNUMBER(A762),IF(COUNTIF(祝日!$A:$A,A762)&gt;0,"祝",CHOOSE(WEEKDAY(A762,2),"月","火","水","木","金","土","日")),"")</f>
        <v/>
      </c>
    </row>
    <row r="763" customFormat="false" ht="15" hidden="false" customHeight="false" outlineLevel="0" collapsed="false">
      <c r="Z763" s="25" t="str">
        <f aca="false">IF(ISNUMBER(A763),IF(COUNTIF(祝日!$A:$A,A763)&gt;0,"祝",CHOOSE(WEEKDAY(A763,2),"月","火","水","木","金","土","日")),"")</f>
        <v/>
      </c>
    </row>
    <row r="764" customFormat="false" ht="15" hidden="false" customHeight="false" outlineLevel="0" collapsed="false">
      <c r="Z764" s="25" t="str">
        <f aca="false">IF(ISNUMBER(A764),IF(COUNTIF(祝日!$A:$A,A764)&gt;0,"祝",CHOOSE(WEEKDAY(A764,2),"月","火","水","木","金","土","日")),"")</f>
        <v/>
      </c>
    </row>
    <row r="765" customFormat="false" ht="15" hidden="false" customHeight="false" outlineLevel="0" collapsed="false">
      <c r="Z765" s="25" t="str">
        <f aca="false">IF(ISNUMBER(A765),IF(COUNTIF(祝日!$A:$A,A765)&gt;0,"祝",CHOOSE(WEEKDAY(A765,2),"月","火","水","木","金","土","日")),"")</f>
        <v/>
      </c>
    </row>
    <row r="766" customFormat="false" ht="15" hidden="false" customHeight="false" outlineLevel="0" collapsed="false">
      <c r="Z766" s="25" t="str">
        <f aca="false">IF(ISNUMBER(A766),IF(COUNTIF(祝日!$A:$A,A766)&gt;0,"祝",CHOOSE(WEEKDAY(A766,2),"月","火","水","木","金","土","日")),"")</f>
        <v/>
      </c>
    </row>
    <row r="767" customFormat="false" ht="15" hidden="false" customHeight="false" outlineLevel="0" collapsed="false">
      <c r="Z767" s="25" t="str">
        <f aca="false">IF(ISNUMBER(A767),IF(COUNTIF(祝日!$A:$A,A767)&gt;0,"祝",CHOOSE(WEEKDAY(A767,2),"月","火","水","木","金","土","日")),"")</f>
        <v/>
      </c>
    </row>
    <row r="768" customFormat="false" ht="15" hidden="false" customHeight="false" outlineLevel="0" collapsed="false">
      <c r="Z768" s="25" t="str">
        <f aca="false">IF(ISNUMBER(A768),IF(COUNTIF(祝日!$A:$A,A768)&gt;0,"祝",CHOOSE(WEEKDAY(A768,2),"月","火","水","木","金","土","日")),"")</f>
        <v/>
      </c>
    </row>
    <row r="769" customFormat="false" ht="15" hidden="false" customHeight="false" outlineLevel="0" collapsed="false">
      <c r="Z769" s="25" t="str">
        <f aca="false">IF(ISNUMBER(A769),IF(COUNTIF(祝日!$A:$A,A769)&gt;0,"祝",CHOOSE(WEEKDAY(A769,2),"月","火","水","木","金","土","日")),"")</f>
        <v/>
      </c>
    </row>
    <row r="770" customFormat="false" ht="15" hidden="false" customHeight="false" outlineLevel="0" collapsed="false">
      <c r="Z770" s="25" t="str">
        <f aca="false">IF(ISNUMBER(A770),IF(COUNTIF(祝日!$A:$A,A770)&gt;0,"祝",CHOOSE(WEEKDAY(A770,2),"月","火","水","木","金","土","日")),"")</f>
        <v/>
      </c>
    </row>
    <row r="771" customFormat="false" ht="15" hidden="false" customHeight="false" outlineLevel="0" collapsed="false">
      <c r="Z771" s="25" t="str">
        <f aca="false">IF(ISNUMBER(A771),IF(COUNTIF(祝日!$A:$A,A771)&gt;0,"祝",CHOOSE(WEEKDAY(A771,2),"月","火","水","木","金","土","日")),"")</f>
        <v/>
      </c>
    </row>
    <row r="772" customFormat="false" ht="15" hidden="false" customHeight="false" outlineLevel="0" collapsed="false">
      <c r="Z772" s="25" t="str">
        <f aca="false">IF(ISNUMBER(A772),IF(COUNTIF(祝日!$A:$A,A772)&gt;0,"祝",CHOOSE(WEEKDAY(A772,2),"月","火","水","木","金","土","日")),"")</f>
        <v/>
      </c>
    </row>
    <row r="773" customFormat="false" ht="15" hidden="false" customHeight="false" outlineLevel="0" collapsed="false">
      <c r="Z773" s="25" t="str">
        <f aca="false">IF(ISNUMBER(A773),IF(COUNTIF(祝日!$A:$A,A773)&gt;0,"祝",CHOOSE(WEEKDAY(A773,2),"月","火","水","木","金","土","日")),"")</f>
        <v/>
      </c>
    </row>
    <row r="774" customFormat="false" ht="15" hidden="false" customHeight="false" outlineLevel="0" collapsed="false">
      <c r="Z774" s="25" t="str">
        <f aca="false">IF(ISNUMBER(A774),IF(COUNTIF(祝日!$A:$A,A774)&gt;0,"祝",CHOOSE(WEEKDAY(A774,2),"月","火","水","木","金","土","日")),"")</f>
        <v/>
      </c>
    </row>
    <row r="775" customFormat="false" ht="15" hidden="false" customHeight="false" outlineLevel="0" collapsed="false">
      <c r="Z775" s="25" t="str">
        <f aca="false">IF(ISNUMBER(A775),IF(COUNTIF(祝日!$A:$A,A775)&gt;0,"祝",CHOOSE(WEEKDAY(A775,2),"月","火","水","木","金","土","日")),"")</f>
        <v/>
      </c>
    </row>
    <row r="776" customFormat="false" ht="15" hidden="false" customHeight="false" outlineLevel="0" collapsed="false">
      <c r="Z776" s="25" t="str">
        <f aca="false">IF(ISNUMBER(A776),IF(COUNTIF(祝日!$A:$A,A776)&gt;0,"祝",CHOOSE(WEEKDAY(A776,2),"月","火","水","木","金","土","日")),"")</f>
        <v/>
      </c>
    </row>
    <row r="777" customFormat="false" ht="15" hidden="false" customHeight="false" outlineLevel="0" collapsed="false">
      <c r="Z777" s="25" t="str">
        <f aca="false">IF(ISNUMBER(A777),IF(COUNTIF(祝日!$A:$A,A777)&gt;0,"祝",CHOOSE(WEEKDAY(A777,2),"月","火","水","木","金","土","日")),"")</f>
        <v/>
      </c>
    </row>
    <row r="778" customFormat="false" ht="15" hidden="false" customHeight="false" outlineLevel="0" collapsed="false">
      <c r="Z778" s="25" t="str">
        <f aca="false">IF(ISNUMBER(A778),IF(COUNTIF(祝日!$A:$A,A778)&gt;0,"祝",CHOOSE(WEEKDAY(A778,2),"月","火","水","木","金","土","日")),"")</f>
        <v/>
      </c>
    </row>
    <row r="779" customFormat="false" ht="15" hidden="false" customHeight="false" outlineLevel="0" collapsed="false">
      <c r="Z779" s="25" t="str">
        <f aca="false">IF(ISNUMBER(A779),IF(COUNTIF(祝日!$A:$A,A779)&gt;0,"祝",CHOOSE(WEEKDAY(A779,2),"月","火","水","木","金","土","日")),"")</f>
        <v/>
      </c>
    </row>
    <row r="780" customFormat="false" ht="15" hidden="false" customHeight="false" outlineLevel="0" collapsed="false">
      <c r="Z780" s="25" t="str">
        <f aca="false">IF(ISNUMBER(A780),IF(COUNTIF(祝日!$A:$A,A780)&gt;0,"祝",CHOOSE(WEEKDAY(A780,2),"月","火","水","木","金","土","日")),"")</f>
        <v/>
      </c>
    </row>
    <row r="781" customFormat="false" ht="15" hidden="false" customHeight="false" outlineLevel="0" collapsed="false">
      <c r="Z781" s="25" t="str">
        <f aca="false">IF(ISNUMBER(A781),IF(COUNTIF(祝日!$A:$A,A781)&gt;0,"祝",CHOOSE(WEEKDAY(A781,2),"月","火","水","木","金","土","日")),"")</f>
        <v/>
      </c>
    </row>
    <row r="782" customFormat="false" ht="15" hidden="false" customHeight="false" outlineLevel="0" collapsed="false">
      <c r="Z782" s="25" t="str">
        <f aca="false">IF(ISNUMBER(A782),IF(COUNTIF(祝日!$A:$A,A782)&gt;0,"祝",CHOOSE(WEEKDAY(A782,2),"月","火","水","木","金","土","日")),"")</f>
        <v/>
      </c>
    </row>
    <row r="783" customFormat="false" ht="15" hidden="false" customHeight="false" outlineLevel="0" collapsed="false">
      <c r="Z783" s="25" t="str">
        <f aca="false">IF(ISNUMBER(A783),IF(COUNTIF(祝日!$A:$A,A783)&gt;0,"祝",CHOOSE(WEEKDAY(A783,2),"月","火","水","木","金","土","日")),"")</f>
        <v/>
      </c>
    </row>
    <row r="784" customFormat="false" ht="15" hidden="false" customHeight="false" outlineLevel="0" collapsed="false">
      <c r="Z784" s="25" t="str">
        <f aca="false">IF(ISNUMBER(A784),IF(COUNTIF(祝日!$A:$A,A784)&gt;0,"祝",CHOOSE(WEEKDAY(A784,2),"月","火","水","木","金","土","日")),"")</f>
        <v/>
      </c>
    </row>
    <row r="785" customFormat="false" ht="15" hidden="false" customHeight="false" outlineLevel="0" collapsed="false">
      <c r="Z785" s="25" t="str">
        <f aca="false">IF(ISNUMBER(A785),IF(COUNTIF(祝日!$A:$A,A785)&gt;0,"祝",CHOOSE(WEEKDAY(A785,2),"月","火","水","木","金","土","日")),"")</f>
        <v/>
      </c>
    </row>
    <row r="786" customFormat="false" ht="15" hidden="false" customHeight="false" outlineLevel="0" collapsed="false">
      <c r="Z786" s="25" t="str">
        <f aca="false">IF(ISNUMBER(A786),IF(COUNTIF(祝日!$A:$A,A786)&gt;0,"祝",CHOOSE(WEEKDAY(A786,2),"月","火","水","木","金","土","日")),"")</f>
        <v/>
      </c>
    </row>
    <row r="787" customFormat="false" ht="15" hidden="false" customHeight="false" outlineLevel="0" collapsed="false">
      <c r="Z787" s="25" t="str">
        <f aca="false">IF(ISNUMBER(A787),IF(COUNTIF(祝日!$A:$A,A787)&gt;0,"祝",CHOOSE(WEEKDAY(A787,2),"月","火","水","木","金","土","日")),"")</f>
        <v/>
      </c>
    </row>
    <row r="788" customFormat="false" ht="15" hidden="false" customHeight="false" outlineLevel="0" collapsed="false">
      <c r="Z788" s="25" t="str">
        <f aca="false">IF(ISNUMBER(A788),IF(COUNTIF(祝日!$A:$A,A788)&gt;0,"祝",CHOOSE(WEEKDAY(A788,2),"月","火","水","木","金","土","日")),"")</f>
        <v/>
      </c>
    </row>
    <row r="789" customFormat="false" ht="15" hidden="false" customHeight="false" outlineLevel="0" collapsed="false">
      <c r="Z789" s="25" t="str">
        <f aca="false">IF(ISNUMBER(A789),IF(COUNTIF(祝日!$A:$A,A789)&gt;0,"祝",CHOOSE(WEEKDAY(A789,2),"月","火","水","木","金","土","日")),"")</f>
        <v/>
      </c>
    </row>
    <row r="790" customFormat="false" ht="15" hidden="false" customHeight="false" outlineLevel="0" collapsed="false">
      <c r="Z790" s="25" t="str">
        <f aca="false">IF(ISNUMBER(A790),IF(COUNTIF(祝日!$A:$A,A790)&gt;0,"祝",CHOOSE(WEEKDAY(A790,2),"月","火","水","木","金","土","日")),"")</f>
        <v/>
      </c>
    </row>
    <row r="791" customFormat="false" ht="15" hidden="false" customHeight="false" outlineLevel="0" collapsed="false">
      <c r="Z791" s="25" t="str">
        <f aca="false">IF(ISNUMBER(A791),IF(COUNTIF(祝日!$A:$A,A791)&gt;0,"祝",CHOOSE(WEEKDAY(A791,2),"月","火","水","木","金","土","日")),"")</f>
        <v/>
      </c>
    </row>
    <row r="792" customFormat="false" ht="15" hidden="false" customHeight="false" outlineLevel="0" collapsed="false">
      <c r="Z792" s="25" t="str">
        <f aca="false">IF(ISNUMBER(A792),IF(COUNTIF(祝日!$A:$A,A792)&gt;0,"祝",CHOOSE(WEEKDAY(A792,2),"月","火","水","木","金","土","日")),"")</f>
        <v/>
      </c>
    </row>
    <row r="793" customFormat="false" ht="15" hidden="false" customHeight="false" outlineLevel="0" collapsed="false">
      <c r="Z793" s="25" t="str">
        <f aca="false">IF(ISNUMBER(A793),IF(COUNTIF(祝日!$A:$A,A793)&gt;0,"祝",CHOOSE(WEEKDAY(A793,2),"月","火","水","木","金","土","日")),"")</f>
        <v/>
      </c>
    </row>
    <row r="794" customFormat="false" ht="15" hidden="false" customHeight="false" outlineLevel="0" collapsed="false">
      <c r="Z794" s="25" t="str">
        <f aca="false">IF(ISNUMBER(A794),IF(COUNTIF(祝日!$A:$A,A794)&gt;0,"祝",CHOOSE(WEEKDAY(A794,2),"月","火","水","木","金","土","日")),"")</f>
        <v/>
      </c>
    </row>
    <row r="795" customFormat="false" ht="15" hidden="false" customHeight="false" outlineLevel="0" collapsed="false">
      <c r="Z795" s="25" t="str">
        <f aca="false">IF(ISNUMBER(A795),IF(COUNTIF(祝日!$A:$A,A795)&gt;0,"祝",CHOOSE(WEEKDAY(A795,2),"月","火","水","木","金","土","日")),"")</f>
        <v/>
      </c>
    </row>
    <row r="796" customFormat="false" ht="15" hidden="false" customHeight="false" outlineLevel="0" collapsed="false">
      <c r="Z796" s="25" t="str">
        <f aca="false">IF(ISNUMBER(A796),IF(COUNTIF(祝日!$A:$A,A796)&gt;0,"祝",CHOOSE(WEEKDAY(A796,2),"月","火","水","木","金","土","日")),"")</f>
        <v/>
      </c>
    </row>
    <row r="797" customFormat="false" ht="15" hidden="false" customHeight="false" outlineLevel="0" collapsed="false">
      <c r="Z797" s="25" t="str">
        <f aca="false">IF(ISNUMBER(A797),IF(COUNTIF(祝日!$A:$A,A797)&gt;0,"祝",CHOOSE(WEEKDAY(A797,2),"月","火","水","木","金","土","日")),"")</f>
        <v/>
      </c>
    </row>
    <row r="798" customFormat="false" ht="15" hidden="false" customHeight="false" outlineLevel="0" collapsed="false">
      <c r="Z798" s="25" t="str">
        <f aca="false">IF(ISNUMBER(A798),IF(COUNTIF(祝日!$A:$A,A798)&gt;0,"祝",CHOOSE(WEEKDAY(A798,2),"月","火","水","木","金","土","日")),"")</f>
        <v/>
      </c>
    </row>
    <row r="799" customFormat="false" ht="15" hidden="false" customHeight="false" outlineLevel="0" collapsed="false">
      <c r="Z799" s="25" t="str">
        <f aca="false">IF(ISNUMBER(A799),IF(COUNTIF(祝日!$A:$A,A799)&gt;0,"祝",CHOOSE(WEEKDAY(A799,2),"月","火","水","木","金","土","日")),"")</f>
        <v/>
      </c>
    </row>
    <row r="800" customFormat="false" ht="15" hidden="false" customHeight="false" outlineLevel="0" collapsed="false">
      <c r="Z800" s="25" t="str">
        <f aca="false">IF(ISNUMBER(A800),IF(COUNTIF(祝日!$A:$A,A800)&gt;0,"祝",CHOOSE(WEEKDAY(A800,2),"月","火","水","木","金","土","日")),"")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0" t="s">
        <v>39</v>
      </c>
      <c r="B1" s="10" t="s">
        <v>154</v>
      </c>
      <c r="D1" s="32" t="s">
        <v>155</v>
      </c>
    </row>
    <row r="2" customFormat="false" ht="15" hidden="false" customHeight="false" outlineLevel="0" collapsed="false">
      <c r="A2" s="50" t="n">
        <f aca="false">DATE(2025,1,1)</f>
        <v>45658</v>
      </c>
      <c r="B2" s="51" t="s">
        <v>156</v>
      </c>
    </row>
    <row r="3" customFormat="false" ht="15" hidden="false" customHeight="false" outlineLevel="0" collapsed="false">
      <c r="A3" s="50" t="n">
        <f aca="false">DATE(2025,1,13)</f>
        <v>45670</v>
      </c>
      <c r="B3" s="51" t="s">
        <v>157</v>
      </c>
    </row>
    <row r="4" customFormat="false" ht="15" hidden="false" customHeight="false" outlineLevel="0" collapsed="false">
      <c r="A4" s="50" t="n">
        <f aca="false">DATE(2025,2,11)</f>
        <v>45699</v>
      </c>
      <c r="B4" s="51" t="s">
        <v>158</v>
      </c>
    </row>
    <row r="5" customFormat="false" ht="15" hidden="false" customHeight="false" outlineLevel="0" collapsed="false">
      <c r="A5" s="50" t="n">
        <f aca="false">DATE(2025,2,23)</f>
        <v>45711</v>
      </c>
      <c r="B5" s="51" t="s">
        <v>159</v>
      </c>
    </row>
    <row r="6" customFormat="false" ht="15" hidden="false" customHeight="false" outlineLevel="0" collapsed="false">
      <c r="A6" s="50" t="n">
        <f aca="false">DATE(2025,2,24)</f>
        <v>45712</v>
      </c>
      <c r="B6" s="51" t="s">
        <v>160</v>
      </c>
    </row>
    <row r="7" customFormat="false" ht="15" hidden="false" customHeight="false" outlineLevel="0" collapsed="false">
      <c r="A7" s="50" t="n">
        <f aca="false">DATE(2025,3,20)</f>
        <v>45736</v>
      </c>
      <c r="B7" s="51" t="s">
        <v>161</v>
      </c>
    </row>
    <row r="8" customFormat="false" ht="15" hidden="false" customHeight="false" outlineLevel="0" collapsed="false">
      <c r="A8" s="50" t="n">
        <f aca="false">DATE(2025,4,29)</f>
        <v>45776</v>
      </c>
      <c r="B8" s="51" t="s">
        <v>162</v>
      </c>
    </row>
    <row r="9" customFormat="false" ht="15" hidden="false" customHeight="false" outlineLevel="0" collapsed="false">
      <c r="A9" s="50" t="n">
        <f aca="false">DATE(2025,5,3)</f>
        <v>45780</v>
      </c>
      <c r="B9" s="51" t="s">
        <v>163</v>
      </c>
    </row>
    <row r="10" customFormat="false" ht="15" hidden="false" customHeight="false" outlineLevel="0" collapsed="false">
      <c r="A10" s="50" t="n">
        <f aca="false">DATE(2025,5,4)</f>
        <v>45781</v>
      </c>
      <c r="B10" s="51" t="s">
        <v>164</v>
      </c>
    </row>
    <row r="11" customFormat="false" ht="15" hidden="false" customHeight="false" outlineLevel="0" collapsed="false">
      <c r="A11" s="50" t="n">
        <f aca="false">DATE(2025,5,5)</f>
        <v>45782</v>
      </c>
      <c r="B11" s="51" t="s">
        <v>165</v>
      </c>
    </row>
    <row r="12" customFormat="false" ht="15" hidden="false" customHeight="false" outlineLevel="0" collapsed="false">
      <c r="A12" s="50" t="n">
        <f aca="false">DATE(2025,5,6)</f>
        <v>45783</v>
      </c>
      <c r="B12" s="51" t="s">
        <v>160</v>
      </c>
    </row>
    <row r="13" customFormat="false" ht="15" hidden="false" customHeight="false" outlineLevel="0" collapsed="false">
      <c r="A13" s="50" t="n">
        <f aca="false">DATE(2025,7,21)</f>
        <v>45859</v>
      </c>
      <c r="B13" s="51" t="s">
        <v>166</v>
      </c>
    </row>
    <row r="14" customFormat="false" ht="15" hidden="false" customHeight="false" outlineLevel="0" collapsed="false">
      <c r="A14" s="50" t="n">
        <f aca="false">DATE(2025,8,11)</f>
        <v>45880</v>
      </c>
      <c r="B14" s="51" t="s">
        <v>167</v>
      </c>
    </row>
    <row r="15" customFormat="false" ht="15" hidden="false" customHeight="false" outlineLevel="0" collapsed="false">
      <c r="A15" s="50" t="n">
        <f aca="false">DATE(2025,9,15)</f>
        <v>45915</v>
      </c>
      <c r="B15" s="51" t="s">
        <v>168</v>
      </c>
    </row>
    <row r="16" customFormat="false" ht="15" hidden="false" customHeight="false" outlineLevel="0" collapsed="false">
      <c r="A16" s="50" t="n">
        <f aca="false">DATE(2025,9,23)</f>
        <v>45923</v>
      </c>
      <c r="B16" s="51" t="s">
        <v>169</v>
      </c>
    </row>
    <row r="17" customFormat="false" ht="15" hidden="false" customHeight="false" outlineLevel="0" collapsed="false">
      <c r="A17" s="50" t="n">
        <f aca="false">DATE(2025,10,13)</f>
        <v>45943</v>
      </c>
      <c r="B17" s="51" t="s">
        <v>170</v>
      </c>
    </row>
    <row r="18" customFormat="false" ht="15" hidden="false" customHeight="false" outlineLevel="0" collapsed="false">
      <c r="A18" s="50" t="n">
        <f aca="false">DATE(2025,11,3)</f>
        <v>45964</v>
      </c>
      <c r="B18" s="51" t="s">
        <v>171</v>
      </c>
    </row>
    <row r="19" customFormat="false" ht="15" hidden="false" customHeight="false" outlineLevel="0" collapsed="false">
      <c r="A19" s="50" t="n">
        <f aca="false">DATE(2025,11,23)</f>
        <v>45984</v>
      </c>
      <c r="B19" s="51" t="s">
        <v>172</v>
      </c>
    </row>
    <row r="20" customFormat="false" ht="15" hidden="false" customHeight="false" outlineLevel="0" collapsed="false">
      <c r="A20" s="50" t="n">
        <f aca="false">DATE(2025,11,24)</f>
        <v>45985</v>
      </c>
      <c r="B20" s="51" t="s">
        <v>160</v>
      </c>
    </row>
    <row r="21" customFormat="false" ht="15" hidden="false" customHeight="false" outlineLevel="0" collapsed="false">
      <c r="A21" s="50" t="n">
        <f aca="false">DATE(2026,1,1)</f>
        <v>46023</v>
      </c>
      <c r="B21" s="51" t="s">
        <v>156</v>
      </c>
    </row>
    <row r="22" customFormat="false" ht="15" hidden="false" customHeight="false" outlineLevel="0" collapsed="false">
      <c r="A22" s="50" t="n">
        <f aca="false">DATE(2026,1,12)</f>
        <v>46034</v>
      </c>
      <c r="B22" s="51" t="s">
        <v>157</v>
      </c>
    </row>
    <row r="23" customFormat="false" ht="15" hidden="false" customHeight="false" outlineLevel="0" collapsed="false">
      <c r="A23" s="50" t="n">
        <f aca="false">DATE(2026,2,11)</f>
        <v>46064</v>
      </c>
      <c r="B23" s="51" t="s">
        <v>158</v>
      </c>
    </row>
    <row r="24" customFormat="false" ht="15" hidden="false" customHeight="false" outlineLevel="0" collapsed="false">
      <c r="A24" s="50" t="n">
        <f aca="false">DATE(2026,2,23)</f>
        <v>46076</v>
      </c>
      <c r="B24" s="51" t="s">
        <v>159</v>
      </c>
    </row>
    <row r="25" customFormat="false" ht="15" hidden="false" customHeight="false" outlineLevel="0" collapsed="false">
      <c r="A25" s="50" t="n">
        <f aca="false">DATE(2026,3,20)</f>
        <v>46101</v>
      </c>
      <c r="B25" s="51" t="s">
        <v>161</v>
      </c>
    </row>
    <row r="26" customFormat="false" ht="15" hidden="false" customHeight="false" outlineLevel="0" collapsed="false">
      <c r="A26" s="50" t="n">
        <f aca="false">DATE(2026,4,29)</f>
        <v>46141</v>
      </c>
      <c r="B26" s="51" t="s">
        <v>162</v>
      </c>
    </row>
    <row r="27" customFormat="false" ht="15" hidden="false" customHeight="false" outlineLevel="0" collapsed="false">
      <c r="A27" s="50" t="n">
        <f aca="false">DATE(2026,5,3)</f>
        <v>46145</v>
      </c>
      <c r="B27" s="51" t="s">
        <v>163</v>
      </c>
    </row>
    <row r="28" customFormat="false" ht="15" hidden="false" customHeight="false" outlineLevel="0" collapsed="false">
      <c r="A28" s="50" t="n">
        <f aca="false">DATE(2026,5,4)</f>
        <v>46146</v>
      </c>
      <c r="B28" s="51" t="s">
        <v>164</v>
      </c>
    </row>
    <row r="29" customFormat="false" ht="15" hidden="false" customHeight="false" outlineLevel="0" collapsed="false">
      <c r="A29" s="50" t="n">
        <f aca="false">DATE(2026,5,5)</f>
        <v>46147</v>
      </c>
      <c r="B29" s="51" t="s">
        <v>165</v>
      </c>
    </row>
    <row r="30" customFormat="false" ht="15" hidden="false" customHeight="false" outlineLevel="0" collapsed="false">
      <c r="A30" s="50" t="n">
        <f aca="false">DATE(2026,5,6)</f>
        <v>46148</v>
      </c>
      <c r="B30" s="51" t="s">
        <v>160</v>
      </c>
    </row>
    <row r="31" customFormat="false" ht="15" hidden="false" customHeight="false" outlineLevel="0" collapsed="false">
      <c r="A31" s="50" t="n">
        <f aca="false">DATE(2026,7,20)</f>
        <v>46223</v>
      </c>
      <c r="B31" s="51" t="s">
        <v>166</v>
      </c>
    </row>
    <row r="32" customFormat="false" ht="15" hidden="false" customHeight="false" outlineLevel="0" collapsed="false">
      <c r="A32" s="50" t="n">
        <f aca="false">DATE(2026,8,11)</f>
        <v>46245</v>
      </c>
      <c r="B32" s="51" t="s">
        <v>167</v>
      </c>
    </row>
    <row r="33" customFormat="false" ht="15" hidden="false" customHeight="false" outlineLevel="0" collapsed="false">
      <c r="A33" s="50" t="n">
        <f aca="false">DATE(2026,9,21)</f>
        <v>46286</v>
      </c>
      <c r="B33" s="51" t="s">
        <v>168</v>
      </c>
    </row>
    <row r="34" customFormat="false" ht="15" hidden="false" customHeight="false" outlineLevel="0" collapsed="false">
      <c r="A34" s="50" t="n">
        <f aca="false">DATE(2026,9,22)</f>
        <v>46287</v>
      </c>
      <c r="B34" s="51" t="s">
        <v>173</v>
      </c>
    </row>
    <row r="35" customFormat="false" ht="15" hidden="false" customHeight="false" outlineLevel="0" collapsed="false">
      <c r="A35" s="50" t="n">
        <f aca="false">DATE(2026,9,23)</f>
        <v>46288</v>
      </c>
      <c r="B35" s="51" t="s">
        <v>169</v>
      </c>
    </row>
    <row r="36" customFormat="false" ht="15" hidden="false" customHeight="false" outlineLevel="0" collapsed="false">
      <c r="A36" s="50" t="n">
        <f aca="false">DATE(2026,10,12)</f>
        <v>46307</v>
      </c>
      <c r="B36" s="51" t="s">
        <v>170</v>
      </c>
    </row>
    <row r="37" customFormat="false" ht="15" hidden="false" customHeight="false" outlineLevel="0" collapsed="false">
      <c r="A37" s="50" t="n">
        <f aca="false">DATE(2026,11,3)</f>
        <v>46329</v>
      </c>
      <c r="B37" s="51" t="s">
        <v>171</v>
      </c>
    </row>
    <row r="38" customFormat="false" ht="15" hidden="false" customHeight="false" outlineLevel="0" collapsed="false">
      <c r="A38" s="50" t="n">
        <f aca="false">DATE(2026,11,23)</f>
        <v>46349</v>
      </c>
      <c r="B38" s="51" t="s">
        <v>172</v>
      </c>
    </row>
    <row r="39" customFormat="false" ht="15" hidden="false" customHeight="false" outlineLevel="0" collapsed="false">
      <c r="A39" s="50" t="n">
        <f aca="false">DATE(2027,1,1)</f>
        <v>46388</v>
      </c>
      <c r="B39" s="51" t="s">
        <v>156</v>
      </c>
    </row>
    <row r="40" customFormat="false" ht="15" hidden="false" customHeight="false" outlineLevel="0" collapsed="false">
      <c r="A40" s="50" t="n">
        <f aca="false">DATE(2027,1,11)</f>
        <v>46398</v>
      </c>
      <c r="B40" s="51" t="s">
        <v>157</v>
      </c>
    </row>
    <row r="41" customFormat="false" ht="15" hidden="false" customHeight="false" outlineLevel="0" collapsed="false">
      <c r="A41" s="50" t="n">
        <f aca="false">DATE(2027,2,11)</f>
        <v>46429</v>
      </c>
      <c r="B41" s="51" t="s">
        <v>158</v>
      </c>
    </row>
    <row r="42" customFormat="false" ht="15" hidden="false" customHeight="false" outlineLevel="0" collapsed="false">
      <c r="A42" s="50" t="n">
        <f aca="false">DATE(2027,2,23)</f>
        <v>46441</v>
      </c>
      <c r="B42" s="51" t="s">
        <v>159</v>
      </c>
    </row>
    <row r="43" customFormat="false" ht="15" hidden="false" customHeight="false" outlineLevel="0" collapsed="false">
      <c r="A43" s="50" t="n">
        <f aca="false">DATE(2027,3,21)</f>
        <v>46467</v>
      </c>
      <c r="B43" s="51" t="s">
        <v>161</v>
      </c>
    </row>
    <row r="44" customFormat="false" ht="15" hidden="false" customHeight="false" outlineLevel="0" collapsed="false">
      <c r="A44" s="50" t="n">
        <f aca="false">DATE(2027,3,22)</f>
        <v>46468</v>
      </c>
      <c r="B44" s="51" t="s">
        <v>160</v>
      </c>
    </row>
    <row r="45" customFormat="false" ht="15" hidden="false" customHeight="false" outlineLevel="0" collapsed="false">
      <c r="A45" s="50" t="n">
        <f aca="false">DATE(2027,4,29)</f>
        <v>46506</v>
      </c>
      <c r="B45" s="51" t="s">
        <v>162</v>
      </c>
    </row>
    <row r="46" customFormat="false" ht="15" hidden="false" customHeight="false" outlineLevel="0" collapsed="false">
      <c r="A46" s="50" t="n">
        <f aca="false">DATE(2027,5,3)</f>
        <v>46510</v>
      </c>
      <c r="B46" s="51" t="s">
        <v>163</v>
      </c>
    </row>
    <row r="47" customFormat="false" ht="15" hidden="false" customHeight="false" outlineLevel="0" collapsed="false">
      <c r="A47" s="50" t="n">
        <f aca="false">DATE(2027,5,4)</f>
        <v>46511</v>
      </c>
      <c r="B47" s="51" t="s">
        <v>164</v>
      </c>
    </row>
    <row r="48" customFormat="false" ht="15" hidden="false" customHeight="false" outlineLevel="0" collapsed="false">
      <c r="A48" s="50" t="n">
        <f aca="false">DATE(2027,5,5)</f>
        <v>46512</v>
      </c>
      <c r="B48" s="51" t="s">
        <v>165</v>
      </c>
    </row>
    <row r="49" customFormat="false" ht="15" hidden="false" customHeight="false" outlineLevel="0" collapsed="false">
      <c r="A49" s="50" t="n">
        <f aca="false">DATE(2027,7,19)</f>
        <v>46587</v>
      </c>
      <c r="B49" s="51" t="s">
        <v>166</v>
      </c>
    </row>
    <row r="50" customFormat="false" ht="15" hidden="false" customHeight="false" outlineLevel="0" collapsed="false">
      <c r="A50" s="50" t="n">
        <f aca="false">DATE(2027,8,11)</f>
        <v>46610</v>
      </c>
      <c r="B50" s="51" t="s">
        <v>167</v>
      </c>
    </row>
    <row r="51" customFormat="false" ht="15" hidden="false" customHeight="false" outlineLevel="0" collapsed="false">
      <c r="A51" s="50" t="n">
        <f aca="false">DATE(2027,9,20)</f>
        <v>46650</v>
      </c>
      <c r="B51" s="51" t="s">
        <v>168</v>
      </c>
    </row>
    <row r="52" customFormat="false" ht="15" hidden="false" customHeight="false" outlineLevel="0" collapsed="false">
      <c r="A52" s="50" t="n">
        <f aca="false">DATE(2027,9,23)</f>
        <v>46653</v>
      </c>
      <c r="B52" s="51" t="s">
        <v>169</v>
      </c>
    </row>
    <row r="53" customFormat="false" ht="15" hidden="false" customHeight="false" outlineLevel="0" collapsed="false">
      <c r="A53" s="50" t="n">
        <f aca="false">DATE(2027,10,11)</f>
        <v>46671</v>
      </c>
      <c r="B53" s="51" t="s">
        <v>170</v>
      </c>
    </row>
    <row r="54" customFormat="false" ht="15" hidden="false" customHeight="false" outlineLevel="0" collapsed="false">
      <c r="A54" s="50" t="n">
        <f aca="false">DATE(2027,11,3)</f>
        <v>46694</v>
      </c>
      <c r="B54" s="51" t="s">
        <v>171</v>
      </c>
    </row>
    <row r="55" customFormat="false" ht="15" hidden="false" customHeight="false" outlineLevel="0" collapsed="false">
      <c r="A55" s="50" t="n">
        <f aca="false">DATE(2027,11,23)</f>
        <v>46714</v>
      </c>
      <c r="B55" s="51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AE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1" min="2" style="0" width="10"/>
  </cols>
  <sheetData>
    <row r="1" customFormat="false" ht="17.35" hidden="false" customHeight="false" outlineLevel="0" collapsed="false">
      <c r="A1" s="5" t="s">
        <v>174</v>
      </c>
    </row>
    <row r="2" customFormat="false" ht="26.85" hidden="false" customHeight="false" outlineLevel="0" collapsed="false">
      <c r="A2" s="10" t="s">
        <v>67</v>
      </c>
      <c r="B2" s="10" t="s">
        <v>175</v>
      </c>
      <c r="C2" s="10" t="s">
        <v>64</v>
      </c>
      <c r="D2" s="10" t="s">
        <v>40</v>
      </c>
      <c r="E2" s="10" t="s">
        <v>73</v>
      </c>
      <c r="F2" s="10" t="s">
        <v>74</v>
      </c>
      <c r="G2" s="10" t="s">
        <v>176</v>
      </c>
      <c r="H2" s="10" t="s">
        <v>177</v>
      </c>
      <c r="I2" s="10" t="s">
        <v>178</v>
      </c>
      <c r="J2" s="10" t="s">
        <v>179</v>
      </c>
      <c r="K2" s="10" t="s">
        <v>180</v>
      </c>
      <c r="L2" s="10" t="s">
        <v>181</v>
      </c>
      <c r="M2" s="10" t="s">
        <v>182</v>
      </c>
      <c r="N2" s="10" t="s">
        <v>183</v>
      </c>
      <c r="O2" s="10" t="s">
        <v>64</v>
      </c>
      <c r="P2" s="10" t="s">
        <v>40</v>
      </c>
      <c r="Q2" s="10" t="s">
        <v>73</v>
      </c>
      <c r="R2" s="10" t="s">
        <v>74</v>
      </c>
      <c r="S2" s="10" t="s">
        <v>176</v>
      </c>
      <c r="T2" s="10" t="s">
        <v>177</v>
      </c>
      <c r="U2" s="10" t="s">
        <v>178</v>
      </c>
      <c r="V2" s="10" t="s">
        <v>179</v>
      </c>
      <c r="W2" s="10" t="s">
        <v>180</v>
      </c>
      <c r="X2" s="10" t="s">
        <v>181</v>
      </c>
      <c r="Y2" s="10" t="s">
        <v>182</v>
      </c>
      <c r="Z2" s="10" t="s">
        <v>184</v>
      </c>
      <c r="AA2" s="10" t="s">
        <v>64</v>
      </c>
      <c r="AB2" s="10" t="s">
        <v>73</v>
      </c>
      <c r="AC2" s="10" t="s">
        <v>177</v>
      </c>
      <c r="AD2" s="10" t="s">
        <v>178</v>
      </c>
      <c r="AE2" s="10" t="s">
        <v>74</v>
      </c>
    </row>
    <row r="3" customFormat="false" ht="15" hidden="false" customHeight="false" outlineLevel="0" collapsed="false">
      <c r="A3" s="47" t="n">
        <v>1</v>
      </c>
      <c r="B3" s="16" t="str">
        <f aca="false">IF(設定!$B$4="","",IF($A3&lt;=DAY(EOMONTH(設定!$B$4,0)),設定!$B$4+$A3-1,""))</f>
        <v/>
      </c>
      <c r="C3" s="33" t="str">
        <f aca="false">IF(B3="","",IF(COUNTIF(祝日!$A:$A,B3)&gt;0,"祝",CHOOSE(WEEKDAY(B3,2),"月","火","水","木","金","土","日")))</f>
        <v/>
      </c>
      <c r="D3" s="33" t="str">
        <f aca="false">IF(B3="","",CHOOSE(WEEKDAY(B3,2),"月","火","水","木","金","土","日"))</f>
        <v/>
      </c>
      <c r="E3" s="17" t="str">
        <f aca="false">IF(B3="","",SUMIFS(先月データ!$Q:$Q,先月データ!$A:$A,B3))</f>
        <v/>
      </c>
      <c r="F3" s="17" t="str">
        <f aca="false">IF(B3="","",SUMIFS(先月データ!$L:$L,先月データ!$A:$A,B3))</f>
        <v/>
      </c>
      <c r="G3" s="17" t="str">
        <f aca="false">IF(B3="","",SUMIFS(先月データ!$R:$R,先月データ!$A:$A,B3))</f>
        <v/>
      </c>
      <c r="H3" s="17" t="str">
        <f aca="false">IF(B3="","",SUMIFS(先月データ!$Q:$Q,先月データ!$A:$A,B3,先月データ!$K:$K,"&gt;=6",先月データ!$K:$K,"&lt;"&amp;設定!$B$10))</f>
        <v/>
      </c>
      <c r="I3" s="17" t="str">
        <f aca="false">IF(B3="","",E3-H3)</f>
        <v/>
      </c>
      <c r="J3" s="33" t="str">
        <f aca="false">IF(B3="","",IF(H3&gt;=設定!$B$13,1,0))</f>
        <v/>
      </c>
      <c r="K3" s="17" t="str">
        <f aca="false">IF(B3="","",G3-SUMIFS(先月データ!$R:$R,先月データ!$A:$A,B3,先月データ!$K:$K,"&gt;=6",先月データ!$K:$K,"&lt;"&amp;設定!$B$10))</f>
        <v/>
      </c>
      <c r="L3" s="33" t="str">
        <f aca="false">IF(B3="","",IF(COUNTIF(祝日!$A:$A,B3-364)&gt;0,1,0))</f>
        <v/>
      </c>
      <c r="M3" s="17" t="str">
        <f aca="false">IF(B3="","",SUMIFS(先月データ!$M:$M,先月データ!$A:$A,B3))</f>
        <v/>
      </c>
      <c r="N3" s="16" t="str">
        <f aca="false">IF(設定!$B$5="","",IF($A3&lt;=DAY(EOMONTH(設定!$B$5,0)),設定!$B$5+$A3-1,""))</f>
        <v/>
      </c>
      <c r="O3" s="33" t="str">
        <f aca="false">IF(N3="","",IF(COUNTIF(祝日!$A:$A,N3)&gt;0,"祝",CHOOSE(WEEKDAY(N3,2),"月","火","水","木","金","土","日")))</f>
        <v/>
      </c>
      <c r="P3" s="33" t="str">
        <f aca="false">IF(N3="","",CHOOSE(WEEKDAY(N3,2),"月","火","水","木","金","土","日"))</f>
        <v/>
      </c>
      <c r="Q3" s="17" t="str">
        <f aca="false">IF(N3="","",SUMIFS(先々月データ!$Q:$Q,先々月データ!$A:$A,N3))</f>
        <v/>
      </c>
      <c r="R3" s="17" t="str">
        <f aca="false">IF(N3="","",SUMIFS(先々月データ!$L:$L,先々月データ!$A:$A,N3))</f>
        <v/>
      </c>
      <c r="S3" s="17" t="str">
        <f aca="false">IF(N3="","",SUMIFS(先々月データ!$R:$R,先々月データ!$A:$A,N3))</f>
        <v/>
      </c>
      <c r="T3" s="17" t="str">
        <f aca="false">IF(N3="","",SUMIFS(先々月データ!$Q:$Q,先々月データ!$A:$A,N3,先々月データ!$K:$K,"&gt;=6",先々月データ!$K:$K,"&lt;"&amp;設定!$B$10))</f>
        <v/>
      </c>
      <c r="U3" s="17" t="str">
        <f aca="false">IF(N3="","",Q3-T3)</f>
        <v/>
      </c>
      <c r="V3" s="33" t="str">
        <f aca="false">IF(N3="","",IF(T3&gt;=設定!$B$13,1,0))</f>
        <v/>
      </c>
      <c r="W3" s="17" t="str">
        <f aca="false">IF(N3="","",S3-SUMIFS(先々月データ!$R:$R,先々月データ!$A:$A,N3,先々月データ!$K:$K,"&gt;=6",先々月データ!$K:$K,"&lt;"&amp;設定!$B$10))</f>
        <v/>
      </c>
      <c r="X3" s="33" t="str">
        <f aca="false">IF(N3="","",IF(COUNTIF(祝日!$A:$A,N3-364)&gt;0,1,0))</f>
        <v/>
      </c>
      <c r="Y3" s="17" t="str">
        <f aca="false">IF(N3="","",SUMIFS(先々月データ!$M:$M,先々月データ!$A:$A,N3))</f>
        <v/>
      </c>
      <c r="Z3" s="16" t="str">
        <f aca="false">IF(設定!$B$6="","",IF($A3&lt;=DAY(EOMONTH(設定!$B$6,0)),設定!$B$6+$A3-1,""))</f>
        <v/>
      </c>
      <c r="AA3" s="33" t="str">
        <f aca="false">IF(Z3="","",IF(COUNTIF(祝日!$A:$A,Z3)&gt;0,"祝",CHOOSE(WEEKDAY(Z3,2),"月","火","水","木","金","土","日")))</f>
        <v/>
      </c>
      <c r="AB3" s="17" t="str">
        <f aca="false">IF(Z3="","",SUMIFS(前年当月データ!$Q:$Q,前年当月データ!$A:$A,Z3))</f>
        <v/>
      </c>
      <c r="AC3" s="17" t="str">
        <f aca="false">IF(Z3="","",SUMIFS(前年当月データ!$Q:$Q,前年当月データ!$A:$A,Z3,前年当月データ!$K:$K,"&gt;=6",前年当月データ!$K:$K,"&lt;"&amp;設定!$B$10))</f>
        <v/>
      </c>
      <c r="AD3" s="17" t="str">
        <f aca="false">IF(Z3="","",AB3-AC3)</f>
        <v/>
      </c>
      <c r="AE3" s="17" t="str">
        <f aca="false">IF(Z3="","",SUMIFS(前年当月データ!$L:$L,前年当月データ!$A:$A,Z3))</f>
        <v/>
      </c>
    </row>
    <row r="4" customFormat="false" ht="15" hidden="false" customHeight="false" outlineLevel="0" collapsed="false">
      <c r="A4" s="47" t="n">
        <v>2</v>
      </c>
      <c r="B4" s="16" t="str">
        <f aca="false">IF(設定!$B$4="","",IF($A4&lt;=DAY(EOMONTH(設定!$B$4,0)),設定!$B$4+$A4-1,""))</f>
        <v/>
      </c>
      <c r="C4" s="33" t="str">
        <f aca="false">IF(B4="","",IF(COUNTIF(祝日!$A:$A,B4)&gt;0,"祝",CHOOSE(WEEKDAY(B4,2),"月","火","水","木","金","土","日")))</f>
        <v/>
      </c>
      <c r="D4" s="33" t="str">
        <f aca="false">IF(B4="","",CHOOSE(WEEKDAY(B4,2),"月","火","水","木","金","土","日"))</f>
        <v/>
      </c>
      <c r="E4" s="17" t="str">
        <f aca="false">IF(B4="","",SUMIFS(先月データ!$Q:$Q,先月データ!$A:$A,B4))</f>
        <v/>
      </c>
      <c r="F4" s="17" t="str">
        <f aca="false">IF(B4="","",SUMIFS(先月データ!$L:$L,先月データ!$A:$A,B4))</f>
        <v/>
      </c>
      <c r="G4" s="17" t="str">
        <f aca="false">IF(B4="","",SUMIFS(先月データ!$R:$R,先月データ!$A:$A,B4))</f>
        <v/>
      </c>
      <c r="H4" s="17" t="str">
        <f aca="false">IF(B4="","",SUMIFS(先月データ!$Q:$Q,先月データ!$A:$A,B4,先月データ!$K:$K,"&gt;=6",先月データ!$K:$K,"&lt;"&amp;設定!$B$10))</f>
        <v/>
      </c>
      <c r="I4" s="17" t="str">
        <f aca="false">IF(B4="","",E4-H4)</f>
        <v/>
      </c>
      <c r="J4" s="33" t="str">
        <f aca="false">IF(B4="","",IF(H4&gt;=設定!$B$13,1,0))</f>
        <v/>
      </c>
      <c r="K4" s="17" t="str">
        <f aca="false">IF(B4="","",G4-SUMIFS(先月データ!$R:$R,先月データ!$A:$A,B4,先月データ!$K:$K,"&gt;=6",先月データ!$K:$K,"&lt;"&amp;設定!$B$10))</f>
        <v/>
      </c>
      <c r="L4" s="33" t="str">
        <f aca="false">IF(B4="","",IF(COUNTIF(祝日!$A:$A,B4-364)&gt;0,1,0))</f>
        <v/>
      </c>
      <c r="M4" s="17" t="str">
        <f aca="false">IF(B4="","",SUMIFS(先月データ!$M:$M,先月データ!$A:$A,B4))</f>
        <v/>
      </c>
      <c r="N4" s="16" t="str">
        <f aca="false">IF(設定!$B$5="","",IF($A4&lt;=DAY(EOMONTH(設定!$B$5,0)),設定!$B$5+$A4-1,""))</f>
        <v/>
      </c>
      <c r="O4" s="33" t="str">
        <f aca="false">IF(N4="","",IF(COUNTIF(祝日!$A:$A,N4)&gt;0,"祝",CHOOSE(WEEKDAY(N4,2),"月","火","水","木","金","土","日")))</f>
        <v/>
      </c>
      <c r="P4" s="33" t="str">
        <f aca="false">IF(N4="","",CHOOSE(WEEKDAY(N4,2),"月","火","水","木","金","土","日"))</f>
        <v/>
      </c>
      <c r="Q4" s="17" t="str">
        <f aca="false">IF(N4="","",SUMIFS(先々月データ!$Q:$Q,先々月データ!$A:$A,N4))</f>
        <v/>
      </c>
      <c r="R4" s="17" t="str">
        <f aca="false">IF(N4="","",SUMIFS(先々月データ!$L:$L,先々月データ!$A:$A,N4))</f>
        <v/>
      </c>
      <c r="S4" s="17" t="str">
        <f aca="false">IF(N4="","",SUMIFS(先々月データ!$R:$R,先々月データ!$A:$A,N4))</f>
        <v/>
      </c>
      <c r="T4" s="17" t="str">
        <f aca="false">IF(N4="","",SUMIFS(先々月データ!$Q:$Q,先々月データ!$A:$A,N4,先々月データ!$K:$K,"&gt;=6",先々月データ!$K:$K,"&lt;"&amp;設定!$B$10))</f>
        <v/>
      </c>
      <c r="U4" s="17" t="str">
        <f aca="false">IF(N4="","",Q4-T4)</f>
        <v/>
      </c>
      <c r="V4" s="33" t="str">
        <f aca="false">IF(N4="","",IF(T4&gt;=設定!$B$13,1,0))</f>
        <v/>
      </c>
      <c r="W4" s="17" t="str">
        <f aca="false">IF(N4="","",S4-SUMIFS(先々月データ!$R:$R,先々月データ!$A:$A,N4,先々月データ!$K:$K,"&gt;=6",先々月データ!$K:$K,"&lt;"&amp;設定!$B$10))</f>
        <v/>
      </c>
      <c r="X4" s="33" t="str">
        <f aca="false">IF(N4="","",IF(COUNTIF(祝日!$A:$A,N4-364)&gt;0,1,0))</f>
        <v/>
      </c>
      <c r="Y4" s="17" t="str">
        <f aca="false">IF(N4="","",SUMIFS(先々月データ!$M:$M,先々月データ!$A:$A,N4))</f>
        <v/>
      </c>
      <c r="Z4" s="16" t="str">
        <f aca="false">IF(設定!$B$6="","",IF($A4&lt;=DAY(EOMONTH(設定!$B$6,0)),設定!$B$6+$A4-1,""))</f>
        <v/>
      </c>
      <c r="AA4" s="33" t="str">
        <f aca="false">IF(Z4="","",IF(COUNTIF(祝日!$A:$A,Z4)&gt;0,"祝",CHOOSE(WEEKDAY(Z4,2),"月","火","水","木","金","土","日")))</f>
        <v/>
      </c>
      <c r="AB4" s="17" t="str">
        <f aca="false">IF(Z4="","",SUMIFS(前年当月データ!$Q:$Q,前年当月データ!$A:$A,Z4))</f>
        <v/>
      </c>
      <c r="AC4" s="17" t="str">
        <f aca="false">IF(Z4="","",SUMIFS(前年当月データ!$Q:$Q,前年当月データ!$A:$A,Z4,前年当月データ!$K:$K,"&gt;=6",前年当月データ!$K:$K,"&lt;"&amp;設定!$B$10))</f>
        <v/>
      </c>
      <c r="AD4" s="17" t="str">
        <f aca="false">IF(Z4="","",AB4-AC4)</f>
        <v/>
      </c>
      <c r="AE4" s="17" t="str">
        <f aca="false">IF(Z4="","",SUMIFS(前年当月データ!$L:$L,前年当月データ!$A:$A,Z4))</f>
        <v/>
      </c>
    </row>
    <row r="5" customFormat="false" ht="15" hidden="false" customHeight="false" outlineLevel="0" collapsed="false">
      <c r="A5" s="47" t="n">
        <v>3</v>
      </c>
      <c r="B5" s="16" t="str">
        <f aca="false">IF(設定!$B$4="","",IF($A5&lt;=DAY(EOMONTH(設定!$B$4,0)),設定!$B$4+$A5-1,""))</f>
        <v/>
      </c>
      <c r="C5" s="33" t="str">
        <f aca="false">IF(B5="","",IF(COUNTIF(祝日!$A:$A,B5)&gt;0,"祝",CHOOSE(WEEKDAY(B5,2),"月","火","水","木","金","土","日")))</f>
        <v/>
      </c>
      <c r="D5" s="33" t="str">
        <f aca="false">IF(B5="","",CHOOSE(WEEKDAY(B5,2),"月","火","水","木","金","土","日"))</f>
        <v/>
      </c>
      <c r="E5" s="17" t="str">
        <f aca="false">IF(B5="","",SUMIFS(先月データ!$Q:$Q,先月データ!$A:$A,B5))</f>
        <v/>
      </c>
      <c r="F5" s="17" t="str">
        <f aca="false">IF(B5="","",SUMIFS(先月データ!$L:$L,先月データ!$A:$A,B5))</f>
        <v/>
      </c>
      <c r="G5" s="17" t="str">
        <f aca="false">IF(B5="","",SUMIFS(先月データ!$R:$R,先月データ!$A:$A,B5))</f>
        <v/>
      </c>
      <c r="H5" s="17" t="str">
        <f aca="false">IF(B5="","",SUMIFS(先月データ!$Q:$Q,先月データ!$A:$A,B5,先月データ!$K:$K,"&gt;=6",先月データ!$K:$K,"&lt;"&amp;設定!$B$10))</f>
        <v/>
      </c>
      <c r="I5" s="17" t="str">
        <f aca="false">IF(B5="","",E5-H5)</f>
        <v/>
      </c>
      <c r="J5" s="33" t="str">
        <f aca="false">IF(B5="","",IF(H5&gt;=設定!$B$13,1,0))</f>
        <v/>
      </c>
      <c r="K5" s="17" t="str">
        <f aca="false">IF(B5="","",G5-SUMIFS(先月データ!$R:$R,先月データ!$A:$A,B5,先月データ!$K:$K,"&gt;=6",先月データ!$K:$K,"&lt;"&amp;設定!$B$10))</f>
        <v/>
      </c>
      <c r="L5" s="33" t="str">
        <f aca="false">IF(B5="","",IF(COUNTIF(祝日!$A:$A,B5-364)&gt;0,1,0))</f>
        <v/>
      </c>
      <c r="M5" s="17" t="str">
        <f aca="false">IF(B5="","",SUMIFS(先月データ!$M:$M,先月データ!$A:$A,B5))</f>
        <v/>
      </c>
      <c r="N5" s="16" t="str">
        <f aca="false">IF(設定!$B$5="","",IF($A5&lt;=DAY(EOMONTH(設定!$B$5,0)),設定!$B$5+$A5-1,""))</f>
        <v/>
      </c>
      <c r="O5" s="33" t="str">
        <f aca="false">IF(N5="","",IF(COUNTIF(祝日!$A:$A,N5)&gt;0,"祝",CHOOSE(WEEKDAY(N5,2),"月","火","水","木","金","土","日")))</f>
        <v/>
      </c>
      <c r="P5" s="33" t="str">
        <f aca="false">IF(N5="","",CHOOSE(WEEKDAY(N5,2),"月","火","水","木","金","土","日"))</f>
        <v/>
      </c>
      <c r="Q5" s="17" t="str">
        <f aca="false">IF(N5="","",SUMIFS(先々月データ!$Q:$Q,先々月データ!$A:$A,N5))</f>
        <v/>
      </c>
      <c r="R5" s="17" t="str">
        <f aca="false">IF(N5="","",SUMIFS(先々月データ!$L:$L,先々月データ!$A:$A,N5))</f>
        <v/>
      </c>
      <c r="S5" s="17" t="str">
        <f aca="false">IF(N5="","",SUMIFS(先々月データ!$R:$R,先々月データ!$A:$A,N5))</f>
        <v/>
      </c>
      <c r="T5" s="17" t="str">
        <f aca="false">IF(N5="","",SUMIFS(先々月データ!$Q:$Q,先々月データ!$A:$A,N5,先々月データ!$K:$K,"&gt;=6",先々月データ!$K:$K,"&lt;"&amp;設定!$B$10))</f>
        <v/>
      </c>
      <c r="U5" s="17" t="str">
        <f aca="false">IF(N5="","",Q5-T5)</f>
        <v/>
      </c>
      <c r="V5" s="33" t="str">
        <f aca="false">IF(N5="","",IF(T5&gt;=設定!$B$13,1,0))</f>
        <v/>
      </c>
      <c r="W5" s="17" t="str">
        <f aca="false">IF(N5="","",S5-SUMIFS(先々月データ!$R:$R,先々月データ!$A:$A,N5,先々月データ!$K:$K,"&gt;=6",先々月データ!$K:$K,"&lt;"&amp;設定!$B$10))</f>
        <v/>
      </c>
      <c r="X5" s="33" t="str">
        <f aca="false">IF(N5="","",IF(COUNTIF(祝日!$A:$A,N5-364)&gt;0,1,0))</f>
        <v/>
      </c>
      <c r="Y5" s="17" t="str">
        <f aca="false">IF(N5="","",SUMIFS(先々月データ!$M:$M,先々月データ!$A:$A,N5))</f>
        <v/>
      </c>
      <c r="Z5" s="16" t="str">
        <f aca="false">IF(設定!$B$6="","",IF($A5&lt;=DAY(EOMONTH(設定!$B$6,0)),設定!$B$6+$A5-1,""))</f>
        <v/>
      </c>
      <c r="AA5" s="33" t="str">
        <f aca="false">IF(Z5="","",IF(COUNTIF(祝日!$A:$A,Z5)&gt;0,"祝",CHOOSE(WEEKDAY(Z5,2),"月","火","水","木","金","土","日")))</f>
        <v/>
      </c>
      <c r="AB5" s="17" t="str">
        <f aca="false">IF(Z5="","",SUMIFS(前年当月データ!$Q:$Q,前年当月データ!$A:$A,Z5))</f>
        <v/>
      </c>
      <c r="AC5" s="17" t="str">
        <f aca="false">IF(Z5="","",SUMIFS(前年当月データ!$Q:$Q,前年当月データ!$A:$A,Z5,前年当月データ!$K:$K,"&gt;=6",前年当月データ!$K:$K,"&lt;"&amp;設定!$B$10))</f>
        <v/>
      </c>
      <c r="AD5" s="17" t="str">
        <f aca="false">IF(Z5="","",AB5-AC5)</f>
        <v/>
      </c>
      <c r="AE5" s="17" t="str">
        <f aca="false">IF(Z5="","",SUMIFS(前年当月データ!$L:$L,前年当月データ!$A:$A,Z5))</f>
        <v/>
      </c>
    </row>
    <row r="6" customFormat="false" ht="15" hidden="false" customHeight="false" outlineLevel="0" collapsed="false">
      <c r="A6" s="47" t="n">
        <v>4</v>
      </c>
      <c r="B6" s="16" t="str">
        <f aca="false">IF(設定!$B$4="","",IF($A6&lt;=DAY(EOMONTH(設定!$B$4,0)),設定!$B$4+$A6-1,""))</f>
        <v/>
      </c>
      <c r="C6" s="33" t="str">
        <f aca="false">IF(B6="","",IF(COUNTIF(祝日!$A:$A,B6)&gt;0,"祝",CHOOSE(WEEKDAY(B6,2),"月","火","水","木","金","土","日")))</f>
        <v/>
      </c>
      <c r="D6" s="33" t="str">
        <f aca="false">IF(B6="","",CHOOSE(WEEKDAY(B6,2),"月","火","水","木","金","土","日"))</f>
        <v/>
      </c>
      <c r="E6" s="17" t="str">
        <f aca="false">IF(B6="","",SUMIFS(先月データ!$Q:$Q,先月データ!$A:$A,B6))</f>
        <v/>
      </c>
      <c r="F6" s="17" t="str">
        <f aca="false">IF(B6="","",SUMIFS(先月データ!$L:$L,先月データ!$A:$A,B6))</f>
        <v/>
      </c>
      <c r="G6" s="17" t="str">
        <f aca="false">IF(B6="","",SUMIFS(先月データ!$R:$R,先月データ!$A:$A,B6))</f>
        <v/>
      </c>
      <c r="H6" s="17" t="str">
        <f aca="false">IF(B6="","",SUMIFS(先月データ!$Q:$Q,先月データ!$A:$A,B6,先月データ!$K:$K,"&gt;=6",先月データ!$K:$K,"&lt;"&amp;設定!$B$10))</f>
        <v/>
      </c>
      <c r="I6" s="17" t="str">
        <f aca="false">IF(B6="","",E6-H6)</f>
        <v/>
      </c>
      <c r="J6" s="33" t="str">
        <f aca="false">IF(B6="","",IF(H6&gt;=設定!$B$13,1,0))</f>
        <v/>
      </c>
      <c r="K6" s="17" t="str">
        <f aca="false">IF(B6="","",G6-SUMIFS(先月データ!$R:$R,先月データ!$A:$A,B6,先月データ!$K:$K,"&gt;=6",先月データ!$K:$K,"&lt;"&amp;設定!$B$10))</f>
        <v/>
      </c>
      <c r="L6" s="33" t="str">
        <f aca="false">IF(B6="","",IF(COUNTIF(祝日!$A:$A,B6-364)&gt;0,1,0))</f>
        <v/>
      </c>
      <c r="M6" s="17" t="str">
        <f aca="false">IF(B6="","",SUMIFS(先月データ!$M:$M,先月データ!$A:$A,B6))</f>
        <v/>
      </c>
      <c r="N6" s="16" t="str">
        <f aca="false">IF(設定!$B$5="","",IF($A6&lt;=DAY(EOMONTH(設定!$B$5,0)),設定!$B$5+$A6-1,""))</f>
        <v/>
      </c>
      <c r="O6" s="33" t="str">
        <f aca="false">IF(N6="","",IF(COUNTIF(祝日!$A:$A,N6)&gt;0,"祝",CHOOSE(WEEKDAY(N6,2),"月","火","水","木","金","土","日")))</f>
        <v/>
      </c>
      <c r="P6" s="33" t="str">
        <f aca="false">IF(N6="","",CHOOSE(WEEKDAY(N6,2),"月","火","水","木","金","土","日"))</f>
        <v/>
      </c>
      <c r="Q6" s="17" t="str">
        <f aca="false">IF(N6="","",SUMIFS(先々月データ!$Q:$Q,先々月データ!$A:$A,N6))</f>
        <v/>
      </c>
      <c r="R6" s="17" t="str">
        <f aca="false">IF(N6="","",SUMIFS(先々月データ!$L:$L,先々月データ!$A:$A,N6))</f>
        <v/>
      </c>
      <c r="S6" s="17" t="str">
        <f aca="false">IF(N6="","",SUMIFS(先々月データ!$R:$R,先々月データ!$A:$A,N6))</f>
        <v/>
      </c>
      <c r="T6" s="17" t="str">
        <f aca="false">IF(N6="","",SUMIFS(先々月データ!$Q:$Q,先々月データ!$A:$A,N6,先々月データ!$K:$K,"&gt;=6",先々月データ!$K:$K,"&lt;"&amp;設定!$B$10))</f>
        <v/>
      </c>
      <c r="U6" s="17" t="str">
        <f aca="false">IF(N6="","",Q6-T6)</f>
        <v/>
      </c>
      <c r="V6" s="33" t="str">
        <f aca="false">IF(N6="","",IF(T6&gt;=設定!$B$13,1,0))</f>
        <v/>
      </c>
      <c r="W6" s="17" t="str">
        <f aca="false">IF(N6="","",S6-SUMIFS(先々月データ!$R:$R,先々月データ!$A:$A,N6,先々月データ!$K:$K,"&gt;=6",先々月データ!$K:$K,"&lt;"&amp;設定!$B$10))</f>
        <v/>
      </c>
      <c r="X6" s="33" t="str">
        <f aca="false">IF(N6="","",IF(COUNTIF(祝日!$A:$A,N6-364)&gt;0,1,0))</f>
        <v/>
      </c>
      <c r="Y6" s="17" t="str">
        <f aca="false">IF(N6="","",SUMIFS(先々月データ!$M:$M,先々月データ!$A:$A,N6))</f>
        <v/>
      </c>
      <c r="Z6" s="16" t="str">
        <f aca="false">IF(設定!$B$6="","",IF($A6&lt;=DAY(EOMONTH(設定!$B$6,0)),設定!$B$6+$A6-1,""))</f>
        <v/>
      </c>
      <c r="AA6" s="33" t="str">
        <f aca="false">IF(Z6="","",IF(COUNTIF(祝日!$A:$A,Z6)&gt;0,"祝",CHOOSE(WEEKDAY(Z6,2),"月","火","水","木","金","土","日")))</f>
        <v/>
      </c>
      <c r="AB6" s="17" t="str">
        <f aca="false">IF(Z6="","",SUMIFS(前年当月データ!$Q:$Q,前年当月データ!$A:$A,Z6))</f>
        <v/>
      </c>
      <c r="AC6" s="17" t="str">
        <f aca="false">IF(Z6="","",SUMIFS(前年当月データ!$Q:$Q,前年当月データ!$A:$A,Z6,前年当月データ!$K:$K,"&gt;=6",前年当月データ!$K:$K,"&lt;"&amp;設定!$B$10))</f>
        <v/>
      </c>
      <c r="AD6" s="17" t="str">
        <f aca="false">IF(Z6="","",AB6-AC6)</f>
        <v/>
      </c>
      <c r="AE6" s="17" t="str">
        <f aca="false">IF(Z6="","",SUMIFS(前年当月データ!$L:$L,前年当月データ!$A:$A,Z6))</f>
        <v/>
      </c>
    </row>
    <row r="7" customFormat="false" ht="15" hidden="false" customHeight="false" outlineLevel="0" collapsed="false">
      <c r="A7" s="47" t="n">
        <v>5</v>
      </c>
      <c r="B7" s="16" t="str">
        <f aca="false">IF(設定!$B$4="","",IF($A7&lt;=DAY(EOMONTH(設定!$B$4,0)),設定!$B$4+$A7-1,""))</f>
        <v/>
      </c>
      <c r="C7" s="33" t="str">
        <f aca="false">IF(B7="","",IF(COUNTIF(祝日!$A:$A,B7)&gt;0,"祝",CHOOSE(WEEKDAY(B7,2),"月","火","水","木","金","土","日")))</f>
        <v/>
      </c>
      <c r="D7" s="33" t="str">
        <f aca="false">IF(B7="","",CHOOSE(WEEKDAY(B7,2),"月","火","水","木","金","土","日"))</f>
        <v/>
      </c>
      <c r="E7" s="17" t="str">
        <f aca="false">IF(B7="","",SUMIFS(先月データ!$Q:$Q,先月データ!$A:$A,B7))</f>
        <v/>
      </c>
      <c r="F7" s="17" t="str">
        <f aca="false">IF(B7="","",SUMIFS(先月データ!$L:$L,先月データ!$A:$A,B7))</f>
        <v/>
      </c>
      <c r="G7" s="17" t="str">
        <f aca="false">IF(B7="","",SUMIFS(先月データ!$R:$R,先月データ!$A:$A,B7))</f>
        <v/>
      </c>
      <c r="H7" s="17" t="str">
        <f aca="false">IF(B7="","",SUMIFS(先月データ!$Q:$Q,先月データ!$A:$A,B7,先月データ!$K:$K,"&gt;=6",先月データ!$K:$K,"&lt;"&amp;設定!$B$10))</f>
        <v/>
      </c>
      <c r="I7" s="17" t="str">
        <f aca="false">IF(B7="","",E7-H7)</f>
        <v/>
      </c>
      <c r="J7" s="33" t="str">
        <f aca="false">IF(B7="","",IF(H7&gt;=設定!$B$13,1,0))</f>
        <v/>
      </c>
      <c r="K7" s="17" t="str">
        <f aca="false">IF(B7="","",G7-SUMIFS(先月データ!$R:$R,先月データ!$A:$A,B7,先月データ!$K:$K,"&gt;=6",先月データ!$K:$K,"&lt;"&amp;設定!$B$10))</f>
        <v/>
      </c>
      <c r="L7" s="33" t="str">
        <f aca="false">IF(B7="","",IF(COUNTIF(祝日!$A:$A,B7-364)&gt;0,1,0))</f>
        <v/>
      </c>
      <c r="M7" s="17" t="str">
        <f aca="false">IF(B7="","",SUMIFS(先月データ!$M:$M,先月データ!$A:$A,B7))</f>
        <v/>
      </c>
      <c r="N7" s="16" t="str">
        <f aca="false">IF(設定!$B$5="","",IF($A7&lt;=DAY(EOMONTH(設定!$B$5,0)),設定!$B$5+$A7-1,""))</f>
        <v/>
      </c>
      <c r="O7" s="33" t="str">
        <f aca="false">IF(N7="","",IF(COUNTIF(祝日!$A:$A,N7)&gt;0,"祝",CHOOSE(WEEKDAY(N7,2),"月","火","水","木","金","土","日")))</f>
        <v/>
      </c>
      <c r="P7" s="33" t="str">
        <f aca="false">IF(N7="","",CHOOSE(WEEKDAY(N7,2),"月","火","水","木","金","土","日"))</f>
        <v/>
      </c>
      <c r="Q7" s="17" t="str">
        <f aca="false">IF(N7="","",SUMIFS(先々月データ!$Q:$Q,先々月データ!$A:$A,N7))</f>
        <v/>
      </c>
      <c r="R7" s="17" t="str">
        <f aca="false">IF(N7="","",SUMIFS(先々月データ!$L:$L,先々月データ!$A:$A,N7))</f>
        <v/>
      </c>
      <c r="S7" s="17" t="str">
        <f aca="false">IF(N7="","",SUMIFS(先々月データ!$R:$R,先々月データ!$A:$A,N7))</f>
        <v/>
      </c>
      <c r="T7" s="17" t="str">
        <f aca="false">IF(N7="","",SUMIFS(先々月データ!$Q:$Q,先々月データ!$A:$A,N7,先々月データ!$K:$K,"&gt;=6",先々月データ!$K:$K,"&lt;"&amp;設定!$B$10))</f>
        <v/>
      </c>
      <c r="U7" s="17" t="str">
        <f aca="false">IF(N7="","",Q7-T7)</f>
        <v/>
      </c>
      <c r="V7" s="33" t="str">
        <f aca="false">IF(N7="","",IF(T7&gt;=設定!$B$13,1,0))</f>
        <v/>
      </c>
      <c r="W7" s="17" t="str">
        <f aca="false">IF(N7="","",S7-SUMIFS(先々月データ!$R:$R,先々月データ!$A:$A,N7,先々月データ!$K:$K,"&gt;=6",先々月データ!$K:$K,"&lt;"&amp;設定!$B$10))</f>
        <v/>
      </c>
      <c r="X7" s="33" t="str">
        <f aca="false">IF(N7="","",IF(COUNTIF(祝日!$A:$A,N7-364)&gt;0,1,0))</f>
        <v/>
      </c>
      <c r="Y7" s="17" t="str">
        <f aca="false">IF(N7="","",SUMIFS(先々月データ!$M:$M,先々月データ!$A:$A,N7))</f>
        <v/>
      </c>
      <c r="Z7" s="16" t="str">
        <f aca="false">IF(設定!$B$6="","",IF($A7&lt;=DAY(EOMONTH(設定!$B$6,0)),設定!$B$6+$A7-1,""))</f>
        <v/>
      </c>
      <c r="AA7" s="33" t="str">
        <f aca="false">IF(Z7="","",IF(COUNTIF(祝日!$A:$A,Z7)&gt;0,"祝",CHOOSE(WEEKDAY(Z7,2),"月","火","水","木","金","土","日")))</f>
        <v/>
      </c>
      <c r="AB7" s="17" t="str">
        <f aca="false">IF(Z7="","",SUMIFS(前年当月データ!$Q:$Q,前年当月データ!$A:$A,Z7))</f>
        <v/>
      </c>
      <c r="AC7" s="17" t="str">
        <f aca="false">IF(Z7="","",SUMIFS(前年当月データ!$Q:$Q,前年当月データ!$A:$A,Z7,前年当月データ!$K:$K,"&gt;=6",前年当月データ!$K:$K,"&lt;"&amp;設定!$B$10))</f>
        <v/>
      </c>
      <c r="AD7" s="17" t="str">
        <f aca="false">IF(Z7="","",AB7-AC7)</f>
        <v/>
      </c>
      <c r="AE7" s="17" t="str">
        <f aca="false">IF(Z7="","",SUMIFS(前年当月データ!$L:$L,前年当月データ!$A:$A,Z7))</f>
        <v/>
      </c>
    </row>
    <row r="8" customFormat="false" ht="15" hidden="false" customHeight="false" outlineLevel="0" collapsed="false">
      <c r="A8" s="47" t="n">
        <v>6</v>
      </c>
      <c r="B8" s="16" t="str">
        <f aca="false">IF(設定!$B$4="","",IF($A8&lt;=DAY(EOMONTH(設定!$B$4,0)),設定!$B$4+$A8-1,""))</f>
        <v/>
      </c>
      <c r="C8" s="33" t="str">
        <f aca="false">IF(B8="","",IF(COUNTIF(祝日!$A:$A,B8)&gt;0,"祝",CHOOSE(WEEKDAY(B8,2),"月","火","水","木","金","土","日")))</f>
        <v/>
      </c>
      <c r="D8" s="33" t="str">
        <f aca="false">IF(B8="","",CHOOSE(WEEKDAY(B8,2),"月","火","水","木","金","土","日"))</f>
        <v/>
      </c>
      <c r="E8" s="17" t="str">
        <f aca="false">IF(B8="","",SUMIFS(先月データ!$Q:$Q,先月データ!$A:$A,B8))</f>
        <v/>
      </c>
      <c r="F8" s="17" t="str">
        <f aca="false">IF(B8="","",SUMIFS(先月データ!$L:$L,先月データ!$A:$A,B8))</f>
        <v/>
      </c>
      <c r="G8" s="17" t="str">
        <f aca="false">IF(B8="","",SUMIFS(先月データ!$R:$R,先月データ!$A:$A,B8))</f>
        <v/>
      </c>
      <c r="H8" s="17" t="str">
        <f aca="false">IF(B8="","",SUMIFS(先月データ!$Q:$Q,先月データ!$A:$A,B8,先月データ!$K:$K,"&gt;=6",先月データ!$K:$K,"&lt;"&amp;設定!$B$10))</f>
        <v/>
      </c>
      <c r="I8" s="17" t="str">
        <f aca="false">IF(B8="","",E8-H8)</f>
        <v/>
      </c>
      <c r="J8" s="33" t="str">
        <f aca="false">IF(B8="","",IF(H8&gt;=設定!$B$13,1,0))</f>
        <v/>
      </c>
      <c r="K8" s="17" t="str">
        <f aca="false">IF(B8="","",G8-SUMIFS(先月データ!$R:$R,先月データ!$A:$A,B8,先月データ!$K:$K,"&gt;=6",先月データ!$K:$K,"&lt;"&amp;設定!$B$10))</f>
        <v/>
      </c>
      <c r="L8" s="33" t="str">
        <f aca="false">IF(B8="","",IF(COUNTIF(祝日!$A:$A,B8-364)&gt;0,1,0))</f>
        <v/>
      </c>
      <c r="M8" s="17" t="str">
        <f aca="false">IF(B8="","",SUMIFS(先月データ!$M:$M,先月データ!$A:$A,B8))</f>
        <v/>
      </c>
      <c r="N8" s="16" t="str">
        <f aca="false">IF(設定!$B$5="","",IF($A8&lt;=DAY(EOMONTH(設定!$B$5,0)),設定!$B$5+$A8-1,""))</f>
        <v/>
      </c>
      <c r="O8" s="33" t="str">
        <f aca="false">IF(N8="","",IF(COUNTIF(祝日!$A:$A,N8)&gt;0,"祝",CHOOSE(WEEKDAY(N8,2),"月","火","水","木","金","土","日")))</f>
        <v/>
      </c>
      <c r="P8" s="33" t="str">
        <f aca="false">IF(N8="","",CHOOSE(WEEKDAY(N8,2),"月","火","水","木","金","土","日"))</f>
        <v/>
      </c>
      <c r="Q8" s="17" t="str">
        <f aca="false">IF(N8="","",SUMIFS(先々月データ!$Q:$Q,先々月データ!$A:$A,N8))</f>
        <v/>
      </c>
      <c r="R8" s="17" t="str">
        <f aca="false">IF(N8="","",SUMIFS(先々月データ!$L:$L,先々月データ!$A:$A,N8))</f>
        <v/>
      </c>
      <c r="S8" s="17" t="str">
        <f aca="false">IF(N8="","",SUMIFS(先々月データ!$R:$R,先々月データ!$A:$A,N8))</f>
        <v/>
      </c>
      <c r="T8" s="17" t="str">
        <f aca="false">IF(N8="","",SUMIFS(先々月データ!$Q:$Q,先々月データ!$A:$A,N8,先々月データ!$K:$K,"&gt;=6",先々月データ!$K:$K,"&lt;"&amp;設定!$B$10))</f>
        <v/>
      </c>
      <c r="U8" s="17" t="str">
        <f aca="false">IF(N8="","",Q8-T8)</f>
        <v/>
      </c>
      <c r="V8" s="33" t="str">
        <f aca="false">IF(N8="","",IF(T8&gt;=設定!$B$13,1,0))</f>
        <v/>
      </c>
      <c r="W8" s="17" t="str">
        <f aca="false">IF(N8="","",S8-SUMIFS(先々月データ!$R:$R,先々月データ!$A:$A,N8,先々月データ!$K:$K,"&gt;=6",先々月データ!$K:$K,"&lt;"&amp;設定!$B$10))</f>
        <v/>
      </c>
      <c r="X8" s="33" t="str">
        <f aca="false">IF(N8="","",IF(COUNTIF(祝日!$A:$A,N8-364)&gt;0,1,0))</f>
        <v/>
      </c>
      <c r="Y8" s="17" t="str">
        <f aca="false">IF(N8="","",SUMIFS(先々月データ!$M:$M,先々月データ!$A:$A,N8))</f>
        <v/>
      </c>
      <c r="Z8" s="16" t="str">
        <f aca="false">IF(設定!$B$6="","",IF($A8&lt;=DAY(EOMONTH(設定!$B$6,0)),設定!$B$6+$A8-1,""))</f>
        <v/>
      </c>
      <c r="AA8" s="33" t="str">
        <f aca="false">IF(Z8="","",IF(COUNTIF(祝日!$A:$A,Z8)&gt;0,"祝",CHOOSE(WEEKDAY(Z8,2),"月","火","水","木","金","土","日")))</f>
        <v/>
      </c>
      <c r="AB8" s="17" t="str">
        <f aca="false">IF(Z8="","",SUMIFS(前年当月データ!$Q:$Q,前年当月データ!$A:$A,Z8))</f>
        <v/>
      </c>
      <c r="AC8" s="17" t="str">
        <f aca="false">IF(Z8="","",SUMIFS(前年当月データ!$Q:$Q,前年当月データ!$A:$A,Z8,前年当月データ!$K:$K,"&gt;=6",前年当月データ!$K:$K,"&lt;"&amp;設定!$B$10))</f>
        <v/>
      </c>
      <c r="AD8" s="17" t="str">
        <f aca="false">IF(Z8="","",AB8-AC8)</f>
        <v/>
      </c>
      <c r="AE8" s="17" t="str">
        <f aca="false">IF(Z8="","",SUMIFS(前年当月データ!$L:$L,前年当月データ!$A:$A,Z8))</f>
        <v/>
      </c>
    </row>
    <row r="9" customFormat="false" ht="15" hidden="false" customHeight="false" outlineLevel="0" collapsed="false">
      <c r="A9" s="47" t="n">
        <v>7</v>
      </c>
      <c r="B9" s="16" t="str">
        <f aca="false">IF(設定!$B$4="","",IF($A9&lt;=DAY(EOMONTH(設定!$B$4,0)),設定!$B$4+$A9-1,""))</f>
        <v/>
      </c>
      <c r="C9" s="33" t="str">
        <f aca="false">IF(B9="","",IF(COUNTIF(祝日!$A:$A,B9)&gt;0,"祝",CHOOSE(WEEKDAY(B9,2),"月","火","水","木","金","土","日")))</f>
        <v/>
      </c>
      <c r="D9" s="33" t="str">
        <f aca="false">IF(B9="","",CHOOSE(WEEKDAY(B9,2),"月","火","水","木","金","土","日"))</f>
        <v/>
      </c>
      <c r="E9" s="17" t="str">
        <f aca="false">IF(B9="","",SUMIFS(先月データ!$Q:$Q,先月データ!$A:$A,B9))</f>
        <v/>
      </c>
      <c r="F9" s="17" t="str">
        <f aca="false">IF(B9="","",SUMIFS(先月データ!$L:$L,先月データ!$A:$A,B9))</f>
        <v/>
      </c>
      <c r="G9" s="17" t="str">
        <f aca="false">IF(B9="","",SUMIFS(先月データ!$R:$R,先月データ!$A:$A,B9))</f>
        <v/>
      </c>
      <c r="H9" s="17" t="str">
        <f aca="false">IF(B9="","",SUMIFS(先月データ!$Q:$Q,先月データ!$A:$A,B9,先月データ!$K:$K,"&gt;=6",先月データ!$K:$K,"&lt;"&amp;設定!$B$10))</f>
        <v/>
      </c>
      <c r="I9" s="17" t="str">
        <f aca="false">IF(B9="","",E9-H9)</f>
        <v/>
      </c>
      <c r="J9" s="33" t="str">
        <f aca="false">IF(B9="","",IF(H9&gt;=設定!$B$13,1,0))</f>
        <v/>
      </c>
      <c r="K9" s="17" t="str">
        <f aca="false">IF(B9="","",G9-SUMIFS(先月データ!$R:$R,先月データ!$A:$A,B9,先月データ!$K:$K,"&gt;=6",先月データ!$K:$K,"&lt;"&amp;設定!$B$10))</f>
        <v/>
      </c>
      <c r="L9" s="33" t="str">
        <f aca="false">IF(B9="","",IF(COUNTIF(祝日!$A:$A,B9-364)&gt;0,1,0))</f>
        <v/>
      </c>
      <c r="M9" s="17" t="str">
        <f aca="false">IF(B9="","",SUMIFS(先月データ!$M:$M,先月データ!$A:$A,B9))</f>
        <v/>
      </c>
      <c r="N9" s="16" t="str">
        <f aca="false">IF(設定!$B$5="","",IF($A9&lt;=DAY(EOMONTH(設定!$B$5,0)),設定!$B$5+$A9-1,""))</f>
        <v/>
      </c>
      <c r="O9" s="33" t="str">
        <f aca="false">IF(N9="","",IF(COUNTIF(祝日!$A:$A,N9)&gt;0,"祝",CHOOSE(WEEKDAY(N9,2),"月","火","水","木","金","土","日")))</f>
        <v/>
      </c>
      <c r="P9" s="33" t="str">
        <f aca="false">IF(N9="","",CHOOSE(WEEKDAY(N9,2),"月","火","水","木","金","土","日"))</f>
        <v/>
      </c>
      <c r="Q9" s="17" t="str">
        <f aca="false">IF(N9="","",SUMIFS(先々月データ!$Q:$Q,先々月データ!$A:$A,N9))</f>
        <v/>
      </c>
      <c r="R9" s="17" t="str">
        <f aca="false">IF(N9="","",SUMIFS(先々月データ!$L:$L,先々月データ!$A:$A,N9))</f>
        <v/>
      </c>
      <c r="S9" s="17" t="str">
        <f aca="false">IF(N9="","",SUMIFS(先々月データ!$R:$R,先々月データ!$A:$A,N9))</f>
        <v/>
      </c>
      <c r="T9" s="17" t="str">
        <f aca="false">IF(N9="","",SUMIFS(先々月データ!$Q:$Q,先々月データ!$A:$A,N9,先々月データ!$K:$K,"&gt;=6",先々月データ!$K:$K,"&lt;"&amp;設定!$B$10))</f>
        <v/>
      </c>
      <c r="U9" s="17" t="str">
        <f aca="false">IF(N9="","",Q9-T9)</f>
        <v/>
      </c>
      <c r="V9" s="33" t="str">
        <f aca="false">IF(N9="","",IF(T9&gt;=設定!$B$13,1,0))</f>
        <v/>
      </c>
      <c r="W9" s="17" t="str">
        <f aca="false">IF(N9="","",S9-SUMIFS(先々月データ!$R:$R,先々月データ!$A:$A,N9,先々月データ!$K:$K,"&gt;=6",先々月データ!$K:$K,"&lt;"&amp;設定!$B$10))</f>
        <v/>
      </c>
      <c r="X9" s="33" t="str">
        <f aca="false">IF(N9="","",IF(COUNTIF(祝日!$A:$A,N9-364)&gt;0,1,0))</f>
        <v/>
      </c>
      <c r="Y9" s="17" t="str">
        <f aca="false">IF(N9="","",SUMIFS(先々月データ!$M:$M,先々月データ!$A:$A,N9))</f>
        <v/>
      </c>
      <c r="Z9" s="16" t="str">
        <f aca="false">IF(設定!$B$6="","",IF($A9&lt;=DAY(EOMONTH(設定!$B$6,0)),設定!$B$6+$A9-1,""))</f>
        <v/>
      </c>
      <c r="AA9" s="33" t="str">
        <f aca="false">IF(Z9="","",IF(COUNTIF(祝日!$A:$A,Z9)&gt;0,"祝",CHOOSE(WEEKDAY(Z9,2),"月","火","水","木","金","土","日")))</f>
        <v/>
      </c>
      <c r="AB9" s="17" t="str">
        <f aca="false">IF(Z9="","",SUMIFS(前年当月データ!$Q:$Q,前年当月データ!$A:$A,Z9))</f>
        <v/>
      </c>
      <c r="AC9" s="17" t="str">
        <f aca="false">IF(Z9="","",SUMIFS(前年当月データ!$Q:$Q,前年当月データ!$A:$A,Z9,前年当月データ!$K:$K,"&gt;=6",前年当月データ!$K:$K,"&lt;"&amp;設定!$B$10))</f>
        <v/>
      </c>
      <c r="AD9" s="17" t="str">
        <f aca="false">IF(Z9="","",AB9-AC9)</f>
        <v/>
      </c>
      <c r="AE9" s="17" t="str">
        <f aca="false">IF(Z9="","",SUMIFS(前年当月データ!$L:$L,前年当月データ!$A:$A,Z9))</f>
        <v/>
      </c>
    </row>
    <row r="10" customFormat="false" ht="15" hidden="false" customHeight="false" outlineLevel="0" collapsed="false">
      <c r="A10" s="47" t="n">
        <v>8</v>
      </c>
      <c r="B10" s="16" t="str">
        <f aca="false">IF(設定!$B$4="","",IF($A10&lt;=DAY(EOMONTH(設定!$B$4,0)),設定!$B$4+$A10-1,""))</f>
        <v/>
      </c>
      <c r="C10" s="33" t="str">
        <f aca="false">IF(B10="","",IF(COUNTIF(祝日!$A:$A,B10)&gt;0,"祝",CHOOSE(WEEKDAY(B10,2),"月","火","水","木","金","土","日")))</f>
        <v/>
      </c>
      <c r="D10" s="33" t="str">
        <f aca="false">IF(B10="","",CHOOSE(WEEKDAY(B10,2),"月","火","水","木","金","土","日"))</f>
        <v/>
      </c>
      <c r="E10" s="17" t="str">
        <f aca="false">IF(B10="","",SUMIFS(先月データ!$Q:$Q,先月データ!$A:$A,B10))</f>
        <v/>
      </c>
      <c r="F10" s="17" t="str">
        <f aca="false">IF(B10="","",SUMIFS(先月データ!$L:$L,先月データ!$A:$A,B10))</f>
        <v/>
      </c>
      <c r="G10" s="17" t="str">
        <f aca="false">IF(B10="","",SUMIFS(先月データ!$R:$R,先月データ!$A:$A,B10))</f>
        <v/>
      </c>
      <c r="H10" s="17" t="str">
        <f aca="false">IF(B10="","",SUMIFS(先月データ!$Q:$Q,先月データ!$A:$A,B10,先月データ!$K:$K,"&gt;=6",先月データ!$K:$K,"&lt;"&amp;設定!$B$10))</f>
        <v/>
      </c>
      <c r="I10" s="17" t="str">
        <f aca="false">IF(B10="","",E10-H10)</f>
        <v/>
      </c>
      <c r="J10" s="33" t="str">
        <f aca="false">IF(B10="","",IF(H10&gt;=設定!$B$13,1,0))</f>
        <v/>
      </c>
      <c r="K10" s="17" t="str">
        <f aca="false">IF(B10="","",G10-SUMIFS(先月データ!$R:$R,先月データ!$A:$A,B10,先月データ!$K:$K,"&gt;=6",先月データ!$K:$K,"&lt;"&amp;設定!$B$10))</f>
        <v/>
      </c>
      <c r="L10" s="33" t="str">
        <f aca="false">IF(B10="","",IF(COUNTIF(祝日!$A:$A,B10-364)&gt;0,1,0))</f>
        <v/>
      </c>
      <c r="M10" s="17" t="str">
        <f aca="false">IF(B10="","",SUMIFS(先月データ!$M:$M,先月データ!$A:$A,B10))</f>
        <v/>
      </c>
      <c r="N10" s="16" t="str">
        <f aca="false">IF(設定!$B$5="","",IF($A10&lt;=DAY(EOMONTH(設定!$B$5,0)),設定!$B$5+$A10-1,""))</f>
        <v/>
      </c>
      <c r="O10" s="33" t="str">
        <f aca="false">IF(N10="","",IF(COUNTIF(祝日!$A:$A,N10)&gt;0,"祝",CHOOSE(WEEKDAY(N10,2),"月","火","水","木","金","土","日")))</f>
        <v/>
      </c>
      <c r="P10" s="33" t="str">
        <f aca="false">IF(N10="","",CHOOSE(WEEKDAY(N10,2),"月","火","水","木","金","土","日"))</f>
        <v/>
      </c>
      <c r="Q10" s="17" t="str">
        <f aca="false">IF(N10="","",SUMIFS(先々月データ!$Q:$Q,先々月データ!$A:$A,N10))</f>
        <v/>
      </c>
      <c r="R10" s="17" t="str">
        <f aca="false">IF(N10="","",SUMIFS(先々月データ!$L:$L,先々月データ!$A:$A,N10))</f>
        <v/>
      </c>
      <c r="S10" s="17" t="str">
        <f aca="false">IF(N10="","",SUMIFS(先々月データ!$R:$R,先々月データ!$A:$A,N10))</f>
        <v/>
      </c>
      <c r="T10" s="17" t="str">
        <f aca="false">IF(N10="","",SUMIFS(先々月データ!$Q:$Q,先々月データ!$A:$A,N10,先々月データ!$K:$K,"&gt;=6",先々月データ!$K:$K,"&lt;"&amp;設定!$B$10))</f>
        <v/>
      </c>
      <c r="U10" s="17" t="str">
        <f aca="false">IF(N10="","",Q10-T10)</f>
        <v/>
      </c>
      <c r="V10" s="33" t="str">
        <f aca="false">IF(N10="","",IF(T10&gt;=設定!$B$13,1,0))</f>
        <v/>
      </c>
      <c r="W10" s="17" t="str">
        <f aca="false">IF(N10="","",S10-SUMIFS(先々月データ!$R:$R,先々月データ!$A:$A,N10,先々月データ!$K:$K,"&gt;=6",先々月データ!$K:$K,"&lt;"&amp;設定!$B$10))</f>
        <v/>
      </c>
      <c r="X10" s="33" t="str">
        <f aca="false">IF(N10="","",IF(COUNTIF(祝日!$A:$A,N10-364)&gt;0,1,0))</f>
        <v/>
      </c>
      <c r="Y10" s="17" t="str">
        <f aca="false">IF(N10="","",SUMIFS(先々月データ!$M:$M,先々月データ!$A:$A,N10))</f>
        <v/>
      </c>
      <c r="Z10" s="16" t="str">
        <f aca="false">IF(設定!$B$6="","",IF($A10&lt;=DAY(EOMONTH(設定!$B$6,0)),設定!$B$6+$A10-1,""))</f>
        <v/>
      </c>
      <c r="AA10" s="33" t="str">
        <f aca="false">IF(Z10="","",IF(COUNTIF(祝日!$A:$A,Z10)&gt;0,"祝",CHOOSE(WEEKDAY(Z10,2),"月","火","水","木","金","土","日")))</f>
        <v/>
      </c>
      <c r="AB10" s="17" t="str">
        <f aca="false">IF(Z10="","",SUMIFS(前年当月データ!$Q:$Q,前年当月データ!$A:$A,Z10))</f>
        <v/>
      </c>
      <c r="AC10" s="17" t="str">
        <f aca="false">IF(Z10="","",SUMIFS(前年当月データ!$Q:$Q,前年当月データ!$A:$A,Z10,前年当月データ!$K:$K,"&gt;=6",前年当月データ!$K:$K,"&lt;"&amp;設定!$B$10))</f>
        <v/>
      </c>
      <c r="AD10" s="17" t="str">
        <f aca="false">IF(Z10="","",AB10-AC10)</f>
        <v/>
      </c>
      <c r="AE10" s="17" t="str">
        <f aca="false">IF(Z10="","",SUMIFS(前年当月データ!$L:$L,前年当月データ!$A:$A,Z10))</f>
        <v/>
      </c>
    </row>
    <row r="11" customFormat="false" ht="15" hidden="false" customHeight="false" outlineLevel="0" collapsed="false">
      <c r="A11" s="47" t="n">
        <v>9</v>
      </c>
      <c r="B11" s="16" t="str">
        <f aca="false">IF(設定!$B$4="","",IF($A11&lt;=DAY(EOMONTH(設定!$B$4,0)),設定!$B$4+$A11-1,""))</f>
        <v/>
      </c>
      <c r="C11" s="33" t="str">
        <f aca="false">IF(B11="","",IF(COUNTIF(祝日!$A:$A,B11)&gt;0,"祝",CHOOSE(WEEKDAY(B11,2),"月","火","水","木","金","土","日")))</f>
        <v/>
      </c>
      <c r="D11" s="33" t="str">
        <f aca="false">IF(B11="","",CHOOSE(WEEKDAY(B11,2),"月","火","水","木","金","土","日"))</f>
        <v/>
      </c>
      <c r="E11" s="17" t="str">
        <f aca="false">IF(B11="","",SUMIFS(先月データ!$Q:$Q,先月データ!$A:$A,B11))</f>
        <v/>
      </c>
      <c r="F11" s="17" t="str">
        <f aca="false">IF(B11="","",SUMIFS(先月データ!$L:$L,先月データ!$A:$A,B11))</f>
        <v/>
      </c>
      <c r="G11" s="17" t="str">
        <f aca="false">IF(B11="","",SUMIFS(先月データ!$R:$R,先月データ!$A:$A,B11))</f>
        <v/>
      </c>
      <c r="H11" s="17" t="str">
        <f aca="false">IF(B11="","",SUMIFS(先月データ!$Q:$Q,先月データ!$A:$A,B11,先月データ!$K:$K,"&gt;=6",先月データ!$K:$K,"&lt;"&amp;設定!$B$10))</f>
        <v/>
      </c>
      <c r="I11" s="17" t="str">
        <f aca="false">IF(B11="","",E11-H11)</f>
        <v/>
      </c>
      <c r="J11" s="33" t="str">
        <f aca="false">IF(B11="","",IF(H11&gt;=設定!$B$13,1,0))</f>
        <v/>
      </c>
      <c r="K11" s="17" t="str">
        <f aca="false">IF(B11="","",G11-SUMIFS(先月データ!$R:$R,先月データ!$A:$A,B11,先月データ!$K:$K,"&gt;=6",先月データ!$K:$K,"&lt;"&amp;設定!$B$10))</f>
        <v/>
      </c>
      <c r="L11" s="33" t="str">
        <f aca="false">IF(B11="","",IF(COUNTIF(祝日!$A:$A,B11-364)&gt;0,1,0))</f>
        <v/>
      </c>
      <c r="M11" s="17" t="str">
        <f aca="false">IF(B11="","",SUMIFS(先月データ!$M:$M,先月データ!$A:$A,B11))</f>
        <v/>
      </c>
      <c r="N11" s="16" t="str">
        <f aca="false">IF(設定!$B$5="","",IF($A11&lt;=DAY(EOMONTH(設定!$B$5,0)),設定!$B$5+$A11-1,""))</f>
        <v/>
      </c>
      <c r="O11" s="33" t="str">
        <f aca="false">IF(N11="","",IF(COUNTIF(祝日!$A:$A,N11)&gt;0,"祝",CHOOSE(WEEKDAY(N11,2),"月","火","水","木","金","土","日")))</f>
        <v/>
      </c>
      <c r="P11" s="33" t="str">
        <f aca="false">IF(N11="","",CHOOSE(WEEKDAY(N11,2),"月","火","水","木","金","土","日"))</f>
        <v/>
      </c>
      <c r="Q11" s="17" t="str">
        <f aca="false">IF(N11="","",SUMIFS(先々月データ!$Q:$Q,先々月データ!$A:$A,N11))</f>
        <v/>
      </c>
      <c r="R11" s="17" t="str">
        <f aca="false">IF(N11="","",SUMIFS(先々月データ!$L:$L,先々月データ!$A:$A,N11))</f>
        <v/>
      </c>
      <c r="S11" s="17" t="str">
        <f aca="false">IF(N11="","",SUMIFS(先々月データ!$R:$R,先々月データ!$A:$A,N11))</f>
        <v/>
      </c>
      <c r="T11" s="17" t="str">
        <f aca="false">IF(N11="","",SUMIFS(先々月データ!$Q:$Q,先々月データ!$A:$A,N11,先々月データ!$K:$K,"&gt;=6",先々月データ!$K:$K,"&lt;"&amp;設定!$B$10))</f>
        <v/>
      </c>
      <c r="U11" s="17" t="str">
        <f aca="false">IF(N11="","",Q11-T11)</f>
        <v/>
      </c>
      <c r="V11" s="33" t="str">
        <f aca="false">IF(N11="","",IF(T11&gt;=設定!$B$13,1,0))</f>
        <v/>
      </c>
      <c r="W11" s="17" t="str">
        <f aca="false">IF(N11="","",S11-SUMIFS(先々月データ!$R:$R,先々月データ!$A:$A,N11,先々月データ!$K:$K,"&gt;=6",先々月データ!$K:$K,"&lt;"&amp;設定!$B$10))</f>
        <v/>
      </c>
      <c r="X11" s="33" t="str">
        <f aca="false">IF(N11="","",IF(COUNTIF(祝日!$A:$A,N11-364)&gt;0,1,0))</f>
        <v/>
      </c>
      <c r="Y11" s="17" t="str">
        <f aca="false">IF(N11="","",SUMIFS(先々月データ!$M:$M,先々月データ!$A:$A,N11))</f>
        <v/>
      </c>
      <c r="Z11" s="16" t="str">
        <f aca="false">IF(設定!$B$6="","",IF($A11&lt;=DAY(EOMONTH(設定!$B$6,0)),設定!$B$6+$A11-1,""))</f>
        <v/>
      </c>
      <c r="AA11" s="33" t="str">
        <f aca="false">IF(Z11="","",IF(COUNTIF(祝日!$A:$A,Z11)&gt;0,"祝",CHOOSE(WEEKDAY(Z11,2),"月","火","水","木","金","土","日")))</f>
        <v/>
      </c>
      <c r="AB11" s="17" t="str">
        <f aca="false">IF(Z11="","",SUMIFS(前年当月データ!$Q:$Q,前年当月データ!$A:$A,Z11))</f>
        <v/>
      </c>
      <c r="AC11" s="17" t="str">
        <f aca="false">IF(Z11="","",SUMIFS(前年当月データ!$Q:$Q,前年当月データ!$A:$A,Z11,前年当月データ!$K:$K,"&gt;=6",前年当月データ!$K:$K,"&lt;"&amp;設定!$B$10))</f>
        <v/>
      </c>
      <c r="AD11" s="17" t="str">
        <f aca="false">IF(Z11="","",AB11-AC11)</f>
        <v/>
      </c>
      <c r="AE11" s="17" t="str">
        <f aca="false">IF(Z11="","",SUMIFS(前年当月データ!$L:$L,前年当月データ!$A:$A,Z11))</f>
        <v/>
      </c>
    </row>
    <row r="12" customFormat="false" ht="15" hidden="false" customHeight="false" outlineLevel="0" collapsed="false">
      <c r="A12" s="47" t="n">
        <v>10</v>
      </c>
      <c r="B12" s="16" t="str">
        <f aca="false">IF(設定!$B$4="","",IF($A12&lt;=DAY(EOMONTH(設定!$B$4,0)),設定!$B$4+$A12-1,""))</f>
        <v/>
      </c>
      <c r="C12" s="33" t="str">
        <f aca="false">IF(B12="","",IF(COUNTIF(祝日!$A:$A,B12)&gt;0,"祝",CHOOSE(WEEKDAY(B12,2),"月","火","水","木","金","土","日")))</f>
        <v/>
      </c>
      <c r="D12" s="33" t="str">
        <f aca="false">IF(B12="","",CHOOSE(WEEKDAY(B12,2),"月","火","水","木","金","土","日"))</f>
        <v/>
      </c>
      <c r="E12" s="17" t="str">
        <f aca="false">IF(B12="","",SUMIFS(先月データ!$Q:$Q,先月データ!$A:$A,B12))</f>
        <v/>
      </c>
      <c r="F12" s="17" t="str">
        <f aca="false">IF(B12="","",SUMIFS(先月データ!$L:$L,先月データ!$A:$A,B12))</f>
        <v/>
      </c>
      <c r="G12" s="17" t="str">
        <f aca="false">IF(B12="","",SUMIFS(先月データ!$R:$R,先月データ!$A:$A,B12))</f>
        <v/>
      </c>
      <c r="H12" s="17" t="str">
        <f aca="false">IF(B12="","",SUMIFS(先月データ!$Q:$Q,先月データ!$A:$A,B12,先月データ!$K:$K,"&gt;=6",先月データ!$K:$K,"&lt;"&amp;設定!$B$10))</f>
        <v/>
      </c>
      <c r="I12" s="17" t="str">
        <f aca="false">IF(B12="","",E12-H12)</f>
        <v/>
      </c>
      <c r="J12" s="33" t="str">
        <f aca="false">IF(B12="","",IF(H12&gt;=設定!$B$13,1,0))</f>
        <v/>
      </c>
      <c r="K12" s="17" t="str">
        <f aca="false">IF(B12="","",G12-SUMIFS(先月データ!$R:$R,先月データ!$A:$A,B12,先月データ!$K:$K,"&gt;=6",先月データ!$K:$K,"&lt;"&amp;設定!$B$10))</f>
        <v/>
      </c>
      <c r="L12" s="33" t="str">
        <f aca="false">IF(B12="","",IF(COUNTIF(祝日!$A:$A,B12-364)&gt;0,1,0))</f>
        <v/>
      </c>
      <c r="M12" s="17" t="str">
        <f aca="false">IF(B12="","",SUMIFS(先月データ!$M:$M,先月データ!$A:$A,B12))</f>
        <v/>
      </c>
      <c r="N12" s="16" t="str">
        <f aca="false">IF(設定!$B$5="","",IF($A12&lt;=DAY(EOMONTH(設定!$B$5,0)),設定!$B$5+$A12-1,""))</f>
        <v/>
      </c>
      <c r="O12" s="33" t="str">
        <f aca="false">IF(N12="","",IF(COUNTIF(祝日!$A:$A,N12)&gt;0,"祝",CHOOSE(WEEKDAY(N12,2),"月","火","水","木","金","土","日")))</f>
        <v/>
      </c>
      <c r="P12" s="33" t="str">
        <f aca="false">IF(N12="","",CHOOSE(WEEKDAY(N12,2),"月","火","水","木","金","土","日"))</f>
        <v/>
      </c>
      <c r="Q12" s="17" t="str">
        <f aca="false">IF(N12="","",SUMIFS(先々月データ!$Q:$Q,先々月データ!$A:$A,N12))</f>
        <v/>
      </c>
      <c r="R12" s="17" t="str">
        <f aca="false">IF(N12="","",SUMIFS(先々月データ!$L:$L,先々月データ!$A:$A,N12))</f>
        <v/>
      </c>
      <c r="S12" s="17" t="str">
        <f aca="false">IF(N12="","",SUMIFS(先々月データ!$R:$R,先々月データ!$A:$A,N12))</f>
        <v/>
      </c>
      <c r="T12" s="17" t="str">
        <f aca="false">IF(N12="","",SUMIFS(先々月データ!$Q:$Q,先々月データ!$A:$A,N12,先々月データ!$K:$K,"&gt;=6",先々月データ!$K:$K,"&lt;"&amp;設定!$B$10))</f>
        <v/>
      </c>
      <c r="U12" s="17" t="str">
        <f aca="false">IF(N12="","",Q12-T12)</f>
        <v/>
      </c>
      <c r="V12" s="33" t="str">
        <f aca="false">IF(N12="","",IF(T12&gt;=設定!$B$13,1,0))</f>
        <v/>
      </c>
      <c r="W12" s="17" t="str">
        <f aca="false">IF(N12="","",S12-SUMIFS(先々月データ!$R:$R,先々月データ!$A:$A,N12,先々月データ!$K:$K,"&gt;=6",先々月データ!$K:$K,"&lt;"&amp;設定!$B$10))</f>
        <v/>
      </c>
      <c r="X12" s="33" t="str">
        <f aca="false">IF(N12="","",IF(COUNTIF(祝日!$A:$A,N12-364)&gt;0,1,0))</f>
        <v/>
      </c>
      <c r="Y12" s="17" t="str">
        <f aca="false">IF(N12="","",SUMIFS(先々月データ!$M:$M,先々月データ!$A:$A,N12))</f>
        <v/>
      </c>
      <c r="Z12" s="16" t="str">
        <f aca="false">IF(設定!$B$6="","",IF($A12&lt;=DAY(EOMONTH(設定!$B$6,0)),設定!$B$6+$A12-1,""))</f>
        <v/>
      </c>
      <c r="AA12" s="33" t="str">
        <f aca="false">IF(Z12="","",IF(COUNTIF(祝日!$A:$A,Z12)&gt;0,"祝",CHOOSE(WEEKDAY(Z12,2),"月","火","水","木","金","土","日")))</f>
        <v/>
      </c>
      <c r="AB12" s="17" t="str">
        <f aca="false">IF(Z12="","",SUMIFS(前年当月データ!$Q:$Q,前年当月データ!$A:$A,Z12))</f>
        <v/>
      </c>
      <c r="AC12" s="17" t="str">
        <f aca="false">IF(Z12="","",SUMIFS(前年当月データ!$Q:$Q,前年当月データ!$A:$A,Z12,前年当月データ!$K:$K,"&gt;=6",前年当月データ!$K:$K,"&lt;"&amp;設定!$B$10))</f>
        <v/>
      </c>
      <c r="AD12" s="17" t="str">
        <f aca="false">IF(Z12="","",AB12-AC12)</f>
        <v/>
      </c>
      <c r="AE12" s="17" t="str">
        <f aca="false">IF(Z12="","",SUMIFS(前年当月データ!$L:$L,前年当月データ!$A:$A,Z12))</f>
        <v/>
      </c>
    </row>
    <row r="13" customFormat="false" ht="15" hidden="false" customHeight="false" outlineLevel="0" collapsed="false">
      <c r="A13" s="47" t="n">
        <v>11</v>
      </c>
      <c r="B13" s="16" t="str">
        <f aca="false">IF(設定!$B$4="","",IF($A13&lt;=DAY(EOMONTH(設定!$B$4,0)),設定!$B$4+$A13-1,""))</f>
        <v/>
      </c>
      <c r="C13" s="33" t="str">
        <f aca="false">IF(B13="","",IF(COUNTIF(祝日!$A:$A,B13)&gt;0,"祝",CHOOSE(WEEKDAY(B13,2),"月","火","水","木","金","土","日")))</f>
        <v/>
      </c>
      <c r="D13" s="33" t="str">
        <f aca="false">IF(B13="","",CHOOSE(WEEKDAY(B13,2),"月","火","水","木","金","土","日"))</f>
        <v/>
      </c>
      <c r="E13" s="17" t="str">
        <f aca="false">IF(B13="","",SUMIFS(先月データ!$Q:$Q,先月データ!$A:$A,B13))</f>
        <v/>
      </c>
      <c r="F13" s="17" t="str">
        <f aca="false">IF(B13="","",SUMIFS(先月データ!$L:$L,先月データ!$A:$A,B13))</f>
        <v/>
      </c>
      <c r="G13" s="17" t="str">
        <f aca="false">IF(B13="","",SUMIFS(先月データ!$R:$R,先月データ!$A:$A,B13))</f>
        <v/>
      </c>
      <c r="H13" s="17" t="str">
        <f aca="false">IF(B13="","",SUMIFS(先月データ!$Q:$Q,先月データ!$A:$A,B13,先月データ!$K:$K,"&gt;=6",先月データ!$K:$K,"&lt;"&amp;設定!$B$10))</f>
        <v/>
      </c>
      <c r="I13" s="17" t="str">
        <f aca="false">IF(B13="","",E13-H13)</f>
        <v/>
      </c>
      <c r="J13" s="33" t="str">
        <f aca="false">IF(B13="","",IF(H13&gt;=設定!$B$13,1,0))</f>
        <v/>
      </c>
      <c r="K13" s="17" t="str">
        <f aca="false">IF(B13="","",G13-SUMIFS(先月データ!$R:$R,先月データ!$A:$A,B13,先月データ!$K:$K,"&gt;=6",先月データ!$K:$K,"&lt;"&amp;設定!$B$10))</f>
        <v/>
      </c>
      <c r="L13" s="33" t="str">
        <f aca="false">IF(B13="","",IF(COUNTIF(祝日!$A:$A,B13-364)&gt;0,1,0))</f>
        <v/>
      </c>
      <c r="M13" s="17" t="str">
        <f aca="false">IF(B13="","",SUMIFS(先月データ!$M:$M,先月データ!$A:$A,B13))</f>
        <v/>
      </c>
      <c r="N13" s="16" t="str">
        <f aca="false">IF(設定!$B$5="","",IF($A13&lt;=DAY(EOMONTH(設定!$B$5,0)),設定!$B$5+$A13-1,""))</f>
        <v/>
      </c>
      <c r="O13" s="33" t="str">
        <f aca="false">IF(N13="","",IF(COUNTIF(祝日!$A:$A,N13)&gt;0,"祝",CHOOSE(WEEKDAY(N13,2),"月","火","水","木","金","土","日")))</f>
        <v/>
      </c>
      <c r="P13" s="33" t="str">
        <f aca="false">IF(N13="","",CHOOSE(WEEKDAY(N13,2),"月","火","水","木","金","土","日"))</f>
        <v/>
      </c>
      <c r="Q13" s="17" t="str">
        <f aca="false">IF(N13="","",SUMIFS(先々月データ!$Q:$Q,先々月データ!$A:$A,N13))</f>
        <v/>
      </c>
      <c r="R13" s="17" t="str">
        <f aca="false">IF(N13="","",SUMIFS(先々月データ!$L:$L,先々月データ!$A:$A,N13))</f>
        <v/>
      </c>
      <c r="S13" s="17" t="str">
        <f aca="false">IF(N13="","",SUMIFS(先々月データ!$R:$R,先々月データ!$A:$A,N13))</f>
        <v/>
      </c>
      <c r="T13" s="17" t="str">
        <f aca="false">IF(N13="","",SUMIFS(先々月データ!$Q:$Q,先々月データ!$A:$A,N13,先々月データ!$K:$K,"&gt;=6",先々月データ!$K:$K,"&lt;"&amp;設定!$B$10))</f>
        <v/>
      </c>
      <c r="U13" s="17" t="str">
        <f aca="false">IF(N13="","",Q13-T13)</f>
        <v/>
      </c>
      <c r="V13" s="33" t="str">
        <f aca="false">IF(N13="","",IF(T13&gt;=設定!$B$13,1,0))</f>
        <v/>
      </c>
      <c r="W13" s="17" t="str">
        <f aca="false">IF(N13="","",S13-SUMIFS(先々月データ!$R:$R,先々月データ!$A:$A,N13,先々月データ!$K:$K,"&gt;=6",先々月データ!$K:$K,"&lt;"&amp;設定!$B$10))</f>
        <v/>
      </c>
      <c r="X13" s="33" t="str">
        <f aca="false">IF(N13="","",IF(COUNTIF(祝日!$A:$A,N13-364)&gt;0,1,0))</f>
        <v/>
      </c>
      <c r="Y13" s="17" t="str">
        <f aca="false">IF(N13="","",SUMIFS(先々月データ!$M:$M,先々月データ!$A:$A,N13))</f>
        <v/>
      </c>
      <c r="Z13" s="16" t="str">
        <f aca="false">IF(設定!$B$6="","",IF($A13&lt;=DAY(EOMONTH(設定!$B$6,0)),設定!$B$6+$A13-1,""))</f>
        <v/>
      </c>
      <c r="AA13" s="33" t="str">
        <f aca="false">IF(Z13="","",IF(COUNTIF(祝日!$A:$A,Z13)&gt;0,"祝",CHOOSE(WEEKDAY(Z13,2),"月","火","水","木","金","土","日")))</f>
        <v/>
      </c>
      <c r="AB13" s="17" t="str">
        <f aca="false">IF(Z13="","",SUMIFS(前年当月データ!$Q:$Q,前年当月データ!$A:$A,Z13))</f>
        <v/>
      </c>
      <c r="AC13" s="17" t="str">
        <f aca="false">IF(Z13="","",SUMIFS(前年当月データ!$Q:$Q,前年当月データ!$A:$A,Z13,前年当月データ!$K:$K,"&gt;=6",前年当月データ!$K:$K,"&lt;"&amp;設定!$B$10))</f>
        <v/>
      </c>
      <c r="AD13" s="17" t="str">
        <f aca="false">IF(Z13="","",AB13-AC13)</f>
        <v/>
      </c>
      <c r="AE13" s="17" t="str">
        <f aca="false">IF(Z13="","",SUMIFS(前年当月データ!$L:$L,前年当月データ!$A:$A,Z13))</f>
        <v/>
      </c>
    </row>
    <row r="14" customFormat="false" ht="15" hidden="false" customHeight="false" outlineLevel="0" collapsed="false">
      <c r="A14" s="47" t="n">
        <v>12</v>
      </c>
      <c r="B14" s="16" t="str">
        <f aca="false">IF(設定!$B$4="","",IF($A14&lt;=DAY(EOMONTH(設定!$B$4,0)),設定!$B$4+$A14-1,""))</f>
        <v/>
      </c>
      <c r="C14" s="33" t="str">
        <f aca="false">IF(B14="","",IF(COUNTIF(祝日!$A:$A,B14)&gt;0,"祝",CHOOSE(WEEKDAY(B14,2),"月","火","水","木","金","土","日")))</f>
        <v/>
      </c>
      <c r="D14" s="33" t="str">
        <f aca="false">IF(B14="","",CHOOSE(WEEKDAY(B14,2),"月","火","水","木","金","土","日"))</f>
        <v/>
      </c>
      <c r="E14" s="17" t="str">
        <f aca="false">IF(B14="","",SUMIFS(先月データ!$Q:$Q,先月データ!$A:$A,B14))</f>
        <v/>
      </c>
      <c r="F14" s="17" t="str">
        <f aca="false">IF(B14="","",SUMIFS(先月データ!$L:$L,先月データ!$A:$A,B14))</f>
        <v/>
      </c>
      <c r="G14" s="17" t="str">
        <f aca="false">IF(B14="","",SUMIFS(先月データ!$R:$R,先月データ!$A:$A,B14))</f>
        <v/>
      </c>
      <c r="H14" s="17" t="str">
        <f aca="false">IF(B14="","",SUMIFS(先月データ!$Q:$Q,先月データ!$A:$A,B14,先月データ!$K:$K,"&gt;=6",先月データ!$K:$K,"&lt;"&amp;設定!$B$10))</f>
        <v/>
      </c>
      <c r="I14" s="17" t="str">
        <f aca="false">IF(B14="","",E14-H14)</f>
        <v/>
      </c>
      <c r="J14" s="33" t="str">
        <f aca="false">IF(B14="","",IF(H14&gt;=設定!$B$13,1,0))</f>
        <v/>
      </c>
      <c r="K14" s="17" t="str">
        <f aca="false">IF(B14="","",G14-SUMIFS(先月データ!$R:$R,先月データ!$A:$A,B14,先月データ!$K:$K,"&gt;=6",先月データ!$K:$K,"&lt;"&amp;設定!$B$10))</f>
        <v/>
      </c>
      <c r="L14" s="33" t="str">
        <f aca="false">IF(B14="","",IF(COUNTIF(祝日!$A:$A,B14-364)&gt;0,1,0))</f>
        <v/>
      </c>
      <c r="M14" s="17" t="str">
        <f aca="false">IF(B14="","",SUMIFS(先月データ!$M:$M,先月データ!$A:$A,B14))</f>
        <v/>
      </c>
      <c r="N14" s="16" t="str">
        <f aca="false">IF(設定!$B$5="","",IF($A14&lt;=DAY(EOMONTH(設定!$B$5,0)),設定!$B$5+$A14-1,""))</f>
        <v/>
      </c>
      <c r="O14" s="33" t="str">
        <f aca="false">IF(N14="","",IF(COUNTIF(祝日!$A:$A,N14)&gt;0,"祝",CHOOSE(WEEKDAY(N14,2),"月","火","水","木","金","土","日")))</f>
        <v/>
      </c>
      <c r="P14" s="33" t="str">
        <f aca="false">IF(N14="","",CHOOSE(WEEKDAY(N14,2),"月","火","水","木","金","土","日"))</f>
        <v/>
      </c>
      <c r="Q14" s="17" t="str">
        <f aca="false">IF(N14="","",SUMIFS(先々月データ!$Q:$Q,先々月データ!$A:$A,N14))</f>
        <v/>
      </c>
      <c r="R14" s="17" t="str">
        <f aca="false">IF(N14="","",SUMIFS(先々月データ!$L:$L,先々月データ!$A:$A,N14))</f>
        <v/>
      </c>
      <c r="S14" s="17" t="str">
        <f aca="false">IF(N14="","",SUMIFS(先々月データ!$R:$R,先々月データ!$A:$A,N14))</f>
        <v/>
      </c>
      <c r="T14" s="17" t="str">
        <f aca="false">IF(N14="","",SUMIFS(先々月データ!$Q:$Q,先々月データ!$A:$A,N14,先々月データ!$K:$K,"&gt;=6",先々月データ!$K:$K,"&lt;"&amp;設定!$B$10))</f>
        <v/>
      </c>
      <c r="U14" s="17" t="str">
        <f aca="false">IF(N14="","",Q14-T14)</f>
        <v/>
      </c>
      <c r="V14" s="33" t="str">
        <f aca="false">IF(N14="","",IF(T14&gt;=設定!$B$13,1,0))</f>
        <v/>
      </c>
      <c r="W14" s="17" t="str">
        <f aca="false">IF(N14="","",S14-SUMIFS(先々月データ!$R:$R,先々月データ!$A:$A,N14,先々月データ!$K:$K,"&gt;=6",先々月データ!$K:$K,"&lt;"&amp;設定!$B$10))</f>
        <v/>
      </c>
      <c r="X14" s="33" t="str">
        <f aca="false">IF(N14="","",IF(COUNTIF(祝日!$A:$A,N14-364)&gt;0,1,0))</f>
        <v/>
      </c>
      <c r="Y14" s="17" t="str">
        <f aca="false">IF(N14="","",SUMIFS(先々月データ!$M:$M,先々月データ!$A:$A,N14))</f>
        <v/>
      </c>
      <c r="Z14" s="16" t="str">
        <f aca="false">IF(設定!$B$6="","",IF($A14&lt;=DAY(EOMONTH(設定!$B$6,0)),設定!$B$6+$A14-1,""))</f>
        <v/>
      </c>
      <c r="AA14" s="33" t="str">
        <f aca="false">IF(Z14="","",IF(COUNTIF(祝日!$A:$A,Z14)&gt;0,"祝",CHOOSE(WEEKDAY(Z14,2),"月","火","水","木","金","土","日")))</f>
        <v/>
      </c>
      <c r="AB14" s="17" t="str">
        <f aca="false">IF(Z14="","",SUMIFS(前年当月データ!$Q:$Q,前年当月データ!$A:$A,Z14))</f>
        <v/>
      </c>
      <c r="AC14" s="17" t="str">
        <f aca="false">IF(Z14="","",SUMIFS(前年当月データ!$Q:$Q,前年当月データ!$A:$A,Z14,前年当月データ!$K:$K,"&gt;=6",前年当月データ!$K:$K,"&lt;"&amp;設定!$B$10))</f>
        <v/>
      </c>
      <c r="AD14" s="17" t="str">
        <f aca="false">IF(Z14="","",AB14-AC14)</f>
        <v/>
      </c>
      <c r="AE14" s="17" t="str">
        <f aca="false">IF(Z14="","",SUMIFS(前年当月データ!$L:$L,前年当月データ!$A:$A,Z14))</f>
        <v/>
      </c>
    </row>
    <row r="15" customFormat="false" ht="15" hidden="false" customHeight="false" outlineLevel="0" collapsed="false">
      <c r="A15" s="47" t="n">
        <v>13</v>
      </c>
      <c r="B15" s="16" t="str">
        <f aca="false">IF(設定!$B$4="","",IF($A15&lt;=DAY(EOMONTH(設定!$B$4,0)),設定!$B$4+$A15-1,""))</f>
        <v/>
      </c>
      <c r="C15" s="33" t="str">
        <f aca="false">IF(B15="","",IF(COUNTIF(祝日!$A:$A,B15)&gt;0,"祝",CHOOSE(WEEKDAY(B15,2),"月","火","水","木","金","土","日")))</f>
        <v/>
      </c>
      <c r="D15" s="33" t="str">
        <f aca="false">IF(B15="","",CHOOSE(WEEKDAY(B15,2),"月","火","水","木","金","土","日"))</f>
        <v/>
      </c>
      <c r="E15" s="17" t="str">
        <f aca="false">IF(B15="","",SUMIFS(先月データ!$Q:$Q,先月データ!$A:$A,B15))</f>
        <v/>
      </c>
      <c r="F15" s="17" t="str">
        <f aca="false">IF(B15="","",SUMIFS(先月データ!$L:$L,先月データ!$A:$A,B15))</f>
        <v/>
      </c>
      <c r="G15" s="17" t="str">
        <f aca="false">IF(B15="","",SUMIFS(先月データ!$R:$R,先月データ!$A:$A,B15))</f>
        <v/>
      </c>
      <c r="H15" s="17" t="str">
        <f aca="false">IF(B15="","",SUMIFS(先月データ!$Q:$Q,先月データ!$A:$A,B15,先月データ!$K:$K,"&gt;=6",先月データ!$K:$K,"&lt;"&amp;設定!$B$10))</f>
        <v/>
      </c>
      <c r="I15" s="17" t="str">
        <f aca="false">IF(B15="","",E15-H15)</f>
        <v/>
      </c>
      <c r="J15" s="33" t="str">
        <f aca="false">IF(B15="","",IF(H15&gt;=設定!$B$13,1,0))</f>
        <v/>
      </c>
      <c r="K15" s="17" t="str">
        <f aca="false">IF(B15="","",G15-SUMIFS(先月データ!$R:$R,先月データ!$A:$A,B15,先月データ!$K:$K,"&gt;=6",先月データ!$K:$K,"&lt;"&amp;設定!$B$10))</f>
        <v/>
      </c>
      <c r="L15" s="33" t="str">
        <f aca="false">IF(B15="","",IF(COUNTIF(祝日!$A:$A,B15-364)&gt;0,1,0))</f>
        <v/>
      </c>
      <c r="M15" s="17" t="str">
        <f aca="false">IF(B15="","",SUMIFS(先月データ!$M:$M,先月データ!$A:$A,B15))</f>
        <v/>
      </c>
      <c r="N15" s="16" t="str">
        <f aca="false">IF(設定!$B$5="","",IF($A15&lt;=DAY(EOMONTH(設定!$B$5,0)),設定!$B$5+$A15-1,""))</f>
        <v/>
      </c>
      <c r="O15" s="33" t="str">
        <f aca="false">IF(N15="","",IF(COUNTIF(祝日!$A:$A,N15)&gt;0,"祝",CHOOSE(WEEKDAY(N15,2),"月","火","水","木","金","土","日")))</f>
        <v/>
      </c>
      <c r="P15" s="33" t="str">
        <f aca="false">IF(N15="","",CHOOSE(WEEKDAY(N15,2),"月","火","水","木","金","土","日"))</f>
        <v/>
      </c>
      <c r="Q15" s="17" t="str">
        <f aca="false">IF(N15="","",SUMIFS(先々月データ!$Q:$Q,先々月データ!$A:$A,N15))</f>
        <v/>
      </c>
      <c r="R15" s="17" t="str">
        <f aca="false">IF(N15="","",SUMIFS(先々月データ!$L:$L,先々月データ!$A:$A,N15))</f>
        <v/>
      </c>
      <c r="S15" s="17" t="str">
        <f aca="false">IF(N15="","",SUMIFS(先々月データ!$R:$R,先々月データ!$A:$A,N15))</f>
        <v/>
      </c>
      <c r="T15" s="17" t="str">
        <f aca="false">IF(N15="","",SUMIFS(先々月データ!$Q:$Q,先々月データ!$A:$A,N15,先々月データ!$K:$K,"&gt;=6",先々月データ!$K:$K,"&lt;"&amp;設定!$B$10))</f>
        <v/>
      </c>
      <c r="U15" s="17" t="str">
        <f aca="false">IF(N15="","",Q15-T15)</f>
        <v/>
      </c>
      <c r="V15" s="33" t="str">
        <f aca="false">IF(N15="","",IF(T15&gt;=設定!$B$13,1,0))</f>
        <v/>
      </c>
      <c r="W15" s="17" t="str">
        <f aca="false">IF(N15="","",S15-SUMIFS(先々月データ!$R:$R,先々月データ!$A:$A,N15,先々月データ!$K:$K,"&gt;=6",先々月データ!$K:$K,"&lt;"&amp;設定!$B$10))</f>
        <v/>
      </c>
      <c r="X15" s="33" t="str">
        <f aca="false">IF(N15="","",IF(COUNTIF(祝日!$A:$A,N15-364)&gt;0,1,0))</f>
        <v/>
      </c>
      <c r="Y15" s="17" t="str">
        <f aca="false">IF(N15="","",SUMIFS(先々月データ!$M:$M,先々月データ!$A:$A,N15))</f>
        <v/>
      </c>
      <c r="Z15" s="16" t="str">
        <f aca="false">IF(設定!$B$6="","",IF($A15&lt;=DAY(EOMONTH(設定!$B$6,0)),設定!$B$6+$A15-1,""))</f>
        <v/>
      </c>
      <c r="AA15" s="33" t="str">
        <f aca="false">IF(Z15="","",IF(COUNTIF(祝日!$A:$A,Z15)&gt;0,"祝",CHOOSE(WEEKDAY(Z15,2),"月","火","水","木","金","土","日")))</f>
        <v/>
      </c>
      <c r="AB15" s="17" t="str">
        <f aca="false">IF(Z15="","",SUMIFS(前年当月データ!$Q:$Q,前年当月データ!$A:$A,Z15))</f>
        <v/>
      </c>
      <c r="AC15" s="17" t="str">
        <f aca="false">IF(Z15="","",SUMIFS(前年当月データ!$Q:$Q,前年当月データ!$A:$A,Z15,前年当月データ!$K:$K,"&gt;=6",前年当月データ!$K:$K,"&lt;"&amp;設定!$B$10))</f>
        <v/>
      </c>
      <c r="AD15" s="17" t="str">
        <f aca="false">IF(Z15="","",AB15-AC15)</f>
        <v/>
      </c>
      <c r="AE15" s="17" t="str">
        <f aca="false">IF(Z15="","",SUMIFS(前年当月データ!$L:$L,前年当月データ!$A:$A,Z15))</f>
        <v/>
      </c>
    </row>
    <row r="16" customFormat="false" ht="15" hidden="false" customHeight="false" outlineLevel="0" collapsed="false">
      <c r="A16" s="47" t="n">
        <v>14</v>
      </c>
      <c r="B16" s="16" t="str">
        <f aca="false">IF(設定!$B$4="","",IF($A16&lt;=DAY(EOMONTH(設定!$B$4,0)),設定!$B$4+$A16-1,""))</f>
        <v/>
      </c>
      <c r="C16" s="33" t="str">
        <f aca="false">IF(B16="","",IF(COUNTIF(祝日!$A:$A,B16)&gt;0,"祝",CHOOSE(WEEKDAY(B16,2),"月","火","水","木","金","土","日")))</f>
        <v/>
      </c>
      <c r="D16" s="33" t="str">
        <f aca="false">IF(B16="","",CHOOSE(WEEKDAY(B16,2),"月","火","水","木","金","土","日"))</f>
        <v/>
      </c>
      <c r="E16" s="17" t="str">
        <f aca="false">IF(B16="","",SUMIFS(先月データ!$Q:$Q,先月データ!$A:$A,B16))</f>
        <v/>
      </c>
      <c r="F16" s="17" t="str">
        <f aca="false">IF(B16="","",SUMIFS(先月データ!$L:$L,先月データ!$A:$A,B16))</f>
        <v/>
      </c>
      <c r="G16" s="17" t="str">
        <f aca="false">IF(B16="","",SUMIFS(先月データ!$R:$R,先月データ!$A:$A,B16))</f>
        <v/>
      </c>
      <c r="H16" s="17" t="str">
        <f aca="false">IF(B16="","",SUMIFS(先月データ!$Q:$Q,先月データ!$A:$A,B16,先月データ!$K:$K,"&gt;=6",先月データ!$K:$K,"&lt;"&amp;設定!$B$10))</f>
        <v/>
      </c>
      <c r="I16" s="17" t="str">
        <f aca="false">IF(B16="","",E16-H16)</f>
        <v/>
      </c>
      <c r="J16" s="33" t="str">
        <f aca="false">IF(B16="","",IF(H16&gt;=設定!$B$13,1,0))</f>
        <v/>
      </c>
      <c r="K16" s="17" t="str">
        <f aca="false">IF(B16="","",G16-SUMIFS(先月データ!$R:$R,先月データ!$A:$A,B16,先月データ!$K:$K,"&gt;=6",先月データ!$K:$K,"&lt;"&amp;設定!$B$10))</f>
        <v/>
      </c>
      <c r="L16" s="33" t="str">
        <f aca="false">IF(B16="","",IF(COUNTIF(祝日!$A:$A,B16-364)&gt;0,1,0))</f>
        <v/>
      </c>
      <c r="M16" s="17" t="str">
        <f aca="false">IF(B16="","",SUMIFS(先月データ!$M:$M,先月データ!$A:$A,B16))</f>
        <v/>
      </c>
      <c r="N16" s="16" t="str">
        <f aca="false">IF(設定!$B$5="","",IF($A16&lt;=DAY(EOMONTH(設定!$B$5,0)),設定!$B$5+$A16-1,""))</f>
        <v/>
      </c>
      <c r="O16" s="33" t="str">
        <f aca="false">IF(N16="","",IF(COUNTIF(祝日!$A:$A,N16)&gt;0,"祝",CHOOSE(WEEKDAY(N16,2),"月","火","水","木","金","土","日")))</f>
        <v/>
      </c>
      <c r="P16" s="33" t="str">
        <f aca="false">IF(N16="","",CHOOSE(WEEKDAY(N16,2),"月","火","水","木","金","土","日"))</f>
        <v/>
      </c>
      <c r="Q16" s="17" t="str">
        <f aca="false">IF(N16="","",SUMIFS(先々月データ!$Q:$Q,先々月データ!$A:$A,N16))</f>
        <v/>
      </c>
      <c r="R16" s="17" t="str">
        <f aca="false">IF(N16="","",SUMIFS(先々月データ!$L:$L,先々月データ!$A:$A,N16))</f>
        <v/>
      </c>
      <c r="S16" s="17" t="str">
        <f aca="false">IF(N16="","",SUMIFS(先々月データ!$R:$R,先々月データ!$A:$A,N16))</f>
        <v/>
      </c>
      <c r="T16" s="17" t="str">
        <f aca="false">IF(N16="","",SUMIFS(先々月データ!$Q:$Q,先々月データ!$A:$A,N16,先々月データ!$K:$K,"&gt;=6",先々月データ!$K:$K,"&lt;"&amp;設定!$B$10))</f>
        <v/>
      </c>
      <c r="U16" s="17" t="str">
        <f aca="false">IF(N16="","",Q16-T16)</f>
        <v/>
      </c>
      <c r="V16" s="33" t="str">
        <f aca="false">IF(N16="","",IF(T16&gt;=設定!$B$13,1,0))</f>
        <v/>
      </c>
      <c r="W16" s="17" t="str">
        <f aca="false">IF(N16="","",S16-SUMIFS(先々月データ!$R:$R,先々月データ!$A:$A,N16,先々月データ!$K:$K,"&gt;=6",先々月データ!$K:$K,"&lt;"&amp;設定!$B$10))</f>
        <v/>
      </c>
      <c r="X16" s="33" t="str">
        <f aca="false">IF(N16="","",IF(COUNTIF(祝日!$A:$A,N16-364)&gt;0,1,0))</f>
        <v/>
      </c>
      <c r="Y16" s="17" t="str">
        <f aca="false">IF(N16="","",SUMIFS(先々月データ!$M:$M,先々月データ!$A:$A,N16))</f>
        <v/>
      </c>
      <c r="Z16" s="16" t="str">
        <f aca="false">IF(設定!$B$6="","",IF($A16&lt;=DAY(EOMONTH(設定!$B$6,0)),設定!$B$6+$A16-1,""))</f>
        <v/>
      </c>
      <c r="AA16" s="33" t="str">
        <f aca="false">IF(Z16="","",IF(COUNTIF(祝日!$A:$A,Z16)&gt;0,"祝",CHOOSE(WEEKDAY(Z16,2),"月","火","水","木","金","土","日")))</f>
        <v/>
      </c>
      <c r="AB16" s="17" t="str">
        <f aca="false">IF(Z16="","",SUMIFS(前年当月データ!$Q:$Q,前年当月データ!$A:$A,Z16))</f>
        <v/>
      </c>
      <c r="AC16" s="17" t="str">
        <f aca="false">IF(Z16="","",SUMIFS(前年当月データ!$Q:$Q,前年当月データ!$A:$A,Z16,前年当月データ!$K:$K,"&gt;=6",前年当月データ!$K:$K,"&lt;"&amp;設定!$B$10))</f>
        <v/>
      </c>
      <c r="AD16" s="17" t="str">
        <f aca="false">IF(Z16="","",AB16-AC16)</f>
        <v/>
      </c>
      <c r="AE16" s="17" t="str">
        <f aca="false">IF(Z16="","",SUMIFS(前年当月データ!$L:$L,前年当月データ!$A:$A,Z16))</f>
        <v/>
      </c>
    </row>
    <row r="17" customFormat="false" ht="15" hidden="false" customHeight="false" outlineLevel="0" collapsed="false">
      <c r="A17" s="47" t="n">
        <v>15</v>
      </c>
      <c r="B17" s="16" t="str">
        <f aca="false">IF(設定!$B$4="","",IF($A17&lt;=DAY(EOMONTH(設定!$B$4,0)),設定!$B$4+$A17-1,""))</f>
        <v/>
      </c>
      <c r="C17" s="33" t="str">
        <f aca="false">IF(B17="","",IF(COUNTIF(祝日!$A:$A,B17)&gt;0,"祝",CHOOSE(WEEKDAY(B17,2),"月","火","水","木","金","土","日")))</f>
        <v/>
      </c>
      <c r="D17" s="33" t="str">
        <f aca="false">IF(B17="","",CHOOSE(WEEKDAY(B17,2),"月","火","水","木","金","土","日"))</f>
        <v/>
      </c>
      <c r="E17" s="17" t="str">
        <f aca="false">IF(B17="","",SUMIFS(先月データ!$Q:$Q,先月データ!$A:$A,B17))</f>
        <v/>
      </c>
      <c r="F17" s="17" t="str">
        <f aca="false">IF(B17="","",SUMIFS(先月データ!$L:$L,先月データ!$A:$A,B17))</f>
        <v/>
      </c>
      <c r="G17" s="17" t="str">
        <f aca="false">IF(B17="","",SUMIFS(先月データ!$R:$R,先月データ!$A:$A,B17))</f>
        <v/>
      </c>
      <c r="H17" s="17" t="str">
        <f aca="false">IF(B17="","",SUMIFS(先月データ!$Q:$Q,先月データ!$A:$A,B17,先月データ!$K:$K,"&gt;=6",先月データ!$K:$K,"&lt;"&amp;設定!$B$10))</f>
        <v/>
      </c>
      <c r="I17" s="17" t="str">
        <f aca="false">IF(B17="","",E17-H17)</f>
        <v/>
      </c>
      <c r="J17" s="33" t="str">
        <f aca="false">IF(B17="","",IF(H17&gt;=設定!$B$13,1,0))</f>
        <v/>
      </c>
      <c r="K17" s="17" t="str">
        <f aca="false">IF(B17="","",G17-SUMIFS(先月データ!$R:$R,先月データ!$A:$A,B17,先月データ!$K:$K,"&gt;=6",先月データ!$K:$K,"&lt;"&amp;設定!$B$10))</f>
        <v/>
      </c>
      <c r="L17" s="33" t="str">
        <f aca="false">IF(B17="","",IF(COUNTIF(祝日!$A:$A,B17-364)&gt;0,1,0))</f>
        <v/>
      </c>
      <c r="M17" s="17" t="str">
        <f aca="false">IF(B17="","",SUMIFS(先月データ!$M:$M,先月データ!$A:$A,B17))</f>
        <v/>
      </c>
      <c r="N17" s="16" t="str">
        <f aca="false">IF(設定!$B$5="","",IF($A17&lt;=DAY(EOMONTH(設定!$B$5,0)),設定!$B$5+$A17-1,""))</f>
        <v/>
      </c>
      <c r="O17" s="33" t="str">
        <f aca="false">IF(N17="","",IF(COUNTIF(祝日!$A:$A,N17)&gt;0,"祝",CHOOSE(WEEKDAY(N17,2),"月","火","水","木","金","土","日")))</f>
        <v/>
      </c>
      <c r="P17" s="33" t="str">
        <f aca="false">IF(N17="","",CHOOSE(WEEKDAY(N17,2),"月","火","水","木","金","土","日"))</f>
        <v/>
      </c>
      <c r="Q17" s="17" t="str">
        <f aca="false">IF(N17="","",SUMIFS(先々月データ!$Q:$Q,先々月データ!$A:$A,N17))</f>
        <v/>
      </c>
      <c r="R17" s="17" t="str">
        <f aca="false">IF(N17="","",SUMIFS(先々月データ!$L:$L,先々月データ!$A:$A,N17))</f>
        <v/>
      </c>
      <c r="S17" s="17" t="str">
        <f aca="false">IF(N17="","",SUMIFS(先々月データ!$R:$R,先々月データ!$A:$A,N17))</f>
        <v/>
      </c>
      <c r="T17" s="17" t="str">
        <f aca="false">IF(N17="","",SUMIFS(先々月データ!$Q:$Q,先々月データ!$A:$A,N17,先々月データ!$K:$K,"&gt;=6",先々月データ!$K:$K,"&lt;"&amp;設定!$B$10))</f>
        <v/>
      </c>
      <c r="U17" s="17" t="str">
        <f aca="false">IF(N17="","",Q17-T17)</f>
        <v/>
      </c>
      <c r="V17" s="33" t="str">
        <f aca="false">IF(N17="","",IF(T17&gt;=設定!$B$13,1,0))</f>
        <v/>
      </c>
      <c r="W17" s="17" t="str">
        <f aca="false">IF(N17="","",S17-SUMIFS(先々月データ!$R:$R,先々月データ!$A:$A,N17,先々月データ!$K:$K,"&gt;=6",先々月データ!$K:$K,"&lt;"&amp;設定!$B$10))</f>
        <v/>
      </c>
      <c r="X17" s="33" t="str">
        <f aca="false">IF(N17="","",IF(COUNTIF(祝日!$A:$A,N17-364)&gt;0,1,0))</f>
        <v/>
      </c>
      <c r="Y17" s="17" t="str">
        <f aca="false">IF(N17="","",SUMIFS(先々月データ!$M:$M,先々月データ!$A:$A,N17))</f>
        <v/>
      </c>
      <c r="Z17" s="16" t="str">
        <f aca="false">IF(設定!$B$6="","",IF($A17&lt;=DAY(EOMONTH(設定!$B$6,0)),設定!$B$6+$A17-1,""))</f>
        <v/>
      </c>
      <c r="AA17" s="33" t="str">
        <f aca="false">IF(Z17="","",IF(COUNTIF(祝日!$A:$A,Z17)&gt;0,"祝",CHOOSE(WEEKDAY(Z17,2),"月","火","水","木","金","土","日")))</f>
        <v/>
      </c>
      <c r="AB17" s="17" t="str">
        <f aca="false">IF(Z17="","",SUMIFS(前年当月データ!$Q:$Q,前年当月データ!$A:$A,Z17))</f>
        <v/>
      </c>
      <c r="AC17" s="17" t="str">
        <f aca="false">IF(Z17="","",SUMIFS(前年当月データ!$Q:$Q,前年当月データ!$A:$A,Z17,前年当月データ!$K:$K,"&gt;=6",前年当月データ!$K:$K,"&lt;"&amp;設定!$B$10))</f>
        <v/>
      </c>
      <c r="AD17" s="17" t="str">
        <f aca="false">IF(Z17="","",AB17-AC17)</f>
        <v/>
      </c>
      <c r="AE17" s="17" t="str">
        <f aca="false">IF(Z17="","",SUMIFS(前年当月データ!$L:$L,前年当月データ!$A:$A,Z17))</f>
        <v/>
      </c>
    </row>
    <row r="18" customFormat="false" ht="15" hidden="false" customHeight="false" outlineLevel="0" collapsed="false">
      <c r="A18" s="47" t="n">
        <v>16</v>
      </c>
      <c r="B18" s="16" t="str">
        <f aca="false">IF(設定!$B$4="","",IF($A18&lt;=DAY(EOMONTH(設定!$B$4,0)),設定!$B$4+$A18-1,""))</f>
        <v/>
      </c>
      <c r="C18" s="33" t="str">
        <f aca="false">IF(B18="","",IF(COUNTIF(祝日!$A:$A,B18)&gt;0,"祝",CHOOSE(WEEKDAY(B18,2),"月","火","水","木","金","土","日")))</f>
        <v/>
      </c>
      <c r="D18" s="33" t="str">
        <f aca="false">IF(B18="","",CHOOSE(WEEKDAY(B18,2),"月","火","水","木","金","土","日"))</f>
        <v/>
      </c>
      <c r="E18" s="17" t="str">
        <f aca="false">IF(B18="","",SUMIFS(先月データ!$Q:$Q,先月データ!$A:$A,B18))</f>
        <v/>
      </c>
      <c r="F18" s="17" t="str">
        <f aca="false">IF(B18="","",SUMIFS(先月データ!$L:$L,先月データ!$A:$A,B18))</f>
        <v/>
      </c>
      <c r="G18" s="17" t="str">
        <f aca="false">IF(B18="","",SUMIFS(先月データ!$R:$R,先月データ!$A:$A,B18))</f>
        <v/>
      </c>
      <c r="H18" s="17" t="str">
        <f aca="false">IF(B18="","",SUMIFS(先月データ!$Q:$Q,先月データ!$A:$A,B18,先月データ!$K:$K,"&gt;=6",先月データ!$K:$K,"&lt;"&amp;設定!$B$10))</f>
        <v/>
      </c>
      <c r="I18" s="17" t="str">
        <f aca="false">IF(B18="","",E18-H18)</f>
        <v/>
      </c>
      <c r="J18" s="33" t="str">
        <f aca="false">IF(B18="","",IF(H18&gt;=設定!$B$13,1,0))</f>
        <v/>
      </c>
      <c r="K18" s="17" t="str">
        <f aca="false">IF(B18="","",G18-SUMIFS(先月データ!$R:$R,先月データ!$A:$A,B18,先月データ!$K:$K,"&gt;=6",先月データ!$K:$K,"&lt;"&amp;設定!$B$10))</f>
        <v/>
      </c>
      <c r="L18" s="33" t="str">
        <f aca="false">IF(B18="","",IF(COUNTIF(祝日!$A:$A,B18-364)&gt;0,1,0))</f>
        <v/>
      </c>
      <c r="M18" s="17" t="str">
        <f aca="false">IF(B18="","",SUMIFS(先月データ!$M:$M,先月データ!$A:$A,B18))</f>
        <v/>
      </c>
      <c r="N18" s="16" t="str">
        <f aca="false">IF(設定!$B$5="","",IF($A18&lt;=DAY(EOMONTH(設定!$B$5,0)),設定!$B$5+$A18-1,""))</f>
        <v/>
      </c>
      <c r="O18" s="33" t="str">
        <f aca="false">IF(N18="","",IF(COUNTIF(祝日!$A:$A,N18)&gt;0,"祝",CHOOSE(WEEKDAY(N18,2),"月","火","水","木","金","土","日")))</f>
        <v/>
      </c>
      <c r="P18" s="33" t="str">
        <f aca="false">IF(N18="","",CHOOSE(WEEKDAY(N18,2),"月","火","水","木","金","土","日"))</f>
        <v/>
      </c>
      <c r="Q18" s="17" t="str">
        <f aca="false">IF(N18="","",SUMIFS(先々月データ!$Q:$Q,先々月データ!$A:$A,N18))</f>
        <v/>
      </c>
      <c r="R18" s="17" t="str">
        <f aca="false">IF(N18="","",SUMIFS(先々月データ!$L:$L,先々月データ!$A:$A,N18))</f>
        <v/>
      </c>
      <c r="S18" s="17" t="str">
        <f aca="false">IF(N18="","",SUMIFS(先々月データ!$R:$R,先々月データ!$A:$A,N18))</f>
        <v/>
      </c>
      <c r="T18" s="17" t="str">
        <f aca="false">IF(N18="","",SUMIFS(先々月データ!$Q:$Q,先々月データ!$A:$A,N18,先々月データ!$K:$K,"&gt;=6",先々月データ!$K:$K,"&lt;"&amp;設定!$B$10))</f>
        <v/>
      </c>
      <c r="U18" s="17" t="str">
        <f aca="false">IF(N18="","",Q18-T18)</f>
        <v/>
      </c>
      <c r="V18" s="33" t="str">
        <f aca="false">IF(N18="","",IF(T18&gt;=設定!$B$13,1,0))</f>
        <v/>
      </c>
      <c r="W18" s="17" t="str">
        <f aca="false">IF(N18="","",S18-SUMIFS(先々月データ!$R:$R,先々月データ!$A:$A,N18,先々月データ!$K:$K,"&gt;=6",先々月データ!$K:$K,"&lt;"&amp;設定!$B$10))</f>
        <v/>
      </c>
      <c r="X18" s="33" t="str">
        <f aca="false">IF(N18="","",IF(COUNTIF(祝日!$A:$A,N18-364)&gt;0,1,0))</f>
        <v/>
      </c>
      <c r="Y18" s="17" t="str">
        <f aca="false">IF(N18="","",SUMIFS(先々月データ!$M:$M,先々月データ!$A:$A,N18))</f>
        <v/>
      </c>
      <c r="Z18" s="16" t="str">
        <f aca="false">IF(設定!$B$6="","",IF($A18&lt;=DAY(EOMONTH(設定!$B$6,0)),設定!$B$6+$A18-1,""))</f>
        <v/>
      </c>
      <c r="AA18" s="33" t="str">
        <f aca="false">IF(Z18="","",IF(COUNTIF(祝日!$A:$A,Z18)&gt;0,"祝",CHOOSE(WEEKDAY(Z18,2),"月","火","水","木","金","土","日")))</f>
        <v/>
      </c>
      <c r="AB18" s="17" t="str">
        <f aca="false">IF(Z18="","",SUMIFS(前年当月データ!$Q:$Q,前年当月データ!$A:$A,Z18))</f>
        <v/>
      </c>
      <c r="AC18" s="17" t="str">
        <f aca="false">IF(Z18="","",SUMIFS(前年当月データ!$Q:$Q,前年当月データ!$A:$A,Z18,前年当月データ!$K:$K,"&gt;=6",前年当月データ!$K:$K,"&lt;"&amp;設定!$B$10))</f>
        <v/>
      </c>
      <c r="AD18" s="17" t="str">
        <f aca="false">IF(Z18="","",AB18-AC18)</f>
        <v/>
      </c>
      <c r="AE18" s="17" t="str">
        <f aca="false">IF(Z18="","",SUMIFS(前年当月データ!$L:$L,前年当月データ!$A:$A,Z18))</f>
        <v/>
      </c>
    </row>
    <row r="19" customFormat="false" ht="15" hidden="false" customHeight="false" outlineLevel="0" collapsed="false">
      <c r="A19" s="47" t="n">
        <v>17</v>
      </c>
      <c r="B19" s="16" t="str">
        <f aca="false">IF(設定!$B$4="","",IF($A19&lt;=DAY(EOMONTH(設定!$B$4,0)),設定!$B$4+$A19-1,""))</f>
        <v/>
      </c>
      <c r="C19" s="33" t="str">
        <f aca="false">IF(B19="","",IF(COUNTIF(祝日!$A:$A,B19)&gt;0,"祝",CHOOSE(WEEKDAY(B19,2),"月","火","水","木","金","土","日")))</f>
        <v/>
      </c>
      <c r="D19" s="33" t="str">
        <f aca="false">IF(B19="","",CHOOSE(WEEKDAY(B19,2),"月","火","水","木","金","土","日"))</f>
        <v/>
      </c>
      <c r="E19" s="17" t="str">
        <f aca="false">IF(B19="","",SUMIFS(先月データ!$Q:$Q,先月データ!$A:$A,B19))</f>
        <v/>
      </c>
      <c r="F19" s="17" t="str">
        <f aca="false">IF(B19="","",SUMIFS(先月データ!$L:$L,先月データ!$A:$A,B19))</f>
        <v/>
      </c>
      <c r="G19" s="17" t="str">
        <f aca="false">IF(B19="","",SUMIFS(先月データ!$R:$R,先月データ!$A:$A,B19))</f>
        <v/>
      </c>
      <c r="H19" s="17" t="str">
        <f aca="false">IF(B19="","",SUMIFS(先月データ!$Q:$Q,先月データ!$A:$A,B19,先月データ!$K:$K,"&gt;=6",先月データ!$K:$K,"&lt;"&amp;設定!$B$10))</f>
        <v/>
      </c>
      <c r="I19" s="17" t="str">
        <f aca="false">IF(B19="","",E19-H19)</f>
        <v/>
      </c>
      <c r="J19" s="33" t="str">
        <f aca="false">IF(B19="","",IF(H19&gt;=設定!$B$13,1,0))</f>
        <v/>
      </c>
      <c r="K19" s="17" t="str">
        <f aca="false">IF(B19="","",G19-SUMIFS(先月データ!$R:$R,先月データ!$A:$A,B19,先月データ!$K:$K,"&gt;=6",先月データ!$K:$K,"&lt;"&amp;設定!$B$10))</f>
        <v/>
      </c>
      <c r="L19" s="33" t="str">
        <f aca="false">IF(B19="","",IF(COUNTIF(祝日!$A:$A,B19-364)&gt;0,1,0))</f>
        <v/>
      </c>
      <c r="M19" s="17" t="str">
        <f aca="false">IF(B19="","",SUMIFS(先月データ!$M:$M,先月データ!$A:$A,B19))</f>
        <v/>
      </c>
      <c r="N19" s="16" t="str">
        <f aca="false">IF(設定!$B$5="","",IF($A19&lt;=DAY(EOMONTH(設定!$B$5,0)),設定!$B$5+$A19-1,""))</f>
        <v/>
      </c>
      <c r="O19" s="33" t="str">
        <f aca="false">IF(N19="","",IF(COUNTIF(祝日!$A:$A,N19)&gt;0,"祝",CHOOSE(WEEKDAY(N19,2),"月","火","水","木","金","土","日")))</f>
        <v/>
      </c>
      <c r="P19" s="33" t="str">
        <f aca="false">IF(N19="","",CHOOSE(WEEKDAY(N19,2),"月","火","水","木","金","土","日"))</f>
        <v/>
      </c>
      <c r="Q19" s="17" t="str">
        <f aca="false">IF(N19="","",SUMIFS(先々月データ!$Q:$Q,先々月データ!$A:$A,N19))</f>
        <v/>
      </c>
      <c r="R19" s="17" t="str">
        <f aca="false">IF(N19="","",SUMIFS(先々月データ!$L:$L,先々月データ!$A:$A,N19))</f>
        <v/>
      </c>
      <c r="S19" s="17" t="str">
        <f aca="false">IF(N19="","",SUMIFS(先々月データ!$R:$R,先々月データ!$A:$A,N19))</f>
        <v/>
      </c>
      <c r="T19" s="17" t="str">
        <f aca="false">IF(N19="","",SUMIFS(先々月データ!$Q:$Q,先々月データ!$A:$A,N19,先々月データ!$K:$K,"&gt;=6",先々月データ!$K:$K,"&lt;"&amp;設定!$B$10))</f>
        <v/>
      </c>
      <c r="U19" s="17" t="str">
        <f aca="false">IF(N19="","",Q19-T19)</f>
        <v/>
      </c>
      <c r="V19" s="33" t="str">
        <f aca="false">IF(N19="","",IF(T19&gt;=設定!$B$13,1,0))</f>
        <v/>
      </c>
      <c r="W19" s="17" t="str">
        <f aca="false">IF(N19="","",S19-SUMIFS(先々月データ!$R:$R,先々月データ!$A:$A,N19,先々月データ!$K:$K,"&gt;=6",先々月データ!$K:$K,"&lt;"&amp;設定!$B$10))</f>
        <v/>
      </c>
      <c r="X19" s="33" t="str">
        <f aca="false">IF(N19="","",IF(COUNTIF(祝日!$A:$A,N19-364)&gt;0,1,0))</f>
        <v/>
      </c>
      <c r="Y19" s="17" t="str">
        <f aca="false">IF(N19="","",SUMIFS(先々月データ!$M:$M,先々月データ!$A:$A,N19))</f>
        <v/>
      </c>
      <c r="Z19" s="16" t="str">
        <f aca="false">IF(設定!$B$6="","",IF($A19&lt;=DAY(EOMONTH(設定!$B$6,0)),設定!$B$6+$A19-1,""))</f>
        <v/>
      </c>
      <c r="AA19" s="33" t="str">
        <f aca="false">IF(Z19="","",IF(COUNTIF(祝日!$A:$A,Z19)&gt;0,"祝",CHOOSE(WEEKDAY(Z19,2),"月","火","水","木","金","土","日")))</f>
        <v/>
      </c>
      <c r="AB19" s="17" t="str">
        <f aca="false">IF(Z19="","",SUMIFS(前年当月データ!$Q:$Q,前年当月データ!$A:$A,Z19))</f>
        <v/>
      </c>
      <c r="AC19" s="17" t="str">
        <f aca="false">IF(Z19="","",SUMIFS(前年当月データ!$Q:$Q,前年当月データ!$A:$A,Z19,前年当月データ!$K:$K,"&gt;=6",前年当月データ!$K:$K,"&lt;"&amp;設定!$B$10))</f>
        <v/>
      </c>
      <c r="AD19" s="17" t="str">
        <f aca="false">IF(Z19="","",AB19-AC19)</f>
        <v/>
      </c>
      <c r="AE19" s="17" t="str">
        <f aca="false">IF(Z19="","",SUMIFS(前年当月データ!$L:$L,前年当月データ!$A:$A,Z19))</f>
        <v/>
      </c>
    </row>
    <row r="20" customFormat="false" ht="15" hidden="false" customHeight="false" outlineLevel="0" collapsed="false">
      <c r="A20" s="47" t="n">
        <v>18</v>
      </c>
      <c r="B20" s="16" t="str">
        <f aca="false">IF(設定!$B$4="","",IF($A20&lt;=DAY(EOMONTH(設定!$B$4,0)),設定!$B$4+$A20-1,""))</f>
        <v/>
      </c>
      <c r="C20" s="33" t="str">
        <f aca="false">IF(B20="","",IF(COUNTIF(祝日!$A:$A,B20)&gt;0,"祝",CHOOSE(WEEKDAY(B20,2),"月","火","水","木","金","土","日")))</f>
        <v/>
      </c>
      <c r="D20" s="33" t="str">
        <f aca="false">IF(B20="","",CHOOSE(WEEKDAY(B20,2),"月","火","水","木","金","土","日"))</f>
        <v/>
      </c>
      <c r="E20" s="17" t="str">
        <f aca="false">IF(B20="","",SUMIFS(先月データ!$Q:$Q,先月データ!$A:$A,B20))</f>
        <v/>
      </c>
      <c r="F20" s="17" t="str">
        <f aca="false">IF(B20="","",SUMIFS(先月データ!$L:$L,先月データ!$A:$A,B20))</f>
        <v/>
      </c>
      <c r="G20" s="17" t="str">
        <f aca="false">IF(B20="","",SUMIFS(先月データ!$R:$R,先月データ!$A:$A,B20))</f>
        <v/>
      </c>
      <c r="H20" s="17" t="str">
        <f aca="false">IF(B20="","",SUMIFS(先月データ!$Q:$Q,先月データ!$A:$A,B20,先月データ!$K:$K,"&gt;=6",先月データ!$K:$K,"&lt;"&amp;設定!$B$10))</f>
        <v/>
      </c>
      <c r="I20" s="17" t="str">
        <f aca="false">IF(B20="","",E20-H20)</f>
        <v/>
      </c>
      <c r="J20" s="33" t="str">
        <f aca="false">IF(B20="","",IF(H20&gt;=設定!$B$13,1,0))</f>
        <v/>
      </c>
      <c r="K20" s="17" t="str">
        <f aca="false">IF(B20="","",G20-SUMIFS(先月データ!$R:$R,先月データ!$A:$A,B20,先月データ!$K:$K,"&gt;=6",先月データ!$K:$K,"&lt;"&amp;設定!$B$10))</f>
        <v/>
      </c>
      <c r="L20" s="33" t="str">
        <f aca="false">IF(B20="","",IF(COUNTIF(祝日!$A:$A,B20-364)&gt;0,1,0))</f>
        <v/>
      </c>
      <c r="M20" s="17" t="str">
        <f aca="false">IF(B20="","",SUMIFS(先月データ!$M:$M,先月データ!$A:$A,B20))</f>
        <v/>
      </c>
      <c r="N20" s="16" t="str">
        <f aca="false">IF(設定!$B$5="","",IF($A20&lt;=DAY(EOMONTH(設定!$B$5,0)),設定!$B$5+$A20-1,""))</f>
        <v/>
      </c>
      <c r="O20" s="33" t="str">
        <f aca="false">IF(N20="","",IF(COUNTIF(祝日!$A:$A,N20)&gt;0,"祝",CHOOSE(WEEKDAY(N20,2),"月","火","水","木","金","土","日")))</f>
        <v/>
      </c>
      <c r="P20" s="33" t="str">
        <f aca="false">IF(N20="","",CHOOSE(WEEKDAY(N20,2),"月","火","水","木","金","土","日"))</f>
        <v/>
      </c>
      <c r="Q20" s="17" t="str">
        <f aca="false">IF(N20="","",SUMIFS(先々月データ!$Q:$Q,先々月データ!$A:$A,N20))</f>
        <v/>
      </c>
      <c r="R20" s="17" t="str">
        <f aca="false">IF(N20="","",SUMIFS(先々月データ!$L:$L,先々月データ!$A:$A,N20))</f>
        <v/>
      </c>
      <c r="S20" s="17" t="str">
        <f aca="false">IF(N20="","",SUMIFS(先々月データ!$R:$R,先々月データ!$A:$A,N20))</f>
        <v/>
      </c>
      <c r="T20" s="17" t="str">
        <f aca="false">IF(N20="","",SUMIFS(先々月データ!$Q:$Q,先々月データ!$A:$A,N20,先々月データ!$K:$K,"&gt;=6",先々月データ!$K:$K,"&lt;"&amp;設定!$B$10))</f>
        <v/>
      </c>
      <c r="U20" s="17" t="str">
        <f aca="false">IF(N20="","",Q20-T20)</f>
        <v/>
      </c>
      <c r="V20" s="33" t="str">
        <f aca="false">IF(N20="","",IF(T20&gt;=設定!$B$13,1,0))</f>
        <v/>
      </c>
      <c r="W20" s="17" t="str">
        <f aca="false">IF(N20="","",S20-SUMIFS(先々月データ!$R:$R,先々月データ!$A:$A,N20,先々月データ!$K:$K,"&gt;=6",先々月データ!$K:$K,"&lt;"&amp;設定!$B$10))</f>
        <v/>
      </c>
      <c r="X20" s="33" t="str">
        <f aca="false">IF(N20="","",IF(COUNTIF(祝日!$A:$A,N20-364)&gt;0,1,0))</f>
        <v/>
      </c>
      <c r="Y20" s="17" t="str">
        <f aca="false">IF(N20="","",SUMIFS(先々月データ!$M:$M,先々月データ!$A:$A,N20))</f>
        <v/>
      </c>
      <c r="Z20" s="16" t="str">
        <f aca="false">IF(設定!$B$6="","",IF($A20&lt;=DAY(EOMONTH(設定!$B$6,0)),設定!$B$6+$A20-1,""))</f>
        <v/>
      </c>
      <c r="AA20" s="33" t="str">
        <f aca="false">IF(Z20="","",IF(COUNTIF(祝日!$A:$A,Z20)&gt;0,"祝",CHOOSE(WEEKDAY(Z20,2),"月","火","水","木","金","土","日")))</f>
        <v/>
      </c>
      <c r="AB20" s="17" t="str">
        <f aca="false">IF(Z20="","",SUMIFS(前年当月データ!$Q:$Q,前年当月データ!$A:$A,Z20))</f>
        <v/>
      </c>
      <c r="AC20" s="17" t="str">
        <f aca="false">IF(Z20="","",SUMIFS(前年当月データ!$Q:$Q,前年当月データ!$A:$A,Z20,前年当月データ!$K:$K,"&gt;=6",前年当月データ!$K:$K,"&lt;"&amp;設定!$B$10))</f>
        <v/>
      </c>
      <c r="AD20" s="17" t="str">
        <f aca="false">IF(Z20="","",AB20-AC20)</f>
        <v/>
      </c>
      <c r="AE20" s="17" t="str">
        <f aca="false">IF(Z20="","",SUMIFS(前年当月データ!$L:$L,前年当月データ!$A:$A,Z20))</f>
        <v/>
      </c>
    </row>
    <row r="21" customFormat="false" ht="15" hidden="false" customHeight="false" outlineLevel="0" collapsed="false">
      <c r="A21" s="47" t="n">
        <v>19</v>
      </c>
      <c r="B21" s="16" t="str">
        <f aca="false">IF(設定!$B$4="","",IF($A21&lt;=DAY(EOMONTH(設定!$B$4,0)),設定!$B$4+$A21-1,""))</f>
        <v/>
      </c>
      <c r="C21" s="33" t="str">
        <f aca="false">IF(B21="","",IF(COUNTIF(祝日!$A:$A,B21)&gt;0,"祝",CHOOSE(WEEKDAY(B21,2),"月","火","水","木","金","土","日")))</f>
        <v/>
      </c>
      <c r="D21" s="33" t="str">
        <f aca="false">IF(B21="","",CHOOSE(WEEKDAY(B21,2),"月","火","水","木","金","土","日"))</f>
        <v/>
      </c>
      <c r="E21" s="17" t="str">
        <f aca="false">IF(B21="","",SUMIFS(先月データ!$Q:$Q,先月データ!$A:$A,B21))</f>
        <v/>
      </c>
      <c r="F21" s="17" t="str">
        <f aca="false">IF(B21="","",SUMIFS(先月データ!$L:$L,先月データ!$A:$A,B21))</f>
        <v/>
      </c>
      <c r="G21" s="17" t="str">
        <f aca="false">IF(B21="","",SUMIFS(先月データ!$R:$R,先月データ!$A:$A,B21))</f>
        <v/>
      </c>
      <c r="H21" s="17" t="str">
        <f aca="false">IF(B21="","",SUMIFS(先月データ!$Q:$Q,先月データ!$A:$A,B21,先月データ!$K:$K,"&gt;=6",先月データ!$K:$K,"&lt;"&amp;設定!$B$10))</f>
        <v/>
      </c>
      <c r="I21" s="17" t="str">
        <f aca="false">IF(B21="","",E21-H21)</f>
        <v/>
      </c>
      <c r="J21" s="33" t="str">
        <f aca="false">IF(B21="","",IF(H21&gt;=設定!$B$13,1,0))</f>
        <v/>
      </c>
      <c r="K21" s="17" t="str">
        <f aca="false">IF(B21="","",G21-SUMIFS(先月データ!$R:$R,先月データ!$A:$A,B21,先月データ!$K:$K,"&gt;=6",先月データ!$K:$K,"&lt;"&amp;設定!$B$10))</f>
        <v/>
      </c>
      <c r="L21" s="33" t="str">
        <f aca="false">IF(B21="","",IF(COUNTIF(祝日!$A:$A,B21-364)&gt;0,1,0))</f>
        <v/>
      </c>
      <c r="M21" s="17" t="str">
        <f aca="false">IF(B21="","",SUMIFS(先月データ!$M:$M,先月データ!$A:$A,B21))</f>
        <v/>
      </c>
      <c r="N21" s="16" t="str">
        <f aca="false">IF(設定!$B$5="","",IF($A21&lt;=DAY(EOMONTH(設定!$B$5,0)),設定!$B$5+$A21-1,""))</f>
        <v/>
      </c>
      <c r="O21" s="33" t="str">
        <f aca="false">IF(N21="","",IF(COUNTIF(祝日!$A:$A,N21)&gt;0,"祝",CHOOSE(WEEKDAY(N21,2),"月","火","水","木","金","土","日")))</f>
        <v/>
      </c>
      <c r="P21" s="33" t="str">
        <f aca="false">IF(N21="","",CHOOSE(WEEKDAY(N21,2),"月","火","水","木","金","土","日"))</f>
        <v/>
      </c>
      <c r="Q21" s="17" t="str">
        <f aca="false">IF(N21="","",SUMIFS(先々月データ!$Q:$Q,先々月データ!$A:$A,N21))</f>
        <v/>
      </c>
      <c r="R21" s="17" t="str">
        <f aca="false">IF(N21="","",SUMIFS(先々月データ!$L:$L,先々月データ!$A:$A,N21))</f>
        <v/>
      </c>
      <c r="S21" s="17" t="str">
        <f aca="false">IF(N21="","",SUMIFS(先々月データ!$R:$R,先々月データ!$A:$A,N21))</f>
        <v/>
      </c>
      <c r="T21" s="17" t="str">
        <f aca="false">IF(N21="","",SUMIFS(先々月データ!$Q:$Q,先々月データ!$A:$A,N21,先々月データ!$K:$K,"&gt;=6",先々月データ!$K:$K,"&lt;"&amp;設定!$B$10))</f>
        <v/>
      </c>
      <c r="U21" s="17" t="str">
        <f aca="false">IF(N21="","",Q21-T21)</f>
        <v/>
      </c>
      <c r="V21" s="33" t="str">
        <f aca="false">IF(N21="","",IF(T21&gt;=設定!$B$13,1,0))</f>
        <v/>
      </c>
      <c r="W21" s="17" t="str">
        <f aca="false">IF(N21="","",S21-SUMIFS(先々月データ!$R:$R,先々月データ!$A:$A,N21,先々月データ!$K:$K,"&gt;=6",先々月データ!$K:$K,"&lt;"&amp;設定!$B$10))</f>
        <v/>
      </c>
      <c r="X21" s="33" t="str">
        <f aca="false">IF(N21="","",IF(COUNTIF(祝日!$A:$A,N21-364)&gt;0,1,0))</f>
        <v/>
      </c>
      <c r="Y21" s="17" t="str">
        <f aca="false">IF(N21="","",SUMIFS(先々月データ!$M:$M,先々月データ!$A:$A,N21))</f>
        <v/>
      </c>
      <c r="Z21" s="16" t="str">
        <f aca="false">IF(設定!$B$6="","",IF($A21&lt;=DAY(EOMONTH(設定!$B$6,0)),設定!$B$6+$A21-1,""))</f>
        <v/>
      </c>
      <c r="AA21" s="33" t="str">
        <f aca="false">IF(Z21="","",IF(COUNTIF(祝日!$A:$A,Z21)&gt;0,"祝",CHOOSE(WEEKDAY(Z21,2),"月","火","水","木","金","土","日")))</f>
        <v/>
      </c>
      <c r="AB21" s="17" t="str">
        <f aca="false">IF(Z21="","",SUMIFS(前年当月データ!$Q:$Q,前年当月データ!$A:$A,Z21))</f>
        <v/>
      </c>
      <c r="AC21" s="17" t="str">
        <f aca="false">IF(Z21="","",SUMIFS(前年当月データ!$Q:$Q,前年当月データ!$A:$A,Z21,前年当月データ!$K:$K,"&gt;=6",前年当月データ!$K:$K,"&lt;"&amp;設定!$B$10))</f>
        <v/>
      </c>
      <c r="AD21" s="17" t="str">
        <f aca="false">IF(Z21="","",AB21-AC21)</f>
        <v/>
      </c>
      <c r="AE21" s="17" t="str">
        <f aca="false">IF(Z21="","",SUMIFS(前年当月データ!$L:$L,前年当月データ!$A:$A,Z21))</f>
        <v/>
      </c>
    </row>
    <row r="22" customFormat="false" ht="15" hidden="false" customHeight="false" outlineLevel="0" collapsed="false">
      <c r="A22" s="47" t="n">
        <v>20</v>
      </c>
      <c r="B22" s="16" t="str">
        <f aca="false">IF(設定!$B$4="","",IF($A22&lt;=DAY(EOMONTH(設定!$B$4,0)),設定!$B$4+$A22-1,""))</f>
        <v/>
      </c>
      <c r="C22" s="33" t="str">
        <f aca="false">IF(B22="","",IF(COUNTIF(祝日!$A:$A,B22)&gt;0,"祝",CHOOSE(WEEKDAY(B22,2),"月","火","水","木","金","土","日")))</f>
        <v/>
      </c>
      <c r="D22" s="33" t="str">
        <f aca="false">IF(B22="","",CHOOSE(WEEKDAY(B22,2),"月","火","水","木","金","土","日"))</f>
        <v/>
      </c>
      <c r="E22" s="17" t="str">
        <f aca="false">IF(B22="","",SUMIFS(先月データ!$Q:$Q,先月データ!$A:$A,B22))</f>
        <v/>
      </c>
      <c r="F22" s="17" t="str">
        <f aca="false">IF(B22="","",SUMIFS(先月データ!$L:$L,先月データ!$A:$A,B22))</f>
        <v/>
      </c>
      <c r="G22" s="17" t="str">
        <f aca="false">IF(B22="","",SUMIFS(先月データ!$R:$R,先月データ!$A:$A,B22))</f>
        <v/>
      </c>
      <c r="H22" s="17" t="str">
        <f aca="false">IF(B22="","",SUMIFS(先月データ!$Q:$Q,先月データ!$A:$A,B22,先月データ!$K:$K,"&gt;=6",先月データ!$K:$K,"&lt;"&amp;設定!$B$10))</f>
        <v/>
      </c>
      <c r="I22" s="17" t="str">
        <f aca="false">IF(B22="","",E22-H22)</f>
        <v/>
      </c>
      <c r="J22" s="33" t="str">
        <f aca="false">IF(B22="","",IF(H22&gt;=設定!$B$13,1,0))</f>
        <v/>
      </c>
      <c r="K22" s="17" t="str">
        <f aca="false">IF(B22="","",G22-SUMIFS(先月データ!$R:$R,先月データ!$A:$A,B22,先月データ!$K:$K,"&gt;=6",先月データ!$K:$K,"&lt;"&amp;設定!$B$10))</f>
        <v/>
      </c>
      <c r="L22" s="33" t="str">
        <f aca="false">IF(B22="","",IF(COUNTIF(祝日!$A:$A,B22-364)&gt;0,1,0))</f>
        <v/>
      </c>
      <c r="M22" s="17" t="str">
        <f aca="false">IF(B22="","",SUMIFS(先月データ!$M:$M,先月データ!$A:$A,B22))</f>
        <v/>
      </c>
      <c r="N22" s="16" t="str">
        <f aca="false">IF(設定!$B$5="","",IF($A22&lt;=DAY(EOMONTH(設定!$B$5,0)),設定!$B$5+$A22-1,""))</f>
        <v/>
      </c>
      <c r="O22" s="33" t="str">
        <f aca="false">IF(N22="","",IF(COUNTIF(祝日!$A:$A,N22)&gt;0,"祝",CHOOSE(WEEKDAY(N22,2),"月","火","水","木","金","土","日")))</f>
        <v/>
      </c>
      <c r="P22" s="33" t="str">
        <f aca="false">IF(N22="","",CHOOSE(WEEKDAY(N22,2),"月","火","水","木","金","土","日"))</f>
        <v/>
      </c>
      <c r="Q22" s="17" t="str">
        <f aca="false">IF(N22="","",SUMIFS(先々月データ!$Q:$Q,先々月データ!$A:$A,N22))</f>
        <v/>
      </c>
      <c r="R22" s="17" t="str">
        <f aca="false">IF(N22="","",SUMIFS(先々月データ!$L:$L,先々月データ!$A:$A,N22))</f>
        <v/>
      </c>
      <c r="S22" s="17" t="str">
        <f aca="false">IF(N22="","",SUMIFS(先々月データ!$R:$R,先々月データ!$A:$A,N22))</f>
        <v/>
      </c>
      <c r="T22" s="17" t="str">
        <f aca="false">IF(N22="","",SUMIFS(先々月データ!$Q:$Q,先々月データ!$A:$A,N22,先々月データ!$K:$K,"&gt;=6",先々月データ!$K:$K,"&lt;"&amp;設定!$B$10))</f>
        <v/>
      </c>
      <c r="U22" s="17" t="str">
        <f aca="false">IF(N22="","",Q22-T22)</f>
        <v/>
      </c>
      <c r="V22" s="33" t="str">
        <f aca="false">IF(N22="","",IF(T22&gt;=設定!$B$13,1,0))</f>
        <v/>
      </c>
      <c r="W22" s="17" t="str">
        <f aca="false">IF(N22="","",S22-SUMIFS(先々月データ!$R:$R,先々月データ!$A:$A,N22,先々月データ!$K:$K,"&gt;=6",先々月データ!$K:$K,"&lt;"&amp;設定!$B$10))</f>
        <v/>
      </c>
      <c r="X22" s="33" t="str">
        <f aca="false">IF(N22="","",IF(COUNTIF(祝日!$A:$A,N22-364)&gt;0,1,0))</f>
        <v/>
      </c>
      <c r="Y22" s="17" t="str">
        <f aca="false">IF(N22="","",SUMIFS(先々月データ!$M:$M,先々月データ!$A:$A,N22))</f>
        <v/>
      </c>
      <c r="Z22" s="16" t="str">
        <f aca="false">IF(設定!$B$6="","",IF($A22&lt;=DAY(EOMONTH(設定!$B$6,0)),設定!$B$6+$A22-1,""))</f>
        <v/>
      </c>
      <c r="AA22" s="33" t="str">
        <f aca="false">IF(Z22="","",IF(COUNTIF(祝日!$A:$A,Z22)&gt;0,"祝",CHOOSE(WEEKDAY(Z22,2),"月","火","水","木","金","土","日")))</f>
        <v/>
      </c>
      <c r="AB22" s="17" t="str">
        <f aca="false">IF(Z22="","",SUMIFS(前年当月データ!$Q:$Q,前年当月データ!$A:$A,Z22))</f>
        <v/>
      </c>
      <c r="AC22" s="17" t="str">
        <f aca="false">IF(Z22="","",SUMIFS(前年当月データ!$Q:$Q,前年当月データ!$A:$A,Z22,前年当月データ!$K:$K,"&gt;=6",前年当月データ!$K:$K,"&lt;"&amp;設定!$B$10))</f>
        <v/>
      </c>
      <c r="AD22" s="17" t="str">
        <f aca="false">IF(Z22="","",AB22-AC22)</f>
        <v/>
      </c>
      <c r="AE22" s="17" t="str">
        <f aca="false">IF(Z22="","",SUMIFS(前年当月データ!$L:$L,前年当月データ!$A:$A,Z22))</f>
        <v/>
      </c>
    </row>
    <row r="23" customFormat="false" ht="15" hidden="false" customHeight="false" outlineLevel="0" collapsed="false">
      <c r="A23" s="47" t="n">
        <v>21</v>
      </c>
      <c r="B23" s="16" t="str">
        <f aca="false">IF(設定!$B$4="","",IF($A23&lt;=DAY(EOMONTH(設定!$B$4,0)),設定!$B$4+$A23-1,""))</f>
        <v/>
      </c>
      <c r="C23" s="33" t="str">
        <f aca="false">IF(B23="","",IF(COUNTIF(祝日!$A:$A,B23)&gt;0,"祝",CHOOSE(WEEKDAY(B23,2),"月","火","水","木","金","土","日")))</f>
        <v/>
      </c>
      <c r="D23" s="33" t="str">
        <f aca="false">IF(B23="","",CHOOSE(WEEKDAY(B23,2),"月","火","水","木","金","土","日"))</f>
        <v/>
      </c>
      <c r="E23" s="17" t="str">
        <f aca="false">IF(B23="","",SUMIFS(先月データ!$Q:$Q,先月データ!$A:$A,B23))</f>
        <v/>
      </c>
      <c r="F23" s="17" t="str">
        <f aca="false">IF(B23="","",SUMIFS(先月データ!$L:$L,先月データ!$A:$A,B23))</f>
        <v/>
      </c>
      <c r="G23" s="17" t="str">
        <f aca="false">IF(B23="","",SUMIFS(先月データ!$R:$R,先月データ!$A:$A,B23))</f>
        <v/>
      </c>
      <c r="H23" s="17" t="str">
        <f aca="false">IF(B23="","",SUMIFS(先月データ!$Q:$Q,先月データ!$A:$A,B23,先月データ!$K:$K,"&gt;=6",先月データ!$K:$K,"&lt;"&amp;設定!$B$10))</f>
        <v/>
      </c>
      <c r="I23" s="17" t="str">
        <f aca="false">IF(B23="","",E23-H23)</f>
        <v/>
      </c>
      <c r="J23" s="33" t="str">
        <f aca="false">IF(B23="","",IF(H23&gt;=設定!$B$13,1,0))</f>
        <v/>
      </c>
      <c r="K23" s="17" t="str">
        <f aca="false">IF(B23="","",G23-SUMIFS(先月データ!$R:$R,先月データ!$A:$A,B23,先月データ!$K:$K,"&gt;=6",先月データ!$K:$K,"&lt;"&amp;設定!$B$10))</f>
        <v/>
      </c>
      <c r="L23" s="33" t="str">
        <f aca="false">IF(B23="","",IF(COUNTIF(祝日!$A:$A,B23-364)&gt;0,1,0))</f>
        <v/>
      </c>
      <c r="M23" s="17" t="str">
        <f aca="false">IF(B23="","",SUMIFS(先月データ!$M:$M,先月データ!$A:$A,B23))</f>
        <v/>
      </c>
      <c r="N23" s="16" t="str">
        <f aca="false">IF(設定!$B$5="","",IF($A23&lt;=DAY(EOMONTH(設定!$B$5,0)),設定!$B$5+$A23-1,""))</f>
        <v/>
      </c>
      <c r="O23" s="33" t="str">
        <f aca="false">IF(N23="","",IF(COUNTIF(祝日!$A:$A,N23)&gt;0,"祝",CHOOSE(WEEKDAY(N23,2),"月","火","水","木","金","土","日")))</f>
        <v/>
      </c>
      <c r="P23" s="33" t="str">
        <f aca="false">IF(N23="","",CHOOSE(WEEKDAY(N23,2),"月","火","水","木","金","土","日"))</f>
        <v/>
      </c>
      <c r="Q23" s="17" t="str">
        <f aca="false">IF(N23="","",SUMIFS(先々月データ!$Q:$Q,先々月データ!$A:$A,N23))</f>
        <v/>
      </c>
      <c r="R23" s="17" t="str">
        <f aca="false">IF(N23="","",SUMIFS(先々月データ!$L:$L,先々月データ!$A:$A,N23))</f>
        <v/>
      </c>
      <c r="S23" s="17" t="str">
        <f aca="false">IF(N23="","",SUMIFS(先々月データ!$R:$R,先々月データ!$A:$A,N23))</f>
        <v/>
      </c>
      <c r="T23" s="17" t="str">
        <f aca="false">IF(N23="","",SUMIFS(先々月データ!$Q:$Q,先々月データ!$A:$A,N23,先々月データ!$K:$K,"&gt;=6",先々月データ!$K:$K,"&lt;"&amp;設定!$B$10))</f>
        <v/>
      </c>
      <c r="U23" s="17" t="str">
        <f aca="false">IF(N23="","",Q23-T23)</f>
        <v/>
      </c>
      <c r="V23" s="33" t="str">
        <f aca="false">IF(N23="","",IF(T23&gt;=設定!$B$13,1,0))</f>
        <v/>
      </c>
      <c r="W23" s="17" t="str">
        <f aca="false">IF(N23="","",S23-SUMIFS(先々月データ!$R:$R,先々月データ!$A:$A,N23,先々月データ!$K:$K,"&gt;=6",先々月データ!$K:$K,"&lt;"&amp;設定!$B$10))</f>
        <v/>
      </c>
      <c r="X23" s="33" t="str">
        <f aca="false">IF(N23="","",IF(COUNTIF(祝日!$A:$A,N23-364)&gt;0,1,0))</f>
        <v/>
      </c>
      <c r="Y23" s="17" t="str">
        <f aca="false">IF(N23="","",SUMIFS(先々月データ!$M:$M,先々月データ!$A:$A,N23))</f>
        <v/>
      </c>
      <c r="Z23" s="16" t="str">
        <f aca="false">IF(設定!$B$6="","",IF($A23&lt;=DAY(EOMONTH(設定!$B$6,0)),設定!$B$6+$A23-1,""))</f>
        <v/>
      </c>
      <c r="AA23" s="33" t="str">
        <f aca="false">IF(Z23="","",IF(COUNTIF(祝日!$A:$A,Z23)&gt;0,"祝",CHOOSE(WEEKDAY(Z23,2),"月","火","水","木","金","土","日")))</f>
        <v/>
      </c>
      <c r="AB23" s="17" t="str">
        <f aca="false">IF(Z23="","",SUMIFS(前年当月データ!$Q:$Q,前年当月データ!$A:$A,Z23))</f>
        <v/>
      </c>
      <c r="AC23" s="17" t="str">
        <f aca="false">IF(Z23="","",SUMIFS(前年当月データ!$Q:$Q,前年当月データ!$A:$A,Z23,前年当月データ!$K:$K,"&gt;=6",前年当月データ!$K:$K,"&lt;"&amp;設定!$B$10))</f>
        <v/>
      </c>
      <c r="AD23" s="17" t="str">
        <f aca="false">IF(Z23="","",AB23-AC23)</f>
        <v/>
      </c>
      <c r="AE23" s="17" t="str">
        <f aca="false">IF(Z23="","",SUMIFS(前年当月データ!$L:$L,前年当月データ!$A:$A,Z23))</f>
        <v/>
      </c>
    </row>
    <row r="24" customFormat="false" ht="15" hidden="false" customHeight="false" outlineLevel="0" collapsed="false">
      <c r="A24" s="47" t="n">
        <v>22</v>
      </c>
      <c r="B24" s="16" t="str">
        <f aca="false">IF(設定!$B$4="","",IF($A24&lt;=DAY(EOMONTH(設定!$B$4,0)),設定!$B$4+$A24-1,""))</f>
        <v/>
      </c>
      <c r="C24" s="33" t="str">
        <f aca="false">IF(B24="","",IF(COUNTIF(祝日!$A:$A,B24)&gt;0,"祝",CHOOSE(WEEKDAY(B24,2),"月","火","水","木","金","土","日")))</f>
        <v/>
      </c>
      <c r="D24" s="33" t="str">
        <f aca="false">IF(B24="","",CHOOSE(WEEKDAY(B24,2),"月","火","水","木","金","土","日"))</f>
        <v/>
      </c>
      <c r="E24" s="17" t="str">
        <f aca="false">IF(B24="","",SUMIFS(先月データ!$Q:$Q,先月データ!$A:$A,B24))</f>
        <v/>
      </c>
      <c r="F24" s="17" t="str">
        <f aca="false">IF(B24="","",SUMIFS(先月データ!$L:$L,先月データ!$A:$A,B24))</f>
        <v/>
      </c>
      <c r="G24" s="17" t="str">
        <f aca="false">IF(B24="","",SUMIFS(先月データ!$R:$R,先月データ!$A:$A,B24))</f>
        <v/>
      </c>
      <c r="H24" s="17" t="str">
        <f aca="false">IF(B24="","",SUMIFS(先月データ!$Q:$Q,先月データ!$A:$A,B24,先月データ!$K:$K,"&gt;=6",先月データ!$K:$K,"&lt;"&amp;設定!$B$10))</f>
        <v/>
      </c>
      <c r="I24" s="17" t="str">
        <f aca="false">IF(B24="","",E24-H24)</f>
        <v/>
      </c>
      <c r="J24" s="33" t="str">
        <f aca="false">IF(B24="","",IF(H24&gt;=設定!$B$13,1,0))</f>
        <v/>
      </c>
      <c r="K24" s="17" t="str">
        <f aca="false">IF(B24="","",G24-SUMIFS(先月データ!$R:$R,先月データ!$A:$A,B24,先月データ!$K:$K,"&gt;=6",先月データ!$K:$K,"&lt;"&amp;設定!$B$10))</f>
        <v/>
      </c>
      <c r="L24" s="33" t="str">
        <f aca="false">IF(B24="","",IF(COUNTIF(祝日!$A:$A,B24-364)&gt;0,1,0))</f>
        <v/>
      </c>
      <c r="M24" s="17" t="str">
        <f aca="false">IF(B24="","",SUMIFS(先月データ!$M:$M,先月データ!$A:$A,B24))</f>
        <v/>
      </c>
      <c r="N24" s="16" t="str">
        <f aca="false">IF(設定!$B$5="","",IF($A24&lt;=DAY(EOMONTH(設定!$B$5,0)),設定!$B$5+$A24-1,""))</f>
        <v/>
      </c>
      <c r="O24" s="33" t="str">
        <f aca="false">IF(N24="","",IF(COUNTIF(祝日!$A:$A,N24)&gt;0,"祝",CHOOSE(WEEKDAY(N24,2),"月","火","水","木","金","土","日")))</f>
        <v/>
      </c>
      <c r="P24" s="33" t="str">
        <f aca="false">IF(N24="","",CHOOSE(WEEKDAY(N24,2),"月","火","水","木","金","土","日"))</f>
        <v/>
      </c>
      <c r="Q24" s="17" t="str">
        <f aca="false">IF(N24="","",SUMIFS(先々月データ!$Q:$Q,先々月データ!$A:$A,N24))</f>
        <v/>
      </c>
      <c r="R24" s="17" t="str">
        <f aca="false">IF(N24="","",SUMIFS(先々月データ!$L:$L,先々月データ!$A:$A,N24))</f>
        <v/>
      </c>
      <c r="S24" s="17" t="str">
        <f aca="false">IF(N24="","",SUMIFS(先々月データ!$R:$R,先々月データ!$A:$A,N24))</f>
        <v/>
      </c>
      <c r="T24" s="17" t="str">
        <f aca="false">IF(N24="","",SUMIFS(先々月データ!$Q:$Q,先々月データ!$A:$A,N24,先々月データ!$K:$K,"&gt;=6",先々月データ!$K:$K,"&lt;"&amp;設定!$B$10))</f>
        <v/>
      </c>
      <c r="U24" s="17" t="str">
        <f aca="false">IF(N24="","",Q24-T24)</f>
        <v/>
      </c>
      <c r="V24" s="33" t="str">
        <f aca="false">IF(N24="","",IF(T24&gt;=設定!$B$13,1,0))</f>
        <v/>
      </c>
      <c r="W24" s="17" t="str">
        <f aca="false">IF(N24="","",S24-SUMIFS(先々月データ!$R:$R,先々月データ!$A:$A,N24,先々月データ!$K:$K,"&gt;=6",先々月データ!$K:$K,"&lt;"&amp;設定!$B$10))</f>
        <v/>
      </c>
      <c r="X24" s="33" t="str">
        <f aca="false">IF(N24="","",IF(COUNTIF(祝日!$A:$A,N24-364)&gt;0,1,0))</f>
        <v/>
      </c>
      <c r="Y24" s="17" t="str">
        <f aca="false">IF(N24="","",SUMIFS(先々月データ!$M:$M,先々月データ!$A:$A,N24))</f>
        <v/>
      </c>
      <c r="Z24" s="16" t="str">
        <f aca="false">IF(設定!$B$6="","",IF($A24&lt;=DAY(EOMONTH(設定!$B$6,0)),設定!$B$6+$A24-1,""))</f>
        <v/>
      </c>
      <c r="AA24" s="33" t="str">
        <f aca="false">IF(Z24="","",IF(COUNTIF(祝日!$A:$A,Z24)&gt;0,"祝",CHOOSE(WEEKDAY(Z24,2),"月","火","水","木","金","土","日")))</f>
        <v/>
      </c>
      <c r="AB24" s="17" t="str">
        <f aca="false">IF(Z24="","",SUMIFS(前年当月データ!$Q:$Q,前年当月データ!$A:$A,Z24))</f>
        <v/>
      </c>
      <c r="AC24" s="17" t="str">
        <f aca="false">IF(Z24="","",SUMIFS(前年当月データ!$Q:$Q,前年当月データ!$A:$A,Z24,前年当月データ!$K:$K,"&gt;=6",前年当月データ!$K:$K,"&lt;"&amp;設定!$B$10))</f>
        <v/>
      </c>
      <c r="AD24" s="17" t="str">
        <f aca="false">IF(Z24="","",AB24-AC24)</f>
        <v/>
      </c>
      <c r="AE24" s="17" t="str">
        <f aca="false">IF(Z24="","",SUMIFS(前年当月データ!$L:$L,前年当月データ!$A:$A,Z24))</f>
        <v/>
      </c>
    </row>
    <row r="25" customFormat="false" ht="15" hidden="false" customHeight="false" outlineLevel="0" collapsed="false">
      <c r="A25" s="47" t="n">
        <v>23</v>
      </c>
      <c r="B25" s="16" t="str">
        <f aca="false">IF(設定!$B$4="","",IF($A25&lt;=DAY(EOMONTH(設定!$B$4,0)),設定!$B$4+$A25-1,""))</f>
        <v/>
      </c>
      <c r="C25" s="33" t="str">
        <f aca="false">IF(B25="","",IF(COUNTIF(祝日!$A:$A,B25)&gt;0,"祝",CHOOSE(WEEKDAY(B25,2),"月","火","水","木","金","土","日")))</f>
        <v/>
      </c>
      <c r="D25" s="33" t="str">
        <f aca="false">IF(B25="","",CHOOSE(WEEKDAY(B25,2),"月","火","水","木","金","土","日"))</f>
        <v/>
      </c>
      <c r="E25" s="17" t="str">
        <f aca="false">IF(B25="","",SUMIFS(先月データ!$Q:$Q,先月データ!$A:$A,B25))</f>
        <v/>
      </c>
      <c r="F25" s="17" t="str">
        <f aca="false">IF(B25="","",SUMIFS(先月データ!$L:$L,先月データ!$A:$A,B25))</f>
        <v/>
      </c>
      <c r="G25" s="17" t="str">
        <f aca="false">IF(B25="","",SUMIFS(先月データ!$R:$R,先月データ!$A:$A,B25))</f>
        <v/>
      </c>
      <c r="H25" s="17" t="str">
        <f aca="false">IF(B25="","",SUMIFS(先月データ!$Q:$Q,先月データ!$A:$A,B25,先月データ!$K:$K,"&gt;=6",先月データ!$K:$K,"&lt;"&amp;設定!$B$10))</f>
        <v/>
      </c>
      <c r="I25" s="17" t="str">
        <f aca="false">IF(B25="","",E25-H25)</f>
        <v/>
      </c>
      <c r="J25" s="33" t="str">
        <f aca="false">IF(B25="","",IF(H25&gt;=設定!$B$13,1,0))</f>
        <v/>
      </c>
      <c r="K25" s="17" t="str">
        <f aca="false">IF(B25="","",G25-SUMIFS(先月データ!$R:$R,先月データ!$A:$A,B25,先月データ!$K:$K,"&gt;=6",先月データ!$K:$K,"&lt;"&amp;設定!$B$10))</f>
        <v/>
      </c>
      <c r="L25" s="33" t="str">
        <f aca="false">IF(B25="","",IF(COUNTIF(祝日!$A:$A,B25-364)&gt;0,1,0))</f>
        <v/>
      </c>
      <c r="M25" s="17" t="str">
        <f aca="false">IF(B25="","",SUMIFS(先月データ!$M:$M,先月データ!$A:$A,B25))</f>
        <v/>
      </c>
      <c r="N25" s="16" t="str">
        <f aca="false">IF(設定!$B$5="","",IF($A25&lt;=DAY(EOMONTH(設定!$B$5,0)),設定!$B$5+$A25-1,""))</f>
        <v/>
      </c>
      <c r="O25" s="33" t="str">
        <f aca="false">IF(N25="","",IF(COUNTIF(祝日!$A:$A,N25)&gt;0,"祝",CHOOSE(WEEKDAY(N25,2),"月","火","水","木","金","土","日")))</f>
        <v/>
      </c>
      <c r="P25" s="33" t="str">
        <f aca="false">IF(N25="","",CHOOSE(WEEKDAY(N25,2),"月","火","水","木","金","土","日"))</f>
        <v/>
      </c>
      <c r="Q25" s="17" t="str">
        <f aca="false">IF(N25="","",SUMIFS(先々月データ!$Q:$Q,先々月データ!$A:$A,N25))</f>
        <v/>
      </c>
      <c r="R25" s="17" t="str">
        <f aca="false">IF(N25="","",SUMIFS(先々月データ!$L:$L,先々月データ!$A:$A,N25))</f>
        <v/>
      </c>
      <c r="S25" s="17" t="str">
        <f aca="false">IF(N25="","",SUMIFS(先々月データ!$R:$R,先々月データ!$A:$A,N25))</f>
        <v/>
      </c>
      <c r="T25" s="17" t="str">
        <f aca="false">IF(N25="","",SUMIFS(先々月データ!$Q:$Q,先々月データ!$A:$A,N25,先々月データ!$K:$K,"&gt;=6",先々月データ!$K:$K,"&lt;"&amp;設定!$B$10))</f>
        <v/>
      </c>
      <c r="U25" s="17" t="str">
        <f aca="false">IF(N25="","",Q25-T25)</f>
        <v/>
      </c>
      <c r="V25" s="33" t="str">
        <f aca="false">IF(N25="","",IF(T25&gt;=設定!$B$13,1,0))</f>
        <v/>
      </c>
      <c r="W25" s="17" t="str">
        <f aca="false">IF(N25="","",S25-SUMIFS(先々月データ!$R:$R,先々月データ!$A:$A,N25,先々月データ!$K:$K,"&gt;=6",先々月データ!$K:$K,"&lt;"&amp;設定!$B$10))</f>
        <v/>
      </c>
      <c r="X25" s="33" t="str">
        <f aca="false">IF(N25="","",IF(COUNTIF(祝日!$A:$A,N25-364)&gt;0,1,0))</f>
        <v/>
      </c>
      <c r="Y25" s="17" t="str">
        <f aca="false">IF(N25="","",SUMIFS(先々月データ!$M:$M,先々月データ!$A:$A,N25))</f>
        <v/>
      </c>
      <c r="Z25" s="16" t="str">
        <f aca="false">IF(設定!$B$6="","",IF($A25&lt;=DAY(EOMONTH(設定!$B$6,0)),設定!$B$6+$A25-1,""))</f>
        <v/>
      </c>
      <c r="AA25" s="33" t="str">
        <f aca="false">IF(Z25="","",IF(COUNTIF(祝日!$A:$A,Z25)&gt;0,"祝",CHOOSE(WEEKDAY(Z25,2),"月","火","水","木","金","土","日")))</f>
        <v/>
      </c>
      <c r="AB25" s="17" t="str">
        <f aca="false">IF(Z25="","",SUMIFS(前年当月データ!$Q:$Q,前年当月データ!$A:$A,Z25))</f>
        <v/>
      </c>
      <c r="AC25" s="17" t="str">
        <f aca="false">IF(Z25="","",SUMIFS(前年当月データ!$Q:$Q,前年当月データ!$A:$A,Z25,前年当月データ!$K:$K,"&gt;=6",前年当月データ!$K:$K,"&lt;"&amp;設定!$B$10))</f>
        <v/>
      </c>
      <c r="AD25" s="17" t="str">
        <f aca="false">IF(Z25="","",AB25-AC25)</f>
        <v/>
      </c>
      <c r="AE25" s="17" t="str">
        <f aca="false">IF(Z25="","",SUMIFS(前年当月データ!$L:$L,前年当月データ!$A:$A,Z25))</f>
        <v/>
      </c>
    </row>
    <row r="26" customFormat="false" ht="15" hidden="false" customHeight="false" outlineLevel="0" collapsed="false">
      <c r="A26" s="47" t="n">
        <v>24</v>
      </c>
      <c r="B26" s="16" t="str">
        <f aca="false">IF(設定!$B$4="","",IF($A26&lt;=DAY(EOMONTH(設定!$B$4,0)),設定!$B$4+$A26-1,""))</f>
        <v/>
      </c>
      <c r="C26" s="33" t="str">
        <f aca="false">IF(B26="","",IF(COUNTIF(祝日!$A:$A,B26)&gt;0,"祝",CHOOSE(WEEKDAY(B26,2),"月","火","水","木","金","土","日")))</f>
        <v/>
      </c>
      <c r="D26" s="33" t="str">
        <f aca="false">IF(B26="","",CHOOSE(WEEKDAY(B26,2),"月","火","水","木","金","土","日"))</f>
        <v/>
      </c>
      <c r="E26" s="17" t="str">
        <f aca="false">IF(B26="","",SUMIFS(先月データ!$Q:$Q,先月データ!$A:$A,B26))</f>
        <v/>
      </c>
      <c r="F26" s="17" t="str">
        <f aca="false">IF(B26="","",SUMIFS(先月データ!$L:$L,先月データ!$A:$A,B26))</f>
        <v/>
      </c>
      <c r="G26" s="17" t="str">
        <f aca="false">IF(B26="","",SUMIFS(先月データ!$R:$R,先月データ!$A:$A,B26))</f>
        <v/>
      </c>
      <c r="H26" s="17" t="str">
        <f aca="false">IF(B26="","",SUMIFS(先月データ!$Q:$Q,先月データ!$A:$A,B26,先月データ!$K:$K,"&gt;=6",先月データ!$K:$K,"&lt;"&amp;設定!$B$10))</f>
        <v/>
      </c>
      <c r="I26" s="17" t="str">
        <f aca="false">IF(B26="","",E26-H26)</f>
        <v/>
      </c>
      <c r="J26" s="33" t="str">
        <f aca="false">IF(B26="","",IF(H26&gt;=設定!$B$13,1,0))</f>
        <v/>
      </c>
      <c r="K26" s="17" t="str">
        <f aca="false">IF(B26="","",G26-SUMIFS(先月データ!$R:$R,先月データ!$A:$A,B26,先月データ!$K:$K,"&gt;=6",先月データ!$K:$K,"&lt;"&amp;設定!$B$10))</f>
        <v/>
      </c>
      <c r="L26" s="33" t="str">
        <f aca="false">IF(B26="","",IF(COUNTIF(祝日!$A:$A,B26-364)&gt;0,1,0))</f>
        <v/>
      </c>
      <c r="M26" s="17" t="str">
        <f aca="false">IF(B26="","",SUMIFS(先月データ!$M:$M,先月データ!$A:$A,B26))</f>
        <v/>
      </c>
      <c r="N26" s="16" t="str">
        <f aca="false">IF(設定!$B$5="","",IF($A26&lt;=DAY(EOMONTH(設定!$B$5,0)),設定!$B$5+$A26-1,""))</f>
        <v/>
      </c>
      <c r="O26" s="33" t="str">
        <f aca="false">IF(N26="","",IF(COUNTIF(祝日!$A:$A,N26)&gt;0,"祝",CHOOSE(WEEKDAY(N26,2),"月","火","水","木","金","土","日")))</f>
        <v/>
      </c>
      <c r="P26" s="33" t="str">
        <f aca="false">IF(N26="","",CHOOSE(WEEKDAY(N26,2),"月","火","水","木","金","土","日"))</f>
        <v/>
      </c>
      <c r="Q26" s="17" t="str">
        <f aca="false">IF(N26="","",SUMIFS(先々月データ!$Q:$Q,先々月データ!$A:$A,N26))</f>
        <v/>
      </c>
      <c r="R26" s="17" t="str">
        <f aca="false">IF(N26="","",SUMIFS(先々月データ!$L:$L,先々月データ!$A:$A,N26))</f>
        <v/>
      </c>
      <c r="S26" s="17" t="str">
        <f aca="false">IF(N26="","",SUMIFS(先々月データ!$R:$R,先々月データ!$A:$A,N26))</f>
        <v/>
      </c>
      <c r="T26" s="17" t="str">
        <f aca="false">IF(N26="","",SUMIFS(先々月データ!$Q:$Q,先々月データ!$A:$A,N26,先々月データ!$K:$K,"&gt;=6",先々月データ!$K:$K,"&lt;"&amp;設定!$B$10))</f>
        <v/>
      </c>
      <c r="U26" s="17" t="str">
        <f aca="false">IF(N26="","",Q26-T26)</f>
        <v/>
      </c>
      <c r="V26" s="33" t="str">
        <f aca="false">IF(N26="","",IF(T26&gt;=設定!$B$13,1,0))</f>
        <v/>
      </c>
      <c r="W26" s="17" t="str">
        <f aca="false">IF(N26="","",S26-SUMIFS(先々月データ!$R:$R,先々月データ!$A:$A,N26,先々月データ!$K:$K,"&gt;=6",先々月データ!$K:$K,"&lt;"&amp;設定!$B$10))</f>
        <v/>
      </c>
      <c r="X26" s="33" t="str">
        <f aca="false">IF(N26="","",IF(COUNTIF(祝日!$A:$A,N26-364)&gt;0,1,0))</f>
        <v/>
      </c>
      <c r="Y26" s="17" t="str">
        <f aca="false">IF(N26="","",SUMIFS(先々月データ!$M:$M,先々月データ!$A:$A,N26))</f>
        <v/>
      </c>
      <c r="Z26" s="16" t="str">
        <f aca="false">IF(設定!$B$6="","",IF($A26&lt;=DAY(EOMONTH(設定!$B$6,0)),設定!$B$6+$A26-1,""))</f>
        <v/>
      </c>
      <c r="AA26" s="33" t="str">
        <f aca="false">IF(Z26="","",IF(COUNTIF(祝日!$A:$A,Z26)&gt;0,"祝",CHOOSE(WEEKDAY(Z26,2),"月","火","水","木","金","土","日")))</f>
        <v/>
      </c>
      <c r="AB26" s="17" t="str">
        <f aca="false">IF(Z26="","",SUMIFS(前年当月データ!$Q:$Q,前年当月データ!$A:$A,Z26))</f>
        <v/>
      </c>
      <c r="AC26" s="17" t="str">
        <f aca="false">IF(Z26="","",SUMIFS(前年当月データ!$Q:$Q,前年当月データ!$A:$A,Z26,前年当月データ!$K:$K,"&gt;=6",前年当月データ!$K:$K,"&lt;"&amp;設定!$B$10))</f>
        <v/>
      </c>
      <c r="AD26" s="17" t="str">
        <f aca="false">IF(Z26="","",AB26-AC26)</f>
        <v/>
      </c>
      <c r="AE26" s="17" t="str">
        <f aca="false">IF(Z26="","",SUMIFS(前年当月データ!$L:$L,前年当月データ!$A:$A,Z26))</f>
        <v/>
      </c>
    </row>
    <row r="27" customFormat="false" ht="15" hidden="false" customHeight="false" outlineLevel="0" collapsed="false">
      <c r="A27" s="47" t="n">
        <v>25</v>
      </c>
      <c r="B27" s="16" t="str">
        <f aca="false">IF(設定!$B$4="","",IF($A27&lt;=DAY(EOMONTH(設定!$B$4,0)),設定!$B$4+$A27-1,""))</f>
        <v/>
      </c>
      <c r="C27" s="33" t="str">
        <f aca="false">IF(B27="","",IF(COUNTIF(祝日!$A:$A,B27)&gt;0,"祝",CHOOSE(WEEKDAY(B27,2),"月","火","水","木","金","土","日")))</f>
        <v/>
      </c>
      <c r="D27" s="33" t="str">
        <f aca="false">IF(B27="","",CHOOSE(WEEKDAY(B27,2),"月","火","水","木","金","土","日"))</f>
        <v/>
      </c>
      <c r="E27" s="17" t="str">
        <f aca="false">IF(B27="","",SUMIFS(先月データ!$Q:$Q,先月データ!$A:$A,B27))</f>
        <v/>
      </c>
      <c r="F27" s="17" t="str">
        <f aca="false">IF(B27="","",SUMIFS(先月データ!$L:$L,先月データ!$A:$A,B27))</f>
        <v/>
      </c>
      <c r="G27" s="17" t="str">
        <f aca="false">IF(B27="","",SUMIFS(先月データ!$R:$R,先月データ!$A:$A,B27))</f>
        <v/>
      </c>
      <c r="H27" s="17" t="str">
        <f aca="false">IF(B27="","",SUMIFS(先月データ!$Q:$Q,先月データ!$A:$A,B27,先月データ!$K:$K,"&gt;=6",先月データ!$K:$K,"&lt;"&amp;設定!$B$10))</f>
        <v/>
      </c>
      <c r="I27" s="17" t="str">
        <f aca="false">IF(B27="","",E27-H27)</f>
        <v/>
      </c>
      <c r="J27" s="33" t="str">
        <f aca="false">IF(B27="","",IF(H27&gt;=設定!$B$13,1,0))</f>
        <v/>
      </c>
      <c r="K27" s="17" t="str">
        <f aca="false">IF(B27="","",G27-SUMIFS(先月データ!$R:$R,先月データ!$A:$A,B27,先月データ!$K:$K,"&gt;=6",先月データ!$K:$K,"&lt;"&amp;設定!$B$10))</f>
        <v/>
      </c>
      <c r="L27" s="33" t="str">
        <f aca="false">IF(B27="","",IF(COUNTIF(祝日!$A:$A,B27-364)&gt;0,1,0))</f>
        <v/>
      </c>
      <c r="M27" s="17" t="str">
        <f aca="false">IF(B27="","",SUMIFS(先月データ!$M:$M,先月データ!$A:$A,B27))</f>
        <v/>
      </c>
      <c r="N27" s="16" t="str">
        <f aca="false">IF(設定!$B$5="","",IF($A27&lt;=DAY(EOMONTH(設定!$B$5,0)),設定!$B$5+$A27-1,""))</f>
        <v/>
      </c>
      <c r="O27" s="33" t="str">
        <f aca="false">IF(N27="","",IF(COUNTIF(祝日!$A:$A,N27)&gt;0,"祝",CHOOSE(WEEKDAY(N27,2),"月","火","水","木","金","土","日")))</f>
        <v/>
      </c>
      <c r="P27" s="33" t="str">
        <f aca="false">IF(N27="","",CHOOSE(WEEKDAY(N27,2),"月","火","水","木","金","土","日"))</f>
        <v/>
      </c>
      <c r="Q27" s="17" t="str">
        <f aca="false">IF(N27="","",SUMIFS(先々月データ!$Q:$Q,先々月データ!$A:$A,N27))</f>
        <v/>
      </c>
      <c r="R27" s="17" t="str">
        <f aca="false">IF(N27="","",SUMIFS(先々月データ!$L:$L,先々月データ!$A:$A,N27))</f>
        <v/>
      </c>
      <c r="S27" s="17" t="str">
        <f aca="false">IF(N27="","",SUMIFS(先々月データ!$R:$R,先々月データ!$A:$A,N27))</f>
        <v/>
      </c>
      <c r="T27" s="17" t="str">
        <f aca="false">IF(N27="","",SUMIFS(先々月データ!$Q:$Q,先々月データ!$A:$A,N27,先々月データ!$K:$K,"&gt;=6",先々月データ!$K:$K,"&lt;"&amp;設定!$B$10))</f>
        <v/>
      </c>
      <c r="U27" s="17" t="str">
        <f aca="false">IF(N27="","",Q27-T27)</f>
        <v/>
      </c>
      <c r="V27" s="33" t="str">
        <f aca="false">IF(N27="","",IF(T27&gt;=設定!$B$13,1,0))</f>
        <v/>
      </c>
      <c r="W27" s="17" t="str">
        <f aca="false">IF(N27="","",S27-SUMIFS(先々月データ!$R:$R,先々月データ!$A:$A,N27,先々月データ!$K:$K,"&gt;=6",先々月データ!$K:$K,"&lt;"&amp;設定!$B$10))</f>
        <v/>
      </c>
      <c r="X27" s="33" t="str">
        <f aca="false">IF(N27="","",IF(COUNTIF(祝日!$A:$A,N27-364)&gt;0,1,0))</f>
        <v/>
      </c>
      <c r="Y27" s="17" t="str">
        <f aca="false">IF(N27="","",SUMIFS(先々月データ!$M:$M,先々月データ!$A:$A,N27))</f>
        <v/>
      </c>
      <c r="Z27" s="16" t="str">
        <f aca="false">IF(設定!$B$6="","",IF($A27&lt;=DAY(EOMONTH(設定!$B$6,0)),設定!$B$6+$A27-1,""))</f>
        <v/>
      </c>
      <c r="AA27" s="33" t="str">
        <f aca="false">IF(Z27="","",IF(COUNTIF(祝日!$A:$A,Z27)&gt;0,"祝",CHOOSE(WEEKDAY(Z27,2),"月","火","水","木","金","土","日")))</f>
        <v/>
      </c>
      <c r="AB27" s="17" t="str">
        <f aca="false">IF(Z27="","",SUMIFS(前年当月データ!$Q:$Q,前年当月データ!$A:$A,Z27))</f>
        <v/>
      </c>
      <c r="AC27" s="17" t="str">
        <f aca="false">IF(Z27="","",SUMIFS(前年当月データ!$Q:$Q,前年当月データ!$A:$A,Z27,前年当月データ!$K:$K,"&gt;=6",前年当月データ!$K:$K,"&lt;"&amp;設定!$B$10))</f>
        <v/>
      </c>
      <c r="AD27" s="17" t="str">
        <f aca="false">IF(Z27="","",AB27-AC27)</f>
        <v/>
      </c>
      <c r="AE27" s="17" t="str">
        <f aca="false">IF(Z27="","",SUMIFS(前年当月データ!$L:$L,前年当月データ!$A:$A,Z27))</f>
        <v/>
      </c>
    </row>
    <row r="28" customFormat="false" ht="15" hidden="false" customHeight="false" outlineLevel="0" collapsed="false">
      <c r="A28" s="47" t="n">
        <v>26</v>
      </c>
      <c r="B28" s="16" t="str">
        <f aca="false">IF(設定!$B$4="","",IF($A28&lt;=DAY(EOMONTH(設定!$B$4,0)),設定!$B$4+$A28-1,""))</f>
        <v/>
      </c>
      <c r="C28" s="33" t="str">
        <f aca="false">IF(B28="","",IF(COUNTIF(祝日!$A:$A,B28)&gt;0,"祝",CHOOSE(WEEKDAY(B28,2),"月","火","水","木","金","土","日")))</f>
        <v/>
      </c>
      <c r="D28" s="33" t="str">
        <f aca="false">IF(B28="","",CHOOSE(WEEKDAY(B28,2),"月","火","水","木","金","土","日"))</f>
        <v/>
      </c>
      <c r="E28" s="17" t="str">
        <f aca="false">IF(B28="","",SUMIFS(先月データ!$Q:$Q,先月データ!$A:$A,B28))</f>
        <v/>
      </c>
      <c r="F28" s="17" t="str">
        <f aca="false">IF(B28="","",SUMIFS(先月データ!$L:$L,先月データ!$A:$A,B28))</f>
        <v/>
      </c>
      <c r="G28" s="17" t="str">
        <f aca="false">IF(B28="","",SUMIFS(先月データ!$R:$R,先月データ!$A:$A,B28))</f>
        <v/>
      </c>
      <c r="H28" s="17" t="str">
        <f aca="false">IF(B28="","",SUMIFS(先月データ!$Q:$Q,先月データ!$A:$A,B28,先月データ!$K:$K,"&gt;=6",先月データ!$K:$K,"&lt;"&amp;設定!$B$10))</f>
        <v/>
      </c>
      <c r="I28" s="17" t="str">
        <f aca="false">IF(B28="","",E28-H28)</f>
        <v/>
      </c>
      <c r="J28" s="33" t="str">
        <f aca="false">IF(B28="","",IF(H28&gt;=設定!$B$13,1,0))</f>
        <v/>
      </c>
      <c r="K28" s="17" t="str">
        <f aca="false">IF(B28="","",G28-SUMIFS(先月データ!$R:$R,先月データ!$A:$A,B28,先月データ!$K:$K,"&gt;=6",先月データ!$K:$K,"&lt;"&amp;設定!$B$10))</f>
        <v/>
      </c>
      <c r="L28" s="33" t="str">
        <f aca="false">IF(B28="","",IF(COUNTIF(祝日!$A:$A,B28-364)&gt;0,1,0))</f>
        <v/>
      </c>
      <c r="M28" s="17" t="str">
        <f aca="false">IF(B28="","",SUMIFS(先月データ!$M:$M,先月データ!$A:$A,B28))</f>
        <v/>
      </c>
      <c r="N28" s="16" t="str">
        <f aca="false">IF(設定!$B$5="","",IF($A28&lt;=DAY(EOMONTH(設定!$B$5,0)),設定!$B$5+$A28-1,""))</f>
        <v/>
      </c>
      <c r="O28" s="33" t="str">
        <f aca="false">IF(N28="","",IF(COUNTIF(祝日!$A:$A,N28)&gt;0,"祝",CHOOSE(WEEKDAY(N28,2),"月","火","水","木","金","土","日")))</f>
        <v/>
      </c>
      <c r="P28" s="33" t="str">
        <f aca="false">IF(N28="","",CHOOSE(WEEKDAY(N28,2),"月","火","水","木","金","土","日"))</f>
        <v/>
      </c>
      <c r="Q28" s="17" t="str">
        <f aca="false">IF(N28="","",SUMIFS(先々月データ!$Q:$Q,先々月データ!$A:$A,N28))</f>
        <v/>
      </c>
      <c r="R28" s="17" t="str">
        <f aca="false">IF(N28="","",SUMIFS(先々月データ!$L:$L,先々月データ!$A:$A,N28))</f>
        <v/>
      </c>
      <c r="S28" s="17" t="str">
        <f aca="false">IF(N28="","",SUMIFS(先々月データ!$R:$R,先々月データ!$A:$A,N28))</f>
        <v/>
      </c>
      <c r="T28" s="17" t="str">
        <f aca="false">IF(N28="","",SUMIFS(先々月データ!$Q:$Q,先々月データ!$A:$A,N28,先々月データ!$K:$K,"&gt;=6",先々月データ!$K:$K,"&lt;"&amp;設定!$B$10))</f>
        <v/>
      </c>
      <c r="U28" s="17" t="str">
        <f aca="false">IF(N28="","",Q28-T28)</f>
        <v/>
      </c>
      <c r="V28" s="33" t="str">
        <f aca="false">IF(N28="","",IF(T28&gt;=設定!$B$13,1,0))</f>
        <v/>
      </c>
      <c r="W28" s="17" t="str">
        <f aca="false">IF(N28="","",S28-SUMIFS(先々月データ!$R:$R,先々月データ!$A:$A,N28,先々月データ!$K:$K,"&gt;=6",先々月データ!$K:$K,"&lt;"&amp;設定!$B$10))</f>
        <v/>
      </c>
      <c r="X28" s="33" t="str">
        <f aca="false">IF(N28="","",IF(COUNTIF(祝日!$A:$A,N28-364)&gt;0,1,0))</f>
        <v/>
      </c>
      <c r="Y28" s="17" t="str">
        <f aca="false">IF(N28="","",SUMIFS(先々月データ!$M:$M,先々月データ!$A:$A,N28))</f>
        <v/>
      </c>
      <c r="Z28" s="16" t="str">
        <f aca="false">IF(設定!$B$6="","",IF($A28&lt;=DAY(EOMONTH(設定!$B$6,0)),設定!$B$6+$A28-1,""))</f>
        <v/>
      </c>
      <c r="AA28" s="33" t="str">
        <f aca="false">IF(Z28="","",IF(COUNTIF(祝日!$A:$A,Z28)&gt;0,"祝",CHOOSE(WEEKDAY(Z28,2),"月","火","水","木","金","土","日")))</f>
        <v/>
      </c>
      <c r="AB28" s="17" t="str">
        <f aca="false">IF(Z28="","",SUMIFS(前年当月データ!$Q:$Q,前年当月データ!$A:$A,Z28))</f>
        <v/>
      </c>
      <c r="AC28" s="17" t="str">
        <f aca="false">IF(Z28="","",SUMIFS(前年当月データ!$Q:$Q,前年当月データ!$A:$A,Z28,前年当月データ!$K:$K,"&gt;=6",前年当月データ!$K:$K,"&lt;"&amp;設定!$B$10))</f>
        <v/>
      </c>
      <c r="AD28" s="17" t="str">
        <f aca="false">IF(Z28="","",AB28-AC28)</f>
        <v/>
      </c>
      <c r="AE28" s="17" t="str">
        <f aca="false">IF(Z28="","",SUMIFS(前年当月データ!$L:$L,前年当月データ!$A:$A,Z28))</f>
        <v/>
      </c>
    </row>
    <row r="29" customFormat="false" ht="15" hidden="false" customHeight="false" outlineLevel="0" collapsed="false">
      <c r="A29" s="47" t="n">
        <v>27</v>
      </c>
      <c r="B29" s="16" t="str">
        <f aca="false">IF(設定!$B$4="","",IF($A29&lt;=DAY(EOMONTH(設定!$B$4,0)),設定!$B$4+$A29-1,""))</f>
        <v/>
      </c>
      <c r="C29" s="33" t="str">
        <f aca="false">IF(B29="","",IF(COUNTIF(祝日!$A:$A,B29)&gt;0,"祝",CHOOSE(WEEKDAY(B29,2),"月","火","水","木","金","土","日")))</f>
        <v/>
      </c>
      <c r="D29" s="33" t="str">
        <f aca="false">IF(B29="","",CHOOSE(WEEKDAY(B29,2),"月","火","水","木","金","土","日"))</f>
        <v/>
      </c>
      <c r="E29" s="17" t="str">
        <f aca="false">IF(B29="","",SUMIFS(先月データ!$Q:$Q,先月データ!$A:$A,B29))</f>
        <v/>
      </c>
      <c r="F29" s="17" t="str">
        <f aca="false">IF(B29="","",SUMIFS(先月データ!$L:$L,先月データ!$A:$A,B29))</f>
        <v/>
      </c>
      <c r="G29" s="17" t="str">
        <f aca="false">IF(B29="","",SUMIFS(先月データ!$R:$R,先月データ!$A:$A,B29))</f>
        <v/>
      </c>
      <c r="H29" s="17" t="str">
        <f aca="false">IF(B29="","",SUMIFS(先月データ!$Q:$Q,先月データ!$A:$A,B29,先月データ!$K:$K,"&gt;=6",先月データ!$K:$K,"&lt;"&amp;設定!$B$10))</f>
        <v/>
      </c>
      <c r="I29" s="17" t="str">
        <f aca="false">IF(B29="","",E29-H29)</f>
        <v/>
      </c>
      <c r="J29" s="33" t="str">
        <f aca="false">IF(B29="","",IF(H29&gt;=設定!$B$13,1,0))</f>
        <v/>
      </c>
      <c r="K29" s="17" t="str">
        <f aca="false">IF(B29="","",G29-SUMIFS(先月データ!$R:$R,先月データ!$A:$A,B29,先月データ!$K:$K,"&gt;=6",先月データ!$K:$K,"&lt;"&amp;設定!$B$10))</f>
        <v/>
      </c>
      <c r="L29" s="33" t="str">
        <f aca="false">IF(B29="","",IF(COUNTIF(祝日!$A:$A,B29-364)&gt;0,1,0))</f>
        <v/>
      </c>
      <c r="M29" s="17" t="str">
        <f aca="false">IF(B29="","",SUMIFS(先月データ!$M:$M,先月データ!$A:$A,B29))</f>
        <v/>
      </c>
      <c r="N29" s="16" t="str">
        <f aca="false">IF(設定!$B$5="","",IF($A29&lt;=DAY(EOMONTH(設定!$B$5,0)),設定!$B$5+$A29-1,""))</f>
        <v/>
      </c>
      <c r="O29" s="33" t="str">
        <f aca="false">IF(N29="","",IF(COUNTIF(祝日!$A:$A,N29)&gt;0,"祝",CHOOSE(WEEKDAY(N29,2),"月","火","水","木","金","土","日")))</f>
        <v/>
      </c>
      <c r="P29" s="33" t="str">
        <f aca="false">IF(N29="","",CHOOSE(WEEKDAY(N29,2),"月","火","水","木","金","土","日"))</f>
        <v/>
      </c>
      <c r="Q29" s="17" t="str">
        <f aca="false">IF(N29="","",SUMIFS(先々月データ!$Q:$Q,先々月データ!$A:$A,N29))</f>
        <v/>
      </c>
      <c r="R29" s="17" t="str">
        <f aca="false">IF(N29="","",SUMIFS(先々月データ!$L:$L,先々月データ!$A:$A,N29))</f>
        <v/>
      </c>
      <c r="S29" s="17" t="str">
        <f aca="false">IF(N29="","",SUMIFS(先々月データ!$R:$R,先々月データ!$A:$A,N29))</f>
        <v/>
      </c>
      <c r="T29" s="17" t="str">
        <f aca="false">IF(N29="","",SUMIFS(先々月データ!$Q:$Q,先々月データ!$A:$A,N29,先々月データ!$K:$K,"&gt;=6",先々月データ!$K:$K,"&lt;"&amp;設定!$B$10))</f>
        <v/>
      </c>
      <c r="U29" s="17" t="str">
        <f aca="false">IF(N29="","",Q29-T29)</f>
        <v/>
      </c>
      <c r="V29" s="33" t="str">
        <f aca="false">IF(N29="","",IF(T29&gt;=設定!$B$13,1,0))</f>
        <v/>
      </c>
      <c r="W29" s="17" t="str">
        <f aca="false">IF(N29="","",S29-SUMIFS(先々月データ!$R:$R,先々月データ!$A:$A,N29,先々月データ!$K:$K,"&gt;=6",先々月データ!$K:$K,"&lt;"&amp;設定!$B$10))</f>
        <v/>
      </c>
      <c r="X29" s="33" t="str">
        <f aca="false">IF(N29="","",IF(COUNTIF(祝日!$A:$A,N29-364)&gt;0,1,0))</f>
        <v/>
      </c>
      <c r="Y29" s="17" t="str">
        <f aca="false">IF(N29="","",SUMIFS(先々月データ!$M:$M,先々月データ!$A:$A,N29))</f>
        <v/>
      </c>
      <c r="Z29" s="16" t="str">
        <f aca="false">IF(設定!$B$6="","",IF($A29&lt;=DAY(EOMONTH(設定!$B$6,0)),設定!$B$6+$A29-1,""))</f>
        <v/>
      </c>
      <c r="AA29" s="33" t="str">
        <f aca="false">IF(Z29="","",IF(COUNTIF(祝日!$A:$A,Z29)&gt;0,"祝",CHOOSE(WEEKDAY(Z29,2),"月","火","水","木","金","土","日")))</f>
        <v/>
      </c>
      <c r="AB29" s="17" t="str">
        <f aca="false">IF(Z29="","",SUMIFS(前年当月データ!$Q:$Q,前年当月データ!$A:$A,Z29))</f>
        <v/>
      </c>
      <c r="AC29" s="17" t="str">
        <f aca="false">IF(Z29="","",SUMIFS(前年当月データ!$Q:$Q,前年当月データ!$A:$A,Z29,前年当月データ!$K:$K,"&gt;=6",前年当月データ!$K:$K,"&lt;"&amp;設定!$B$10))</f>
        <v/>
      </c>
      <c r="AD29" s="17" t="str">
        <f aca="false">IF(Z29="","",AB29-AC29)</f>
        <v/>
      </c>
      <c r="AE29" s="17" t="str">
        <f aca="false">IF(Z29="","",SUMIFS(前年当月データ!$L:$L,前年当月データ!$A:$A,Z29))</f>
        <v/>
      </c>
    </row>
    <row r="30" customFormat="false" ht="15" hidden="false" customHeight="false" outlineLevel="0" collapsed="false">
      <c r="A30" s="47" t="n">
        <v>28</v>
      </c>
      <c r="B30" s="16" t="str">
        <f aca="false">IF(設定!$B$4="","",IF($A30&lt;=DAY(EOMONTH(設定!$B$4,0)),設定!$B$4+$A30-1,""))</f>
        <v/>
      </c>
      <c r="C30" s="33" t="str">
        <f aca="false">IF(B30="","",IF(COUNTIF(祝日!$A:$A,B30)&gt;0,"祝",CHOOSE(WEEKDAY(B30,2),"月","火","水","木","金","土","日")))</f>
        <v/>
      </c>
      <c r="D30" s="33" t="str">
        <f aca="false">IF(B30="","",CHOOSE(WEEKDAY(B30,2),"月","火","水","木","金","土","日"))</f>
        <v/>
      </c>
      <c r="E30" s="17" t="str">
        <f aca="false">IF(B30="","",SUMIFS(先月データ!$Q:$Q,先月データ!$A:$A,B30))</f>
        <v/>
      </c>
      <c r="F30" s="17" t="str">
        <f aca="false">IF(B30="","",SUMIFS(先月データ!$L:$L,先月データ!$A:$A,B30))</f>
        <v/>
      </c>
      <c r="G30" s="17" t="str">
        <f aca="false">IF(B30="","",SUMIFS(先月データ!$R:$R,先月データ!$A:$A,B30))</f>
        <v/>
      </c>
      <c r="H30" s="17" t="str">
        <f aca="false">IF(B30="","",SUMIFS(先月データ!$Q:$Q,先月データ!$A:$A,B30,先月データ!$K:$K,"&gt;=6",先月データ!$K:$K,"&lt;"&amp;設定!$B$10))</f>
        <v/>
      </c>
      <c r="I30" s="17" t="str">
        <f aca="false">IF(B30="","",E30-H30)</f>
        <v/>
      </c>
      <c r="J30" s="33" t="str">
        <f aca="false">IF(B30="","",IF(H30&gt;=設定!$B$13,1,0))</f>
        <v/>
      </c>
      <c r="K30" s="17" t="str">
        <f aca="false">IF(B30="","",G30-SUMIFS(先月データ!$R:$R,先月データ!$A:$A,B30,先月データ!$K:$K,"&gt;=6",先月データ!$K:$K,"&lt;"&amp;設定!$B$10))</f>
        <v/>
      </c>
      <c r="L30" s="33" t="str">
        <f aca="false">IF(B30="","",IF(COUNTIF(祝日!$A:$A,B30-364)&gt;0,1,0))</f>
        <v/>
      </c>
      <c r="M30" s="17" t="str">
        <f aca="false">IF(B30="","",SUMIFS(先月データ!$M:$M,先月データ!$A:$A,B30))</f>
        <v/>
      </c>
      <c r="N30" s="16" t="str">
        <f aca="false">IF(設定!$B$5="","",IF($A30&lt;=DAY(EOMONTH(設定!$B$5,0)),設定!$B$5+$A30-1,""))</f>
        <v/>
      </c>
      <c r="O30" s="33" t="str">
        <f aca="false">IF(N30="","",IF(COUNTIF(祝日!$A:$A,N30)&gt;0,"祝",CHOOSE(WEEKDAY(N30,2),"月","火","水","木","金","土","日")))</f>
        <v/>
      </c>
      <c r="P30" s="33" t="str">
        <f aca="false">IF(N30="","",CHOOSE(WEEKDAY(N30,2),"月","火","水","木","金","土","日"))</f>
        <v/>
      </c>
      <c r="Q30" s="17" t="str">
        <f aca="false">IF(N30="","",SUMIFS(先々月データ!$Q:$Q,先々月データ!$A:$A,N30))</f>
        <v/>
      </c>
      <c r="R30" s="17" t="str">
        <f aca="false">IF(N30="","",SUMIFS(先々月データ!$L:$L,先々月データ!$A:$A,N30))</f>
        <v/>
      </c>
      <c r="S30" s="17" t="str">
        <f aca="false">IF(N30="","",SUMIFS(先々月データ!$R:$R,先々月データ!$A:$A,N30))</f>
        <v/>
      </c>
      <c r="T30" s="17" t="str">
        <f aca="false">IF(N30="","",SUMIFS(先々月データ!$Q:$Q,先々月データ!$A:$A,N30,先々月データ!$K:$K,"&gt;=6",先々月データ!$K:$K,"&lt;"&amp;設定!$B$10))</f>
        <v/>
      </c>
      <c r="U30" s="17" t="str">
        <f aca="false">IF(N30="","",Q30-T30)</f>
        <v/>
      </c>
      <c r="V30" s="33" t="str">
        <f aca="false">IF(N30="","",IF(T30&gt;=設定!$B$13,1,0))</f>
        <v/>
      </c>
      <c r="W30" s="17" t="str">
        <f aca="false">IF(N30="","",S30-SUMIFS(先々月データ!$R:$R,先々月データ!$A:$A,N30,先々月データ!$K:$K,"&gt;=6",先々月データ!$K:$K,"&lt;"&amp;設定!$B$10))</f>
        <v/>
      </c>
      <c r="X30" s="33" t="str">
        <f aca="false">IF(N30="","",IF(COUNTIF(祝日!$A:$A,N30-364)&gt;0,1,0))</f>
        <v/>
      </c>
      <c r="Y30" s="17" t="str">
        <f aca="false">IF(N30="","",SUMIFS(先々月データ!$M:$M,先々月データ!$A:$A,N30))</f>
        <v/>
      </c>
      <c r="Z30" s="16" t="str">
        <f aca="false">IF(設定!$B$6="","",IF($A30&lt;=DAY(EOMONTH(設定!$B$6,0)),設定!$B$6+$A30-1,""))</f>
        <v/>
      </c>
      <c r="AA30" s="33" t="str">
        <f aca="false">IF(Z30="","",IF(COUNTIF(祝日!$A:$A,Z30)&gt;0,"祝",CHOOSE(WEEKDAY(Z30,2),"月","火","水","木","金","土","日")))</f>
        <v/>
      </c>
      <c r="AB30" s="17" t="str">
        <f aca="false">IF(Z30="","",SUMIFS(前年当月データ!$Q:$Q,前年当月データ!$A:$A,Z30))</f>
        <v/>
      </c>
      <c r="AC30" s="17" t="str">
        <f aca="false">IF(Z30="","",SUMIFS(前年当月データ!$Q:$Q,前年当月データ!$A:$A,Z30,前年当月データ!$K:$K,"&gt;=6",前年当月データ!$K:$K,"&lt;"&amp;設定!$B$10))</f>
        <v/>
      </c>
      <c r="AD30" s="17" t="str">
        <f aca="false">IF(Z30="","",AB30-AC30)</f>
        <v/>
      </c>
      <c r="AE30" s="17" t="str">
        <f aca="false">IF(Z30="","",SUMIFS(前年当月データ!$L:$L,前年当月データ!$A:$A,Z30))</f>
        <v/>
      </c>
    </row>
    <row r="31" customFormat="false" ht="15" hidden="false" customHeight="false" outlineLevel="0" collapsed="false">
      <c r="A31" s="47" t="n">
        <v>29</v>
      </c>
      <c r="B31" s="16" t="str">
        <f aca="false">IF(設定!$B$4="","",IF($A31&lt;=DAY(EOMONTH(設定!$B$4,0)),設定!$B$4+$A31-1,""))</f>
        <v/>
      </c>
      <c r="C31" s="33" t="str">
        <f aca="false">IF(B31="","",IF(COUNTIF(祝日!$A:$A,B31)&gt;0,"祝",CHOOSE(WEEKDAY(B31,2),"月","火","水","木","金","土","日")))</f>
        <v/>
      </c>
      <c r="D31" s="33" t="str">
        <f aca="false">IF(B31="","",CHOOSE(WEEKDAY(B31,2),"月","火","水","木","金","土","日"))</f>
        <v/>
      </c>
      <c r="E31" s="17" t="str">
        <f aca="false">IF(B31="","",SUMIFS(先月データ!$Q:$Q,先月データ!$A:$A,B31))</f>
        <v/>
      </c>
      <c r="F31" s="17" t="str">
        <f aca="false">IF(B31="","",SUMIFS(先月データ!$L:$L,先月データ!$A:$A,B31))</f>
        <v/>
      </c>
      <c r="G31" s="17" t="str">
        <f aca="false">IF(B31="","",SUMIFS(先月データ!$R:$R,先月データ!$A:$A,B31))</f>
        <v/>
      </c>
      <c r="H31" s="17" t="str">
        <f aca="false">IF(B31="","",SUMIFS(先月データ!$Q:$Q,先月データ!$A:$A,B31,先月データ!$K:$K,"&gt;=6",先月データ!$K:$K,"&lt;"&amp;設定!$B$10))</f>
        <v/>
      </c>
      <c r="I31" s="17" t="str">
        <f aca="false">IF(B31="","",E31-H31)</f>
        <v/>
      </c>
      <c r="J31" s="33" t="str">
        <f aca="false">IF(B31="","",IF(H31&gt;=設定!$B$13,1,0))</f>
        <v/>
      </c>
      <c r="K31" s="17" t="str">
        <f aca="false">IF(B31="","",G31-SUMIFS(先月データ!$R:$R,先月データ!$A:$A,B31,先月データ!$K:$K,"&gt;=6",先月データ!$K:$K,"&lt;"&amp;設定!$B$10))</f>
        <v/>
      </c>
      <c r="L31" s="33" t="str">
        <f aca="false">IF(B31="","",IF(COUNTIF(祝日!$A:$A,B31-364)&gt;0,1,0))</f>
        <v/>
      </c>
      <c r="M31" s="17" t="str">
        <f aca="false">IF(B31="","",SUMIFS(先月データ!$M:$M,先月データ!$A:$A,B31))</f>
        <v/>
      </c>
      <c r="N31" s="16" t="str">
        <f aca="false">IF(設定!$B$5="","",IF($A31&lt;=DAY(EOMONTH(設定!$B$5,0)),設定!$B$5+$A31-1,""))</f>
        <v/>
      </c>
      <c r="O31" s="33" t="str">
        <f aca="false">IF(N31="","",IF(COUNTIF(祝日!$A:$A,N31)&gt;0,"祝",CHOOSE(WEEKDAY(N31,2),"月","火","水","木","金","土","日")))</f>
        <v/>
      </c>
      <c r="P31" s="33" t="str">
        <f aca="false">IF(N31="","",CHOOSE(WEEKDAY(N31,2),"月","火","水","木","金","土","日"))</f>
        <v/>
      </c>
      <c r="Q31" s="17" t="str">
        <f aca="false">IF(N31="","",SUMIFS(先々月データ!$Q:$Q,先々月データ!$A:$A,N31))</f>
        <v/>
      </c>
      <c r="R31" s="17" t="str">
        <f aca="false">IF(N31="","",SUMIFS(先々月データ!$L:$L,先々月データ!$A:$A,N31))</f>
        <v/>
      </c>
      <c r="S31" s="17" t="str">
        <f aca="false">IF(N31="","",SUMIFS(先々月データ!$R:$R,先々月データ!$A:$A,N31))</f>
        <v/>
      </c>
      <c r="T31" s="17" t="str">
        <f aca="false">IF(N31="","",SUMIFS(先々月データ!$Q:$Q,先々月データ!$A:$A,N31,先々月データ!$K:$K,"&gt;=6",先々月データ!$K:$K,"&lt;"&amp;設定!$B$10))</f>
        <v/>
      </c>
      <c r="U31" s="17" t="str">
        <f aca="false">IF(N31="","",Q31-T31)</f>
        <v/>
      </c>
      <c r="V31" s="33" t="str">
        <f aca="false">IF(N31="","",IF(T31&gt;=設定!$B$13,1,0))</f>
        <v/>
      </c>
      <c r="W31" s="17" t="str">
        <f aca="false">IF(N31="","",S31-SUMIFS(先々月データ!$R:$R,先々月データ!$A:$A,N31,先々月データ!$K:$K,"&gt;=6",先々月データ!$K:$K,"&lt;"&amp;設定!$B$10))</f>
        <v/>
      </c>
      <c r="X31" s="33" t="str">
        <f aca="false">IF(N31="","",IF(COUNTIF(祝日!$A:$A,N31-364)&gt;0,1,0))</f>
        <v/>
      </c>
      <c r="Y31" s="17" t="str">
        <f aca="false">IF(N31="","",SUMIFS(先々月データ!$M:$M,先々月データ!$A:$A,N31))</f>
        <v/>
      </c>
      <c r="Z31" s="16" t="str">
        <f aca="false">IF(設定!$B$6="","",IF($A31&lt;=DAY(EOMONTH(設定!$B$6,0)),設定!$B$6+$A31-1,""))</f>
        <v/>
      </c>
      <c r="AA31" s="33" t="str">
        <f aca="false">IF(Z31="","",IF(COUNTIF(祝日!$A:$A,Z31)&gt;0,"祝",CHOOSE(WEEKDAY(Z31,2),"月","火","水","木","金","土","日")))</f>
        <v/>
      </c>
      <c r="AB31" s="17" t="str">
        <f aca="false">IF(Z31="","",SUMIFS(前年当月データ!$Q:$Q,前年当月データ!$A:$A,Z31))</f>
        <v/>
      </c>
      <c r="AC31" s="17" t="str">
        <f aca="false">IF(Z31="","",SUMIFS(前年当月データ!$Q:$Q,前年当月データ!$A:$A,Z31,前年当月データ!$K:$K,"&gt;=6",前年当月データ!$K:$K,"&lt;"&amp;設定!$B$10))</f>
        <v/>
      </c>
      <c r="AD31" s="17" t="str">
        <f aca="false">IF(Z31="","",AB31-AC31)</f>
        <v/>
      </c>
      <c r="AE31" s="17" t="str">
        <f aca="false">IF(Z31="","",SUMIFS(前年当月データ!$L:$L,前年当月データ!$A:$A,Z31))</f>
        <v/>
      </c>
    </row>
    <row r="32" customFormat="false" ht="15" hidden="false" customHeight="false" outlineLevel="0" collapsed="false">
      <c r="A32" s="47" t="n">
        <v>30</v>
      </c>
      <c r="B32" s="16" t="str">
        <f aca="false">IF(設定!$B$4="","",IF($A32&lt;=DAY(EOMONTH(設定!$B$4,0)),設定!$B$4+$A32-1,""))</f>
        <v/>
      </c>
      <c r="C32" s="33" t="str">
        <f aca="false">IF(B32="","",IF(COUNTIF(祝日!$A:$A,B32)&gt;0,"祝",CHOOSE(WEEKDAY(B32,2),"月","火","水","木","金","土","日")))</f>
        <v/>
      </c>
      <c r="D32" s="33" t="str">
        <f aca="false">IF(B32="","",CHOOSE(WEEKDAY(B32,2),"月","火","水","木","金","土","日"))</f>
        <v/>
      </c>
      <c r="E32" s="17" t="str">
        <f aca="false">IF(B32="","",SUMIFS(先月データ!$Q:$Q,先月データ!$A:$A,B32))</f>
        <v/>
      </c>
      <c r="F32" s="17" t="str">
        <f aca="false">IF(B32="","",SUMIFS(先月データ!$L:$L,先月データ!$A:$A,B32))</f>
        <v/>
      </c>
      <c r="G32" s="17" t="str">
        <f aca="false">IF(B32="","",SUMIFS(先月データ!$R:$R,先月データ!$A:$A,B32))</f>
        <v/>
      </c>
      <c r="H32" s="17" t="str">
        <f aca="false">IF(B32="","",SUMIFS(先月データ!$Q:$Q,先月データ!$A:$A,B32,先月データ!$K:$K,"&gt;=6",先月データ!$K:$K,"&lt;"&amp;設定!$B$10))</f>
        <v/>
      </c>
      <c r="I32" s="17" t="str">
        <f aca="false">IF(B32="","",E32-H32)</f>
        <v/>
      </c>
      <c r="J32" s="33" t="str">
        <f aca="false">IF(B32="","",IF(H32&gt;=設定!$B$13,1,0))</f>
        <v/>
      </c>
      <c r="K32" s="17" t="str">
        <f aca="false">IF(B32="","",G32-SUMIFS(先月データ!$R:$R,先月データ!$A:$A,B32,先月データ!$K:$K,"&gt;=6",先月データ!$K:$K,"&lt;"&amp;設定!$B$10))</f>
        <v/>
      </c>
      <c r="L32" s="33" t="str">
        <f aca="false">IF(B32="","",IF(COUNTIF(祝日!$A:$A,B32-364)&gt;0,1,0))</f>
        <v/>
      </c>
      <c r="M32" s="17" t="str">
        <f aca="false">IF(B32="","",SUMIFS(先月データ!$M:$M,先月データ!$A:$A,B32))</f>
        <v/>
      </c>
      <c r="N32" s="16" t="str">
        <f aca="false">IF(設定!$B$5="","",IF($A32&lt;=DAY(EOMONTH(設定!$B$5,0)),設定!$B$5+$A32-1,""))</f>
        <v/>
      </c>
      <c r="O32" s="33" t="str">
        <f aca="false">IF(N32="","",IF(COUNTIF(祝日!$A:$A,N32)&gt;0,"祝",CHOOSE(WEEKDAY(N32,2),"月","火","水","木","金","土","日")))</f>
        <v/>
      </c>
      <c r="P32" s="33" t="str">
        <f aca="false">IF(N32="","",CHOOSE(WEEKDAY(N32,2),"月","火","水","木","金","土","日"))</f>
        <v/>
      </c>
      <c r="Q32" s="17" t="str">
        <f aca="false">IF(N32="","",SUMIFS(先々月データ!$Q:$Q,先々月データ!$A:$A,N32))</f>
        <v/>
      </c>
      <c r="R32" s="17" t="str">
        <f aca="false">IF(N32="","",SUMIFS(先々月データ!$L:$L,先々月データ!$A:$A,N32))</f>
        <v/>
      </c>
      <c r="S32" s="17" t="str">
        <f aca="false">IF(N32="","",SUMIFS(先々月データ!$R:$R,先々月データ!$A:$A,N32))</f>
        <v/>
      </c>
      <c r="T32" s="17" t="str">
        <f aca="false">IF(N32="","",SUMIFS(先々月データ!$Q:$Q,先々月データ!$A:$A,N32,先々月データ!$K:$K,"&gt;=6",先々月データ!$K:$K,"&lt;"&amp;設定!$B$10))</f>
        <v/>
      </c>
      <c r="U32" s="17" t="str">
        <f aca="false">IF(N32="","",Q32-T32)</f>
        <v/>
      </c>
      <c r="V32" s="33" t="str">
        <f aca="false">IF(N32="","",IF(T32&gt;=設定!$B$13,1,0))</f>
        <v/>
      </c>
      <c r="W32" s="17" t="str">
        <f aca="false">IF(N32="","",S32-SUMIFS(先々月データ!$R:$R,先々月データ!$A:$A,N32,先々月データ!$K:$K,"&gt;=6",先々月データ!$K:$K,"&lt;"&amp;設定!$B$10))</f>
        <v/>
      </c>
      <c r="X32" s="33" t="str">
        <f aca="false">IF(N32="","",IF(COUNTIF(祝日!$A:$A,N32-364)&gt;0,1,0))</f>
        <v/>
      </c>
      <c r="Y32" s="17" t="str">
        <f aca="false">IF(N32="","",SUMIFS(先々月データ!$M:$M,先々月データ!$A:$A,N32))</f>
        <v/>
      </c>
      <c r="Z32" s="16" t="str">
        <f aca="false">IF(設定!$B$6="","",IF($A32&lt;=DAY(EOMONTH(設定!$B$6,0)),設定!$B$6+$A32-1,""))</f>
        <v/>
      </c>
      <c r="AA32" s="33" t="str">
        <f aca="false">IF(Z32="","",IF(COUNTIF(祝日!$A:$A,Z32)&gt;0,"祝",CHOOSE(WEEKDAY(Z32,2),"月","火","水","木","金","土","日")))</f>
        <v/>
      </c>
      <c r="AB32" s="17" t="str">
        <f aca="false">IF(Z32="","",SUMIFS(前年当月データ!$Q:$Q,前年当月データ!$A:$A,Z32))</f>
        <v/>
      </c>
      <c r="AC32" s="17" t="str">
        <f aca="false">IF(Z32="","",SUMIFS(前年当月データ!$Q:$Q,前年当月データ!$A:$A,Z32,前年当月データ!$K:$K,"&gt;=6",前年当月データ!$K:$K,"&lt;"&amp;設定!$B$10))</f>
        <v/>
      </c>
      <c r="AD32" s="17" t="str">
        <f aca="false">IF(Z32="","",AB32-AC32)</f>
        <v/>
      </c>
      <c r="AE32" s="17" t="str">
        <f aca="false">IF(Z32="","",SUMIFS(前年当月データ!$L:$L,前年当月データ!$A:$A,Z32))</f>
        <v/>
      </c>
    </row>
    <row r="33" customFormat="false" ht="15" hidden="false" customHeight="false" outlineLevel="0" collapsed="false">
      <c r="A33" s="47" t="n">
        <v>31</v>
      </c>
      <c r="B33" s="16" t="str">
        <f aca="false">IF(設定!$B$4="","",IF($A33&lt;=DAY(EOMONTH(設定!$B$4,0)),設定!$B$4+$A33-1,""))</f>
        <v/>
      </c>
      <c r="C33" s="33" t="str">
        <f aca="false">IF(B33="","",IF(COUNTIF(祝日!$A:$A,B33)&gt;0,"祝",CHOOSE(WEEKDAY(B33,2),"月","火","水","木","金","土","日")))</f>
        <v/>
      </c>
      <c r="D33" s="33" t="str">
        <f aca="false">IF(B33="","",CHOOSE(WEEKDAY(B33,2),"月","火","水","木","金","土","日"))</f>
        <v/>
      </c>
      <c r="E33" s="17" t="str">
        <f aca="false">IF(B33="","",SUMIFS(先月データ!$Q:$Q,先月データ!$A:$A,B33))</f>
        <v/>
      </c>
      <c r="F33" s="17" t="str">
        <f aca="false">IF(B33="","",SUMIFS(先月データ!$L:$L,先月データ!$A:$A,B33))</f>
        <v/>
      </c>
      <c r="G33" s="17" t="str">
        <f aca="false">IF(B33="","",SUMIFS(先月データ!$R:$R,先月データ!$A:$A,B33))</f>
        <v/>
      </c>
      <c r="H33" s="17" t="str">
        <f aca="false">IF(B33="","",SUMIFS(先月データ!$Q:$Q,先月データ!$A:$A,B33,先月データ!$K:$K,"&gt;=6",先月データ!$K:$K,"&lt;"&amp;設定!$B$10))</f>
        <v/>
      </c>
      <c r="I33" s="17" t="str">
        <f aca="false">IF(B33="","",E33-H33)</f>
        <v/>
      </c>
      <c r="J33" s="33" t="str">
        <f aca="false">IF(B33="","",IF(H33&gt;=設定!$B$13,1,0))</f>
        <v/>
      </c>
      <c r="K33" s="17" t="str">
        <f aca="false">IF(B33="","",G33-SUMIFS(先月データ!$R:$R,先月データ!$A:$A,B33,先月データ!$K:$K,"&gt;=6",先月データ!$K:$K,"&lt;"&amp;設定!$B$10))</f>
        <v/>
      </c>
      <c r="L33" s="33" t="str">
        <f aca="false">IF(B33="","",IF(COUNTIF(祝日!$A:$A,B33-364)&gt;0,1,0))</f>
        <v/>
      </c>
      <c r="M33" s="17" t="str">
        <f aca="false">IF(B33="","",SUMIFS(先月データ!$M:$M,先月データ!$A:$A,B33))</f>
        <v/>
      </c>
      <c r="N33" s="16" t="str">
        <f aca="false">IF(設定!$B$5="","",IF($A33&lt;=DAY(EOMONTH(設定!$B$5,0)),設定!$B$5+$A33-1,""))</f>
        <v/>
      </c>
      <c r="O33" s="33" t="str">
        <f aca="false">IF(N33="","",IF(COUNTIF(祝日!$A:$A,N33)&gt;0,"祝",CHOOSE(WEEKDAY(N33,2),"月","火","水","木","金","土","日")))</f>
        <v/>
      </c>
      <c r="P33" s="33" t="str">
        <f aca="false">IF(N33="","",CHOOSE(WEEKDAY(N33,2),"月","火","水","木","金","土","日"))</f>
        <v/>
      </c>
      <c r="Q33" s="17" t="str">
        <f aca="false">IF(N33="","",SUMIFS(先々月データ!$Q:$Q,先々月データ!$A:$A,N33))</f>
        <v/>
      </c>
      <c r="R33" s="17" t="str">
        <f aca="false">IF(N33="","",SUMIFS(先々月データ!$L:$L,先々月データ!$A:$A,N33))</f>
        <v/>
      </c>
      <c r="S33" s="17" t="str">
        <f aca="false">IF(N33="","",SUMIFS(先々月データ!$R:$R,先々月データ!$A:$A,N33))</f>
        <v/>
      </c>
      <c r="T33" s="17" t="str">
        <f aca="false">IF(N33="","",SUMIFS(先々月データ!$Q:$Q,先々月データ!$A:$A,N33,先々月データ!$K:$K,"&gt;=6",先々月データ!$K:$K,"&lt;"&amp;設定!$B$10))</f>
        <v/>
      </c>
      <c r="U33" s="17" t="str">
        <f aca="false">IF(N33="","",Q33-T33)</f>
        <v/>
      </c>
      <c r="V33" s="33" t="str">
        <f aca="false">IF(N33="","",IF(T33&gt;=設定!$B$13,1,0))</f>
        <v/>
      </c>
      <c r="W33" s="17" t="str">
        <f aca="false">IF(N33="","",S33-SUMIFS(先々月データ!$R:$R,先々月データ!$A:$A,N33,先々月データ!$K:$K,"&gt;=6",先々月データ!$K:$K,"&lt;"&amp;設定!$B$10))</f>
        <v/>
      </c>
      <c r="X33" s="33" t="str">
        <f aca="false">IF(N33="","",IF(COUNTIF(祝日!$A:$A,N33-364)&gt;0,1,0))</f>
        <v/>
      </c>
      <c r="Y33" s="17" t="str">
        <f aca="false">IF(N33="","",SUMIFS(先々月データ!$M:$M,先々月データ!$A:$A,N33))</f>
        <v/>
      </c>
      <c r="Z33" s="16" t="str">
        <f aca="false">IF(設定!$B$6="","",IF($A33&lt;=DAY(EOMONTH(設定!$B$6,0)),設定!$B$6+$A33-1,""))</f>
        <v/>
      </c>
      <c r="AA33" s="33" t="str">
        <f aca="false">IF(Z33="","",IF(COUNTIF(祝日!$A:$A,Z33)&gt;0,"祝",CHOOSE(WEEKDAY(Z33,2),"月","火","水","木","金","土","日")))</f>
        <v/>
      </c>
      <c r="AB33" s="17" t="str">
        <f aca="false">IF(Z33="","",SUMIFS(前年当月データ!$Q:$Q,前年当月データ!$A:$A,Z33))</f>
        <v/>
      </c>
      <c r="AC33" s="17" t="str">
        <f aca="false">IF(Z33="","",SUMIFS(前年当月データ!$Q:$Q,前年当月データ!$A:$A,Z33,前年当月データ!$K:$K,"&gt;=6",前年当月データ!$K:$K,"&lt;"&amp;設定!$B$10))</f>
        <v/>
      </c>
      <c r="AD33" s="17" t="str">
        <f aca="false">IF(Z33="","",AB33-AC33)</f>
        <v/>
      </c>
      <c r="AE33" s="17" t="str">
        <f aca="false">IF(Z33="","",SUMIFS(前年当月データ!$L:$L,前年当月データ!$A:$A,Z33))</f>
        <v/>
      </c>
    </row>
    <row r="36" customFormat="false" ht="15" hidden="false" customHeight="false" outlineLevel="0" collapsed="false">
      <c r="A36" s="32" t="s">
        <v>185</v>
      </c>
    </row>
    <row r="37" customFormat="false" ht="39.55" hidden="false" customHeight="false" outlineLevel="0" collapsed="false">
      <c r="A37" s="10" t="s">
        <v>64</v>
      </c>
      <c r="B37" s="10" t="s">
        <v>186</v>
      </c>
      <c r="C37" s="10" t="s">
        <v>187</v>
      </c>
      <c r="D37" s="10" t="s">
        <v>188</v>
      </c>
      <c r="E37" s="10" t="s">
        <v>189</v>
      </c>
      <c r="F37" s="10" t="s">
        <v>190</v>
      </c>
      <c r="G37" s="10" t="s">
        <v>191</v>
      </c>
      <c r="H37" s="10" t="s">
        <v>192</v>
      </c>
      <c r="I37" s="10" t="s">
        <v>193</v>
      </c>
      <c r="J37" s="10" t="s">
        <v>194</v>
      </c>
      <c r="K37" s="10" t="s">
        <v>195</v>
      </c>
      <c r="L37" s="10" t="s">
        <v>196</v>
      </c>
      <c r="M37" s="10" t="s">
        <v>197</v>
      </c>
      <c r="N37" s="10" t="s">
        <v>198</v>
      </c>
      <c r="O37" s="10" t="s">
        <v>199</v>
      </c>
      <c r="P37" s="10" t="s">
        <v>200</v>
      </c>
      <c r="Q37" s="10" t="s">
        <v>201</v>
      </c>
      <c r="R37" s="10" t="s">
        <v>202</v>
      </c>
      <c r="S37" s="10" t="s">
        <v>203</v>
      </c>
      <c r="T37" s="10" t="s">
        <v>204</v>
      </c>
      <c r="U37" s="10" t="s">
        <v>205</v>
      </c>
    </row>
    <row r="38" customFormat="false" ht="15" hidden="false" customHeight="false" outlineLevel="0" collapsed="false">
      <c r="A38" s="52" t="s">
        <v>206</v>
      </c>
      <c r="B38" s="29" t="n">
        <f aca="false">COUNTIFS(集計!$C$3:$C$33,$A38,集計!$E$3:$E$33,"&gt;0")</f>
        <v>0</v>
      </c>
      <c r="C38" s="29" t="n">
        <f aca="false">COUNTIFS(集計!$C$3:$C$33,$A38,集計!$J$3:$J$33,1)</f>
        <v>0</v>
      </c>
      <c r="D38" s="15" t="str">
        <f aca="false">IF(B38&gt;0,AVERAGEIFS(集計!$I$3:$I$33,集計!$C$3:$C$33,$A38,集計!$E$3:$E$33,"&gt;0"),"")</f>
        <v/>
      </c>
      <c r="E38" s="15" t="str">
        <f aca="false">IF(C38&gt;0,AVERAGEIFS(集計!$H$3:$H$33,集計!$C$3:$C$33,$A38,集計!$J$3:$J$33,1),"")</f>
        <v/>
      </c>
      <c r="F38" s="29" t="n">
        <f aca="false">COUNTIFS(集計!$O$3:$O$33,$A38,集計!$Q$3:$Q$33,"&gt;0")</f>
        <v>0</v>
      </c>
      <c r="G38" s="29" t="n">
        <f aca="false">COUNTIFS(集計!$O$3:$O$33,$A38,集計!$V$3:$V$33,1)</f>
        <v>0</v>
      </c>
      <c r="H38" s="15" t="str">
        <f aca="false">IF(F38&gt;0,AVERAGEIFS(集計!$U$3:$U$33,集計!$O$3:$O$33,$A38,集計!$Q$3:$Q$33,"&gt;0"),"")</f>
        <v/>
      </c>
      <c r="I38" s="15" t="str">
        <f aca="false">IF(G38&gt;0,AVERAGEIFS(集計!$T$3:$T$33,集計!$O$3:$O$33,$A38,集計!$V$3:$V$33,1),"")</f>
        <v/>
      </c>
      <c r="J38" s="15" t="str">
        <f aca="false">IF(AND(B38&gt;0,F38&gt;0),(設定!$B$15*D38+設定!$B$16*H38)/(設定!$B$15+設定!$B$16),IF(B38&gt;0,D38,IF(F38&gt;0,H38,"")))</f>
        <v/>
      </c>
      <c r="K38" s="15" t="str">
        <f aca="false">IF(AND(C38&gt;0,G38&gt;0),(設定!$B$15*E38+設定!$B$16*I38)/(設定!$B$15+設定!$B$16),IF(C38&gt;0,E38,IF(G38&gt;0,I38,"")))</f>
        <v/>
      </c>
      <c r="L38" s="15" t="str">
        <f aca="false">IF(J38&lt;&gt;"",J38,IF(AND($A38="祝",$J$44&lt;&gt;""),$J$44,$L$47))</f>
        <v/>
      </c>
      <c r="M38" s="15" t="n">
        <f aca="false">IF(K38&lt;&gt;"",K38,IF($M$48&lt;&gt;"",$M$48,N($M$47)))</f>
        <v>0</v>
      </c>
      <c r="N38" s="17" t="str">
        <f aca="false">IFERROR(SUMIFS(集計!$F$3:$F$33,集計!$C$3:$C$33,$A38)/SUMIFS(集計!$E$3:$E$33,集計!$C$3:$C$33,$A38),"")</f>
        <v/>
      </c>
      <c r="O38" s="17" t="str">
        <f aca="false">IFERROR(SUMIFS(集計!$R$3:$R$33,集計!$O$3:$O$33,$A38)/SUMIFS(集計!$Q$3:$Q$33,集計!$O$3:$O$33,$A38),"")</f>
        <v/>
      </c>
      <c r="P38" s="17" t="n">
        <f aca="false">IF(AND(N38&lt;&gt;"",O38&lt;&gt;""),(設定!$B$15*N38+設定!$B$16*O38)/(設定!$B$15+設定!$B$16),IF(N38&lt;&gt;"",N38,IF(O38&lt;&gt;"",O38,$P$47)))</f>
        <v>0</v>
      </c>
      <c r="Q38" s="15" t="str">
        <f aca="false">IFERROR(AVERAGEIFS(集計!$K$3:$K$33,集計!$D$3:$D$33,$A38,集計!$K$3:$K$33,"&gt;0",集計!$L$3:$L$33,0),"")</f>
        <v/>
      </c>
      <c r="R38" s="15" t="str">
        <f aca="false">IFERROR(AVERAGEIFS(集計!$W$3:$W$33,集計!$P$3:$P$33,$A38,集計!$W$3:$W$33,"&gt;0",集計!$X$3:$X$33,0),"")</f>
        <v/>
      </c>
      <c r="S38" s="15" t="str">
        <f aca="false">IF(AND(Q38&lt;&gt;"",R38&lt;&gt;""),(設定!$B$15*Q38+設定!$B$16*R38)/(設定!$B$15+設定!$B$16),IF(Q38&lt;&gt;"",Q38,IF(R38&lt;&gt;"",R38,"")))</f>
        <v/>
      </c>
      <c r="T38" s="15" t="str">
        <f aca="false">IFERROR(AVERAGEIFS(集計!$AD$3:$AD$33,集計!$AA$3:$AA$33,$A38,集計!$AD$3:$AD$33,"&gt;0"),"")</f>
        <v/>
      </c>
      <c r="U38" s="29" t="n">
        <f aca="false">IF(AND(S38&lt;&gt;"",T38&lt;&gt;""),1,0)</f>
        <v>0</v>
      </c>
    </row>
    <row r="39" customFormat="false" ht="15" hidden="false" customHeight="false" outlineLevel="0" collapsed="false">
      <c r="A39" s="52" t="s">
        <v>207</v>
      </c>
      <c r="B39" s="29" t="n">
        <f aca="false">COUNTIFS(集計!$C$3:$C$33,$A39,集計!$E$3:$E$33,"&gt;0")</f>
        <v>0</v>
      </c>
      <c r="C39" s="29" t="n">
        <f aca="false">COUNTIFS(集計!$C$3:$C$33,$A39,集計!$J$3:$J$33,1)</f>
        <v>0</v>
      </c>
      <c r="D39" s="15" t="str">
        <f aca="false">IF(B39&gt;0,AVERAGEIFS(集計!$I$3:$I$33,集計!$C$3:$C$33,$A39,集計!$E$3:$E$33,"&gt;0"),"")</f>
        <v/>
      </c>
      <c r="E39" s="15" t="str">
        <f aca="false">IF(C39&gt;0,AVERAGEIFS(集計!$H$3:$H$33,集計!$C$3:$C$33,$A39,集計!$J$3:$J$33,1),"")</f>
        <v/>
      </c>
      <c r="F39" s="29" t="n">
        <f aca="false">COUNTIFS(集計!$O$3:$O$33,$A39,集計!$Q$3:$Q$33,"&gt;0")</f>
        <v>0</v>
      </c>
      <c r="G39" s="29" t="n">
        <f aca="false">COUNTIFS(集計!$O$3:$O$33,$A39,集計!$V$3:$V$33,1)</f>
        <v>0</v>
      </c>
      <c r="H39" s="15" t="str">
        <f aca="false">IF(F39&gt;0,AVERAGEIFS(集計!$U$3:$U$33,集計!$O$3:$O$33,$A39,集計!$Q$3:$Q$33,"&gt;0"),"")</f>
        <v/>
      </c>
      <c r="I39" s="15" t="str">
        <f aca="false">IF(G39&gt;0,AVERAGEIFS(集計!$T$3:$T$33,集計!$O$3:$O$33,$A39,集計!$V$3:$V$33,1),"")</f>
        <v/>
      </c>
      <c r="J39" s="15" t="str">
        <f aca="false">IF(AND(B39&gt;0,F39&gt;0),(設定!$B$15*D39+設定!$B$16*H39)/(設定!$B$15+設定!$B$16),IF(B39&gt;0,D39,IF(F39&gt;0,H39,"")))</f>
        <v/>
      </c>
      <c r="K39" s="15" t="str">
        <f aca="false">IF(AND(C39&gt;0,G39&gt;0),(設定!$B$15*E39+設定!$B$16*I39)/(設定!$B$15+設定!$B$16),IF(C39&gt;0,E39,IF(G39&gt;0,I39,"")))</f>
        <v/>
      </c>
      <c r="L39" s="15" t="str">
        <f aca="false">IF(J39&lt;&gt;"",J39,IF(AND($A39="祝",$J$44&lt;&gt;""),$J$44,$L$47))</f>
        <v/>
      </c>
      <c r="M39" s="15" t="n">
        <f aca="false">IF(K39&lt;&gt;"",K39,IF($M$48&lt;&gt;"",$M$48,N($M$47)))</f>
        <v>0</v>
      </c>
      <c r="N39" s="17" t="str">
        <f aca="false">IFERROR(SUMIFS(集計!$F$3:$F$33,集計!$C$3:$C$33,$A39)/SUMIFS(集計!$E$3:$E$33,集計!$C$3:$C$33,$A39),"")</f>
        <v/>
      </c>
      <c r="O39" s="17" t="str">
        <f aca="false">IFERROR(SUMIFS(集計!$R$3:$R$33,集計!$O$3:$O$33,$A39)/SUMIFS(集計!$Q$3:$Q$33,集計!$O$3:$O$33,$A39),"")</f>
        <v/>
      </c>
      <c r="P39" s="17" t="n">
        <f aca="false">IF(AND(N39&lt;&gt;"",O39&lt;&gt;""),(設定!$B$15*N39+設定!$B$16*O39)/(設定!$B$15+設定!$B$16),IF(N39&lt;&gt;"",N39,IF(O39&lt;&gt;"",O39,$P$47)))</f>
        <v>0</v>
      </c>
      <c r="Q39" s="15" t="str">
        <f aca="false">IFERROR(AVERAGEIFS(集計!$K$3:$K$33,集計!$D$3:$D$33,$A39,集計!$K$3:$K$33,"&gt;0",集計!$L$3:$L$33,0),"")</f>
        <v/>
      </c>
      <c r="R39" s="15" t="str">
        <f aca="false">IFERROR(AVERAGEIFS(集計!$W$3:$W$33,集計!$P$3:$P$33,$A39,集計!$W$3:$W$33,"&gt;0",集計!$X$3:$X$33,0),"")</f>
        <v/>
      </c>
      <c r="S39" s="15" t="str">
        <f aca="false">IF(AND(Q39&lt;&gt;"",R39&lt;&gt;""),(設定!$B$15*Q39+設定!$B$16*R39)/(設定!$B$15+設定!$B$16),IF(Q39&lt;&gt;"",Q39,IF(R39&lt;&gt;"",R39,"")))</f>
        <v/>
      </c>
      <c r="T39" s="15" t="str">
        <f aca="false">IFERROR(AVERAGEIFS(集計!$AD$3:$AD$33,集計!$AA$3:$AA$33,$A39,集計!$AD$3:$AD$33,"&gt;0"),"")</f>
        <v/>
      </c>
      <c r="U39" s="29" t="n">
        <f aca="false">IF(AND(S39&lt;&gt;"",T39&lt;&gt;""),1,0)</f>
        <v>0</v>
      </c>
    </row>
    <row r="40" customFormat="false" ht="15" hidden="false" customHeight="false" outlineLevel="0" collapsed="false">
      <c r="A40" s="52" t="s">
        <v>208</v>
      </c>
      <c r="B40" s="29" t="n">
        <f aca="false">COUNTIFS(集計!$C$3:$C$33,$A40,集計!$E$3:$E$33,"&gt;0")</f>
        <v>0</v>
      </c>
      <c r="C40" s="29" t="n">
        <f aca="false">COUNTIFS(集計!$C$3:$C$33,$A40,集計!$J$3:$J$33,1)</f>
        <v>0</v>
      </c>
      <c r="D40" s="15" t="str">
        <f aca="false">IF(B40&gt;0,AVERAGEIFS(集計!$I$3:$I$33,集計!$C$3:$C$33,$A40,集計!$E$3:$E$33,"&gt;0"),"")</f>
        <v/>
      </c>
      <c r="E40" s="15" t="str">
        <f aca="false">IF(C40&gt;0,AVERAGEIFS(集計!$H$3:$H$33,集計!$C$3:$C$33,$A40,集計!$J$3:$J$33,1),"")</f>
        <v/>
      </c>
      <c r="F40" s="29" t="n">
        <f aca="false">COUNTIFS(集計!$O$3:$O$33,$A40,集計!$Q$3:$Q$33,"&gt;0")</f>
        <v>0</v>
      </c>
      <c r="G40" s="29" t="n">
        <f aca="false">COUNTIFS(集計!$O$3:$O$33,$A40,集計!$V$3:$V$33,1)</f>
        <v>0</v>
      </c>
      <c r="H40" s="15" t="str">
        <f aca="false">IF(F40&gt;0,AVERAGEIFS(集計!$U$3:$U$33,集計!$O$3:$O$33,$A40,集計!$Q$3:$Q$33,"&gt;0"),"")</f>
        <v/>
      </c>
      <c r="I40" s="15" t="str">
        <f aca="false">IF(G40&gt;0,AVERAGEIFS(集計!$T$3:$T$33,集計!$O$3:$O$33,$A40,集計!$V$3:$V$33,1),"")</f>
        <v/>
      </c>
      <c r="J40" s="15" t="str">
        <f aca="false">IF(AND(B40&gt;0,F40&gt;0),(設定!$B$15*D40+設定!$B$16*H40)/(設定!$B$15+設定!$B$16),IF(B40&gt;0,D40,IF(F40&gt;0,H40,"")))</f>
        <v/>
      </c>
      <c r="K40" s="15" t="str">
        <f aca="false">IF(AND(C40&gt;0,G40&gt;0),(設定!$B$15*E40+設定!$B$16*I40)/(設定!$B$15+設定!$B$16),IF(C40&gt;0,E40,IF(G40&gt;0,I40,"")))</f>
        <v/>
      </c>
      <c r="L40" s="15" t="str">
        <f aca="false">IF(J40&lt;&gt;"",J40,IF(AND($A40="祝",$J$44&lt;&gt;""),$J$44,$L$47))</f>
        <v/>
      </c>
      <c r="M40" s="15" t="n">
        <f aca="false">IF(K40&lt;&gt;"",K40,IF($M$48&lt;&gt;"",$M$48,N($M$47)))</f>
        <v>0</v>
      </c>
      <c r="N40" s="17" t="str">
        <f aca="false">IFERROR(SUMIFS(集計!$F$3:$F$33,集計!$C$3:$C$33,$A40)/SUMIFS(集計!$E$3:$E$33,集計!$C$3:$C$33,$A40),"")</f>
        <v/>
      </c>
      <c r="O40" s="17" t="str">
        <f aca="false">IFERROR(SUMIFS(集計!$R$3:$R$33,集計!$O$3:$O$33,$A40)/SUMIFS(集計!$Q$3:$Q$33,集計!$O$3:$O$33,$A40),"")</f>
        <v/>
      </c>
      <c r="P40" s="17" t="n">
        <f aca="false">IF(AND(N40&lt;&gt;"",O40&lt;&gt;""),(設定!$B$15*N40+設定!$B$16*O40)/(設定!$B$15+設定!$B$16),IF(N40&lt;&gt;"",N40,IF(O40&lt;&gt;"",O40,$P$47)))</f>
        <v>0</v>
      </c>
      <c r="Q40" s="15" t="str">
        <f aca="false">IFERROR(AVERAGEIFS(集計!$K$3:$K$33,集計!$D$3:$D$33,$A40,集計!$K$3:$K$33,"&gt;0",集計!$L$3:$L$33,0),"")</f>
        <v/>
      </c>
      <c r="R40" s="15" t="str">
        <f aca="false">IFERROR(AVERAGEIFS(集計!$W$3:$W$33,集計!$P$3:$P$33,$A40,集計!$W$3:$W$33,"&gt;0",集計!$X$3:$X$33,0),"")</f>
        <v/>
      </c>
      <c r="S40" s="15" t="str">
        <f aca="false">IF(AND(Q40&lt;&gt;"",R40&lt;&gt;""),(設定!$B$15*Q40+設定!$B$16*R40)/(設定!$B$15+設定!$B$16),IF(Q40&lt;&gt;"",Q40,IF(R40&lt;&gt;"",R40,"")))</f>
        <v/>
      </c>
      <c r="T40" s="15" t="str">
        <f aca="false">IFERROR(AVERAGEIFS(集計!$AD$3:$AD$33,集計!$AA$3:$AA$33,$A40,集計!$AD$3:$AD$33,"&gt;0"),"")</f>
        <v/>
      </c>
      <c r="U40" s="29" t="n">
        <f aca="false">IF(AND(S40&lt;&gt;"",T40&lt;&gt;""),1,0)</f>
        <v>0</v>
      </c>
    </row>
    <row r="41" customFormat="false" ht="15" hidden="false" customHeight="false" outlineLevel="0" collapsed="false">
      <c r="A41" s="52" t="s">
        <v>209</v>
      </c>
      <c r="B41" s="29" t="n">
        <f aca="false">COUNTIFS(集計!$C$3:$C$33,$A41,集計!$E$3:$E$33,"&gt;0")</f>
        <v>0</v>
      </c>
      <c r="C41" s="29" t="n">
        <f aca="false">COUNTIFS(集計!$C$3:$C$33,$A41,集計!$J$3:$J$33,1)</f>
        <v>0</v>
      </c>
      <c r="D41" s="15" t="str">
        <f aca="false">IF(B41&gt;0,AVERAGEIFS(集計!$I$3:$I$33,集計!$C$3:$C$33,$A41,集計!$E$3:$E$33,"&gt;0"),"")</f>
        <v/>
      </c>
      <c r="E41" s="15" t="str">
        <f aca="false">IF(C41&gt;0,AVERAGEIFS(集計!$H$3:$H$33,集計!$C$3:$C$33,$A41,集計!$J$3:$J$33,1),"")</f>
        <v/>
      </c>
      <c r="F41" s="29" t="n">
        <f aca="false">COUNTIFS(集計!$O$3:$O$33,$A41,集計!$Q$3:$Q$33,"&gt;0")</f>
        <v>0</v>
      </c>
      <c r="G41" s="29" t="n">
        <f aca="false">COUNTIFS(集計!$O$3:$O$33,$A41,集計!$V$3:$V$33,1)</f>
        <v>0</v>
      </c>
      <c r="H41" s="15" t="str">
        <f aca="false">IF(F41&gt;0,AVERAGEIFS(集計!$U$3:$U$33,集計!$O$3:$O$33,$A41,集計!$Q$3:$Q$33,"&gt;0"),"")</f>
        <v/>
      </c>
      <c r="I41" s="15" t="str">
        <f aca="false">IF(G41&gt;0,AVERAGEIFS(集計!$T$3:$T$33,集計!$O$3:$O$33,$A41,集計!$V$3:$V$33,1),"")</f>
        <v/>
      </c>
      <c r="J41" s="15" t="str">
        <f aca="false">IF(AND(B41&gt;0,F41&gt;0),(設定!$B$15*D41+設定!$B$16*H41)/(設定!$B$15+設定!$B$16),IF(B41&gt;0,D41,IF(F41&gt;0,H41,"")))</f>
        <v/>
      </c>
      <c r="K41" s="15" t="str">
        <f aca="false">IF(AND(C41&gt;0,G41&gt;0),(設定!$B$15*E41+設定!$B$16*I41)/(設定!$B$15+設定!$B$16),IF(C41&gt;0,E41,IF(G41&gt;0,I41,"")))</f>
        <v/>
      </c>
      <c r="L41" s="15" t="str">
        <f aca="false">IF(J41&lt;&gt;"",J41,IF(AND($A41="祝",$J$44&lt;&gt;""),$J$44,$L$47))</f>
        <v/>
      </c>
      <c r="M41" s="15" t="n">
        <f aca="false">IF(K41&lt;&gt;"",K41,IF($M$48&lt;&gt;"",$M$48,N($M$47)))</f>
        <v>0</v>
      </c>
      <c r="N41" s="17" t="str">
        <f aca="false">IFERROR(SUMIFS(集計!$F$3:$F$33,集計!$C$3:$C$33,$A41)/SUMIFS(集計!$E$3:$E$33,集計!$C$3:$C$33,$A41),"")</f>
        <v/>
      </c>
      <c r="O41" s="17" t="str">
        <f aca="false">IFERROR(SUMIFS(集計!$R$3:$R$33,集計!$O$3:$O$33,$A41)/SUMIFS(集計!$Q$3:$Q$33,集計!$O$3:$O$33,$A41),"")</f>
        <v/>
      </c>
      <c r="P41" s="17" t="n">
        <f aca="false">IF(AND(N41&lt;&gt;"",O41&lt;&gt;""),(設定!$B$15*N41+設定!$B$16*O41)/(設定!$B$15+設定!$B$16),IF(N41&lt;&gt;"",N41,IF(O41&lt;&gt;"",O41,$P$47)))</f>
        <v>0</v>
      </c>
      <c r="Q41" s="15" t="str">
        <f aca="false">IFERROR(AVERAGEIFS(集計!$K$3:$K$33,集計!$D$3:$D$33,$A41,集計!$K$3:$K$33,"&gt;0",集計!$L$3:$L$33,0),"")</f>
        <v/>
      </c>
      <c r="R41" s="15" t="str">
        <f aca="false">IFERROR(AVERAGEIFS(集計!$W$3:$W$33,集計!$P$3:$P$33,$A41,集計!$W$3:$W$33,"&gt;0",集計!$X$3:$X$33,0),"")</f>
        <v/>
      </c>
      <c r="S41" s="15" t="str">
        <f aca="false">IF(AND(Q41&lt;&gt;"",R41&lt;&gt;""),(設定!$B$15*Q41+設定!$B$16*R41)/(設定!$B$15+設定!$B$16),IF(Q41&lt;&gt;"",Q41,IF(R41&lt;&gt;"",R41,"")))</f>
        <v/>
      </c>
      <c r="T41" s="15" t="str">
        <f aca="false">IFERROR(AVERAGEIFS(集計!$AD$3:$AD$33,集計!$AA$3:$AA$33,$A41,集計!$AD$3:$AD$33,"&gt;0"),"")</f>
        <v/>
      </c>
      <c r="U41" s="29" t="n">
        <f aca="false">IF(AND(S41&lt;&gt;"",T41&lt;&gt;""),1,0)</f>
        <v>0</v>
      </c>
    </row>
    <row r="42" customFormat="false" ht="15" hidden="false" customHeight="false" outlineLevel="0" collapsed="false">
      <c r="A42" s="52" t="s">
        <v>210</v>
      </c>
      <c r="B42" s="29" t="n">
        <f aca="false">COUNTIFS(集計!$C$3:$C$33,$A42,集計!$E$3:$E$33,"&gt;0")</f>
        <v>0</v>
      </c>
      <c r="C42" s="29" t="n">
        <f aca="false">COUNTIFS(集計!$C$3:$C$33,$A42,集計!$J$3:$J$33,1)</f>
        <v>0</v>
      </c>
      <c r="D42" s="15" t="str">
        <f aca="false">IF(B42&gt;0,AVERAGEIFS(集計!$I$3:$I$33,集計!$C$3:$C$33,$A42,集計!$E$3:$E$33,"&gt;0"),"")</f>
        <v/>
      </c>
      <c r="E42" s="15" t="str">
        <f aca="false">IF(C42&gt;0,AVERAGEIFS(集計!$H$3:$H$33,集計!$C$3:$C$33,$A42,集計!$J$3:$J$33,1),"")</f>
        <v/>
      </c>
      <c r="F42" s="29" t="n">
        <f aca="false">COUNTIFS(集計!$O$3:$O$33,$A42,集計!$Q$3:$Q$33,"&gt;0")</f>
        <v>0</v>
      </c>
      <c r="G42" s="29" t="n">
        <f aca="false">COUNTIFS(集計!$O$3:$O$33,$A42,集計!$V$3:$V$33,1)</f>
        <v>0</v>
      </c>
      <c r="H42" s="15" t="str">
        <f aca="false">IF(F42&gt;0,AVERAGEIFS(集計!$U$3:$U$33,集計!$O$3:$O$33,$A42,集計!$Q$3:$Q$33,"&gt;0"),"")</f>
        <v/>
      </c>
      <c r="I42" s="15" t="str">
        <f aca="false">IF(G42&gt;0,AVERAGEIFS(集計!$T$3:$T$33,集計!$O$3:$O$33,$A42,集計!$V$3:$V$33,1),"")</f>
        <v/>
      </c>
      <c r="J42" s="15" t="str">
        <f aca="false">IF(AND(B42&gt;0,F42&gt;0),(設定!$B$15*D42+設定!$B$16*H42)/(設定!$B$15+設定!$B$16),IF(B42&gt;0,D42,IF(F42&gt;0,H42,"")))</f>
        <v/>
      </c>
      <c r="K42" s="15" t="str">
        <f aca="false">IF(AND(C42&gt;0,G42&gt;0),(設定!$B$15*E42+設定!$B$16*I42)/(設定!$B$15+設定!$B$16),IF(C42&gt;0,E42,IF(G42&gt;0,I42,"")))</f>
        <v/>
      </c>
      <c r="L42" s="15" t="str">
        <f aca="false">IF(J42&lt;&gt;"",J42,IF(AND($A42="祝",$J$44&lt;&gt;""),$J$44,$L$47))</f>
        <v/>
      </c>
      <c r="M42" s="15" t="n">
        <f aca="false">IF(K42&lt;&gt;"",K42,IF($M$48&lt;&gt;"",$M$48,N($M$47)))</f>
        <v>0</v>
      </c>
      <c r="N42" s="17" t="str">
        <f aca="false">IFERROR(SUMIFS(集計!$F$3:$F$33,集計!$C$3:$C$33,$A42)/SUMIFS(集計!$E$3:$E$33,集計!$C$3:$C$33,$A42),"")</f>
        <v/>
      </c>
      <c r="O42" s="17" t="str">
        <f aca="false">IFERROR(SUMIFS(集計!$R$3:$R$33,集計!$O$3:$O$33,$A42)/SUMIFS(集計!$Q$3:$Q$33,集計!$O$3:$O$33,$A42),"")</f>
        <v/>
      </c>
      <c r="P42" s="17" t="n">
        <f aca="false">IF(AND(N42&lt;&gt;"",O42&lt;&gt;""),(設定!$B$15*N42+設定!$B$16*O42)/(設定!$B$15+設定!$B$16),IF(N42&lt;&gt;"",N42,IF(O42&lt;&gt;"",O42,$P$47)))</f>
        <v>0</v>
      </c>
      <c r="Q42" s="15" t="str">
        <f aca="false">IFERROR(AVERAGEIFS(集計!$K$3:$K$33,集計!$D$3:$D$33,$A42,集計!$K$3:$K$33,"&gt;0",集計!$L$3:$L$33,0),"")</f>
        <v/>
      </c>
      <c r="R42" s="15" t="str">
        <f aca="false">IFERROR(AVERAGEIFS(集計!$W$3:$W$33,集計!$P$3:$P$33,$A42,集計!$W$3:$W$33,"&gt;0",集計!$X$3:$X$33,0),"")</f>
        <v/>
      </c>
      <c r="S42" s="15" t="str">
        <f aca="false">IF(AND(Q42&lt;&gt;"",R42&lt;&gt;""),(設定!$B$15*Q42+設定!$B$16*R42)/(設定!$B$15+設定!$B$16),IF(Q42&lt;&gt;"",Q42,IF(R42&lt;&gt;"",R42,"")))</f>
        <v/>
      </c>
      <c r="T42" s="15" t="str">
        <f aca="false">IFERROR(AVERAGEIFS(集計!$AD$3:$AD$33,集計!$AA$3:$AA$33,$A42,集計!$AD$3:$AD$33,"&gt;0"),"")</f>
        <v/>
      </c>
      <c r="U42" s="29" t="n">
        <f aca="false">IF(AND(S42&lt;&gt;"",T42&lt;&gt;""),1,0)</f>
        <v>0</v>
      </c>
    </row>
    <row r="43" customFormat="false" ht="15" hidden="false" customHeight="false" outlineLevel="0" collapsed="false">
      <c r="A43" s="52" t="s">
        <v>211</v>
      </c>
      <c r="B43" s="29" t="n">
        <f aca="false">COUNTIFS(集計!$C$3:$C$33,$A43,集計!$E$3:$E$33,"&gt;0")</f>
        <v>0</v>
      </c>
      <c r="C43" s="29" t="n">
        <f aca="false">COUNTIFS(集計!$C$3:$C$33,$A43,集計!$J$3:$J$33,1)</f>
        <v>0</v>
      </c>
      <c r="D43" s="15" t="str">
        <f aca="false">IF(B43&gt;0,AVERAGEIFS(集計!$I$3:$I$33,集計!$C$3:$C$33,$A43,集計!$E$3:$E$33,"&gt;0"),"")</f>
        <v/>
      </c>
      <c r="E43" s="15" t="str">
        <f aca="false">IF(C43&gt;0,AVERAGEIFS(集計!$H$3:$H$33,集計!$C$3:$C$33,$A43,集計!$J$3:$J$33,1),"")</f>
        <v/>
      </c>
      <c r="F43" s="29" t="n">
        <f aca="false">COUNTIFS(集計!$O$3:$O$33,$A43,集計!$Q$3:$Q$33,"&gt;0")</f>
        <v>0</v>
      </c>
      <c r="G43" s="29" t="n">
        <f aca="false">COUNTIFS(集計!$O$3:$O$33,$A43,集計!$V$3:$V$33,1)</f>
        <v>0</v>
      </c>
      <c r="H43" s="15" t="str">
        <f aca="false">IF(F43&gt;0,AVERAGEIFS(集計!$U$3:$U$33,集計!$O$3:$O$33,$A43,集計!$Q$3:$Q$33,"&gt;0"),"")</f>
        <v/>
      </c>
      <c r="I43" s="15" t="str">
        <f aca="false">IF(G43&gt;0,AVERAGEIFS(集計!$T$3:$T$33,集計!$O$3:$O$33,$A43,集計!$V$3:$V$33,1),"")</f>
        <v/>
      </c>
      <c r="J43" s="15" t="str">
        <f aca="false">IF(AND(B43&gt;0,F43&gt;0),(設定!$B$15*D43+設定!$B$16*H43)/(設定!$B$15+設定!$B$16),IF(B43&gt;0,D43,IF(F43&gt;0,H43,"")))</f>
        <v/>
      </c>
      <c r="K43" s="15" t="str">
        <f aca="false">IF(AND(C43&gt;0,G43&gt;0),(設定!$B$15*E43+設定!$B$16*I43)/(設定!$B$15+設定!$B$16),IF(C43&gt;0,E43,IF(G43&gt;0,I43,"")))</f>
        <v/>
      </c>
      <c r="L43" s="15" t="str">
        <f aca="false">IF(J43&lt;&gt;"",J43,IF(AND($A43="祝",$J$44&lt;&gt;""),$J$44,$L$47))</f>
        <v/>
      </c>
      <c r="M43" s="15" t="n">
        <f aca="false">IF(K43&lt;&gt;"",K43,IF(AND($A43="祝",$K$44&lt;&gt;""),$K$44,N($M$47)))</f>
        <v>0</v>
      </c>
      <c r="N43" s="17" t="str">
        <f aca="false">IFERROR(SUMIFS(集計!$F$3:$F$33,集計!$C$3:$C$33,$A43)/SUMIFS(集計!$E$3:$E$33,集計!$C$3:$C$33,$A43),"")</f>
        <v/>
      </c>
      <c r="O43" s="17" t="str">
        <f aca="false">IFERROR(SUMIFS(集計!$R$3:$R$33,集計!$O$3:$O$33,$A43)/SUMIFS(集計!$Q$3:$Q$33,集計!$O$3:$O$33,$A43),"")</f>
        <v/>
      </c>
      <c r="P43" s="17" t="n">
        <f aca="false">IF(AND(N43&lt;&gt;"",O43&lt;&gt;""),(設定!$B$15*N43+設定!$B$16*O43)/(設定!$B$15+設定!$B$16),IF(N43&lt;&gt;"",N43,IF(O43&lt;&gt;"",O43,$P$47)))</f>
        <v>0</v>
      </c>
      <c r="Q43" s="15" t="str">
        <f aca="false">IFERROR(AVERAGEIFS(集計!$K$3:$K$33,集計!$D$3:$D$33,$A43,集計!$K$3:$K$33,"&gt;0",集計!$L$3:$L$33,0),"")</f>
        <v/>
      </c>
      <c r="R43" s="15" t="str">
        <f aca="false">IFERROR(AVERAGEIFS(集計!$W$3:$W$33,集計!$P$3:$P$33,$A43,集計!$W$3:$W$33,"&gt;0",集計!$X$3:$X$33,0),"")</f>
        <v/>
      </c>
      <c r="S43" s="15" t="str">
        <f aca="false">IF(AND(Q43&lt;&gt;"",R43&lt;&gt;""),(設定!$B$15*Q43+設定!$B$16*R43)/(設定!$B$15+設定!$B$16),IF(Q43&lt;&gt;"",Q43,IF(R43&lt;&gt;"",R43,"")))</f>
        <v/>
      </c>
      <c r="T43" s="15" t="str">
        <f aca="false">IFERROR(AVERAGEIFS(集計!$AD$3:$AD$33,集計!$AA$3:$AA$33,$A43,集計!$AD$3:$AD$33,"&gt;0"),"")</f>
        <v/>
      </c>
      <c r="U43" s="29" t="n">
        <f aca="false">IF(AND(S43&lt;&gt;"",T43&lt;&gt;""),1,0)</f>
        <v>0</v>
      </c>
    </row>
    <row r="44" customFormat="false" ht="15" hidden="false" customHeight="false" outlineLevel="0" collapsed="false">
      <c r="A44" s="52" t="s">
        <v>67</v>
      </c>
      <c r="B44" s="29" t="n">
        <f aca="false">COUNTIFS(集計!$C$3:$C$33,$A44,集計!$E$3:$E$33,"&gt;0")</f>
        <v>0</v>
      </c>
      <c r="C44" s="29" t="n">
        <f aca="false">COUNTIFS(集計!$C$3:$C$33,$A44,集計!$J$3:$J$33,1)</f>
        <v>0</v>
      </c>
      <c r="D44" s="15" t="str">
        <f aca="false">IF(B44&gt;0,AVERAGEIFS(集計!$I$3:$I$33,集計!$C$3:$C$33,$A44,集計!$E$3:$E$33,"&gt;0"),"")</f>
        <v/>
      </c>
      <c r="E44" s="15" t="str">
        <f aca="false">IF(C44&gt;0,AVERAGEIFS(集計!$H$3:$H$33,集計!$C$3:$C$33,$A44,集計!$J$3:$J$33,1),"")</f>
        <v/>
      </c>
      <c r="F44" s="29" t="n">
        <f aca="false">COUNTIFS(集計!$O$3:$O$33,$A44,集計!$Q$3:$Q$33,"&gt;0")</f>
        <v>0</v>
      </c>
      <c r="G44" s="29" t="n">
        <f aca="false">COUNTIFS(集計!$O$3:$O$33,$A44,集計!$V$3:$V$33,1)</f>
        <v>0</v>
      </c>
      <c r="H44" s="15" t="str">
        <f aca="false">IF(F44&gt;0,AVERAGEIFS(集計!$U$3:$U$33,集計!$O$3:$O$33,$A44,集計!$Q$3:$Q$33,"&gt;0"),"")</f>
        <v/>
      </c>
      <c r="I44" s="15" t="str">
        <f aca="false">IF(G44&gt;0,AVERAGEIFS(集計!$T$3:$T$33,集計!$O$3:$O$33,$A44,集計!$V$3:$V$33,1),"")</f>
        <v/>
      </c>
      <c r="J44" s="15" t="str">
        <f aca="false">IF(AND(B44&gt;0,F44&gt;0),(設定!$B$15*D44+設定!$B$16*H44)/(設定!$B$15+設定!$B$16),IF(B44&gt;0,D44,IF(F44&gt;0,H44,"")))</f>
        <v/>
      </c>
      <c r="K44" s="15" t="str">
        <f aca="false">IF(AND(C44&gt;0,G44&gt;0),(設定!$B$15*E44+設定!$B$16*I44)/(設定!$B$15+設定!$B$16),IF(C44&gt;0,E44,IF(G44&gt;0,I44,"")))</f>
        <v/>
      </c>
      <c r="L44" s="15" t="str">
        <f aca="false">IF(J44&lt;&gt;"",J44,IF(AND($A44="祝",$J$44&lt;&gt;""),$J$44,$L$47))</f>
        <v/>
      </c>
      <c r="M44" s="15" t="n">
        <f aca="false">IF(K44&lt;&gt;"",K44,IF(AND($A44="祝",$K$44&lt;&gt;""),$K$44,N($M$47)))</f>
        <v>0</v>
      </c>
      <c r="N44" s="17" t="str">
        <f aca="false">IFERROR(SUMIFS(集計!$F$3:$F$33,集計!$C$3:$C$33,$A44)/SUMIFS(集計!$E$3:$E$33,集計!$C$3:$C$33,$A44),"")</f>
        <v/>
      </c>
      <c r="O44" s="17" t="str">
        <f aca="false">IFERROR(SUMIFS(集計!$R$3:$R$33,集計!$O$3:$O$33,$A44)/SUMIFS(集計!$Q$3:$Q$33,集計!$O$3:$O$33,$A44),"")</f>
        <v/>
      </c>
      <c r="P44" s="17" t="n">
        <f aca="false">IF(AND(N44&lt;&gt;"",O44&lt;&gt;""),(設定!$B$15*N44+設定!$B$16*O44)/(設定!$B$15+設定!$B$16),IF(N44&lt;&gt;"",N44,IF(O44&lt;&gt;"",O44,$P$47)))</f>
        <v>0</v>
      </c>
      <c r="Q44" s="15" t="str">
        <f aca="false">IFERROR(AVERAGEIFS(集計!$K$3:$K$33,集計!$D$3:$D$33,$A44,集計!$K$3:$K$33,"&gt;0",集計!$L$3:$L$33,0),"")</f>
        <v/>
      </c>
      <c r="R44" s="15" t="str">
        <f aca="false">IFERROR(AVERAGEIFS(集計!$W$3:$W$33,集計!$P$3:$P$33,$A44,集計!$W$3:$W$33,"&gt;0",集計!$X$3:$X$33,0),"")</f>
        <v/>
      </c>
      <c r="S44" s="15" t="str">
        <f aca="false">IF(AND(Q44&lt;&gt;"",R44&lt;&gt;""),(設定!$B$15*Q44+設定!$B$16*R44)/(設定!$B$15+設定!$B$16),IF(Q44&lt;&gt;"",Q44,IF(R44&lt;&gt;"",R44,"")))</f>
        <v/>
      </c>
      <c r="T44" s="15" t="str">
        <f aca="false">IFERROR(AVERAGEIFS(集計!$AD$3:$AD$33,集計!$AA$3:$AA$33,$A44,集計!$AD$3:$AD$33,"&gt;0"),"")</f>
        <v/>
      </c>
      <c r="U44" s="29" t="n">
        <f aca="false">IF(AND(S44&lt;&gt;"",T44&lt;&gt;""),1,0)</f>
        <v>0</v>
      </c>
    </row>
    <row r="45" customFormat="false" ht="15" hidden="false" customHeight="false" outlineLevel="0" collapsed="false">
      <c r="A45" s="52" t="s">
        <v>212</v>
      </c>
      <c r="B45" s="29" t="n">
        <f aca="false">COUNTIFS(集計!$C$3:$C$33,$A45,集計!$E$3:$E$33,"&gt;0")</f>
        <v>0</v>
      </c>
      <c r="C45" s="29" t="n">
        <f aca="false">COUNTIFS(集計!$C$3:$C$33,$A45,集計!$J$3:$J$33,1)</f>
        <v>0</v>
      </c>
      <c r="D45" s="15" t="str">
        <f aca="false">IF(B45&gt;0,AVERAGEIFS(集計!$I$3:$I$33,集計!$C$3:$C$33,$A45,集計!$E$3:$E$33,"&gt;0"),"")</f>
        <v/>
      </c>
      <c r="E45" s="15" t="str">
        <f aca="false">IF(C45&gt;0,AVERAGEIFS(集計!$H$3:$H$33,集計!$C$3:$C$33,$A45,集計!$J$3:$J$33,1),"")</f>
        <v/>
      </c>
      <c r="F45" s="29" t="n">
        <f aca="false">COUNTIFS(集計!$O$3:$O$33,$A45,集計!$Q$3:$Q$33,"&gt;0")</f>
        <v>0</v>
      </c>
      <c r="G45" s="29" t="n">
        <f aca="false">COUNTIFS(集計!$O$3:$O$33,$A45,集計!$V$3:$V$33,1)</f>
        <v>0</v>
      </c>
      <c r="H45" s="15" t="str">
        <f aca="false">IF(F45&gt;0,AVERAGEIFS(集計!$U$3:$U$33,集計!$O$3:$O$33,$A45,集計!$Q$3:$Q$33,"&gt;0"),"")</f>
        <v/>
      </c>
      <c r="I45" s="15" t="str">
        <f aca="false">IF(G45&gt;0,AVERAGEIFS(集計!$T$3:$T$33,集計!$O$3:$O$33,$A45,集計!$V$3:$V$33,1),"")</f>
        <v/>
      </c>
      <c r="J45" s="15" t="str">
        <f aca="false">IF(AND(B45&gt;0,F45&gt;0),(設定!$B$15*D45+設定!$B$16*H45)/(設定!$B$15+設定!$B$16),IF(B45&gt;0,D45,IF(F45&gt;0,H45,"")))</f>
        <v/>
      </c>
      <c r="K45" s="15" t="str">
        <f aca="false">IF(AND(C45&gt;0,G45&gt;0),(設定!$B$15*E45+設定!$B$16*I45)/(設定!$B$15+設定!$B$16),IF(C45&gt;0,E45,IF(G45&gt;0,I45,"")))</f>
        <v/>
      </c>
      <c r="L45" s="15" t="str">
        <f aca="false">IF(J45&lt;&gt;"",J45,IF(AND($A45="祝",$J$44&lt;&gt;""),$J$44,$L$47))</f>
        <v/>
      </c>
      <c r="M45" s="15" t="n">
        <f aca="false">IF(K45&lt;&gt;"",K45,IF(AND($A45="祝",$K$44&lt;&gt;""),$K$44,N($M$47)))</f>
        <v>0</v>
      </c>
      <c r="N45" s="17" t="str">
        <f aca="false">IFERROR(SUMIFS(集計!$F$3:$F$33,集計!$C$3:$C$33,$A45)/SUMIFS(集計!$E$3:$E$33,集計!$C$3:$C$33,$A45),"")</f>
        <v/>
      </c>
      <c r="O45" s="17" t="str">
        <f aca="false">IFERROR(SUMIFS(集計!$R$3:$R$33,集計!$O$3:$O$33,$A45)/SUMIFS(集計!$Q$3:$Q$33,集計!$O$3:$O$33,$A45),"")</f>
        <v/>
      </c>
      <c r="P45" s="17" t="n">
        <f aca="false">IF(AND(N45&lt;&gt;"",O45&lt;&gt;""),(設定!$B$15*N45+設定!$B$16*O45)/(設定!$B$15+設定!$B$16),IF(N45&lt;&gt;"",N45,IF(O45&lt;&gt;"",O45,$P$47)))</f>
        <v>0</v>
      </c>
      <c r="Q45" s="15"/>
      <c r="R45" s="15"/>
      <c r="S45" s="15"/>
      <c r="T45" s="15"/>
      <c r="U45" s="29"/>
    </row>
    <row r="47" customFormat="false" ht="15" hidden="false" customHeight="false" outlineLevel="0" collapsed="false">
      <c r="A47" s="53" t="s">
        <v>213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 t="str">
        <f aca="false">IFERROR(IF(AND(COUNTIF(集計!$E$3:$E$33,"&gt;0")&gt;0,COUNTIF(集計!$Q$3:$Q$33,"&gt;0")&gt;0),(設定!$B$15*AVERAGEIF(集計!$E$3:$E$33,"&gt;0")+設定!$B$16*AVERAGEIF(集計!$Q$3:$Q$33,"&gt;0"))/(設定!$B$15+設定!$B$16),IF(COUNTIF(集計!$E$3:$E$33,"&gt;0")&gt;0,AVERAGEIF(集計!$E$3:$E$33,"&gt;0"),IF(COUNTIF(集計!$Q$3:$Q$33,"&gt;0")&gt;0,AVERAGEIF(集計!$Q$3:$Q$33,"&gt;0"),""))),0)</f>
        <v/>
      </c>
      <c r="M47" s="53" t="str">
        <f aca="false">IFERROR(IF(AND(COUNTIF(集計!$J$3:$J$33,1)&gt;0,COUNTIF(集計!$V$3:$V$33,1)&gt;0),(設定!$B$15*AVERAGEIF(集計!$J$3:$J$33,1,集計!$H$3:$H$33)+設定!$B$16*AVERAGEIF(集計!$V$3:$V$33,1,集計!$T$3:$T$33))/(設定!$B$15+設定!$B$16),IF(COUNTIF(集計!$J$3:$J$33,1)&gt;0,AVERAGEIF(集計!$J$3:$J$33,1,集計!$H$3:$H$33),IF(COUNTIF(集計!$V$3:$V$33,1)&gt;0,AVERAGEIF(集計!$V$3:$V$33,1,集計!$T$3:$T$33),""))),"")</f>
        <v/>
      </c>
      <c r="N47" s="53"/>
      <c r="O47" s="53"/>
      <c r="P47" s="54" t="n">
        <f aca="false">IFERROR((SUM(集計!$F$3:$F$33)+SUM(集計!$R$3:$R$33))/(SUM(集計!$E$3:$E$33)+SUM(集計!$Q$3:$Q$33)),0)</f>
        <v>0</v>
      </c>
      <c r="Q47" s="53"/>
      <c r="R47" s="53"/>
      <c r="S47" s="53"/>
      <c r="T47" s="53"/>
      <c r="U47" s="53"/>
    </row>
    <row r="48" customFormat="false" ht="15" hidden="false" customHeight="false" outlineLevel="0" collapsed="false">
      <c r="A48" s="53" t="s">
        <v>214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 t="str">
        <f aca="false">IFERROR(IF(AND((COUNTIFS(集計!$J$3:$J$33,1)-COUNTIFS(集計!$J$3:$J$33,1,集計!$C$3:$C$33,"土")-COUNTIFS(集計!$J$3:$J$33,1,集計!$C$3:$C$33,"日")-COUNTIFS(集計!$J$3:$J$33,1,集計!$C$3:$C$33,"祝"))&gt;0,(COUNTIFS(集計!$V$3:$V$33,1)-COUNTIFS(集計!$V$3:$V$33,1,集計!$O$3:$O$33,"土")-COUNTIFS(集計!$V$3:$V$33,1,集計!$O$3:$O$33,"日")-COUNTIFS(集計!$V$3:$V$33,1,集計!$O$3:$O$33,"祝"))&gt;0),(設定!$B$15*(SUMIFS(集計!$H$3:$H$33,集計!$J$3:$J$33,1)-SUMIFS(集計!$H$3:$H$33,集計!$J$3:$J$33,1,集計!$C$3:$C$33,"土")-SUMIFS(集計!$H$3:$H$33,集計!$J$3:$J$33,1,集計!$C$3:$C$33,"日")-SUMIFS(集計!$H$3:$H$33,集計!$J$3:$J$33,1,集計!$C$3:$C$33,"祝"))/(COUNTIFS(集計!$J$3:$J$33,1)-COUNTIFS(集計!$J$3:$J$33,1,集計!$C$3:$C$33,"土")-COUNTIFS(集計!$J$3:$J$33,1,集計!$C$3:$C$33,"日")-COUNTIFS(集計!$J$3:$J$33,1,集計!$C$3:$C$33,"祝"))+設定!$B$16*(SUMIFS(集計!$T$3:$T$33,集計!$V$3:$V$33,1)-SUMIFS(集計!$T$3:$T$33,集計!$V$3:$V$33,1,集計!$O$3:$O$33,"土")-SUMIFS(集計!$T$3:$T$33,集計!$V$3:$V$33,1,集計!$O$3:$O$33,"日")-SUMIFS(集計!$T$3:$T$33,集計!$V$3:$V$33,1,集計!$O$3:$O$33,"祝"))/(COUNTIFS(集計!$V$3:$V$33,1)-COUNTIFS(集計!$V$3:$V$33,1,集計!$O$3:$O$33,"土")-COUNTIFS(集計!$V$3:$V$33,1,集計!$O$3:$O$33,"日")-COUNTIFS(集計!$V$3:$V$33,1,集計!$O$3:$O$33,"祝")))/(設定!$B$15+設定!$B$16),IF((COUNTIFS(集計!$J$3:$J$33,1)-COUNTIFS(集計!$J$3:$J$33,1,集計!$C$3:$C$33,"土")-COUNTIFS(集計!$J$3:$J$33,1,集計!$C$3:$C$33,"日")-COUNTIFS(集計!$J$3:$J$33,1,集計!$C$3:$C$33,"祝"))&gt;0,(SUMIFS(集計!$H$3:$H$33,集計!$J$3:$J$33,1)-SUMIFS(集計!$H$3:$H$33,集計!$J$3:$J$33,1,集計!$C$3:$C$33,"土")-SUMIFS(集計!$H$3:$H$33,集計!$J$3:$J$33,1,集計!$C$3:$C$33,"日")-SUMIFS(集計!$H$3:$H$33,集計!$J$3:$J$33,1,集計!$C$3:$C$33,"祝"))/(COUNTIFS(集計!$J$3:$J$33,1)-COUNTIFS(集計!$J$3:$J$33,1,集計!$C$3:$C$33,"土")-COUNTIFS(集計!$J$3:$J$33,1,集計!$C$3:$C$33,"日")-COUNTIFS(集計!$J$3:$J$33,1,集計!$C$3:$C$33,"祝")),IF((COUNTIFS(集計!$V$3:$V$33,1)-COUNTIFS(集計!$V$3:$V$33,1,集計!$O$3:$O$33,"土")-COUNTIFS(集計!$V$3:$V$33,1,集計!$O$3:$O$33,"日")-COUNTIFS(集計!$V$3:$V$33,1,集計!$O$3:$O$33,"祝"))&gt;0,(SUMIFS(集計!$T$3:$T$33,集計!$V$3:$V$33,1)-SUMIFS(集計!$T$3:$T$33,集計!$V$3:$V$33,1,集計!$O$3:$O$33,"土")-SUMIFS(集計!$T$3:$T$33,集計!$V$3:$V$33,1,集計!$O$3:$O$33,"日")-SUMIFS(集計!$T$3:$T$33,集計!$V$3:$V$33,1,集計!$O$3:$O$33,"祝"))/(COUNTIFS(集計!$V$3:$V$33,1)-COUNTIFS(集計!$V$3:$V$33,1,集計!$O$3:$O$33,"土")-COUNTIFS(集計!$V$3:$V$33,1,集計!$O$3:$O$33,"日")-COUNTIFS(集計!$V$3:$V$33,1,集計!$O$3:$O$33,"祝")),""))),"")</f>
        <v/>
      </c>
      <c r="N48" s="53"/>
      <c r="O48" s="53"/>
      <c r="P48" s="54"/>
      <c r="Q48" s="53"/>
      <c r="R48" s="53"/>
      <c r="S48" s="53"/>
      <c r="T48" s="53"/>
      <c r="U48" s="53"/>
    </row>
    <row r="51" customFormat="false" ht="15" hidden="false" customHeight="false" outlineLevel="0" collapsed="false">
      <c r="A51" s="32" t="s">
        <v>215</v>
      </c>
    </row>
    <row r="52" customFormat="false" ht="15" hidden="false" customHeight="false" outlineLevel="0" collapsed="false">
      <c r="A52" s="30" t="s">
        <v>64</v>
      </c>
      <c r="B52" s="27" t="n">
        <v>11</v>
      </c>
      <c r="C52" s="27" t="n">
        <v>12</v>
      </c>
      <c r="D52" s="27" t="n">
        <v>13</v>
      </c>
      <c r="E52" s="27" t="n">
        <v>14</v>
      </c>
      <c r="F52" s="27" t="n">
        <v>15</v>
      </c>
      <c r="G52" s="27" t="n">
        <v>16</v>
      </c>
      <c r="H52" s="27" t="n">
        <v>17</v>
      </c>
      <c r="I52" s="27" t="n">
        <v>18</v>
      </c>
      <c r="J52" s="27" t="n">
        <v>19</v>
      </c>
      <c r="K52" s="27" t="n">
        <v>20</v>
      </c>
      <c r="L52" s="27" t="n">
        <v>21</v>
      </c>
      <c r="M52" s="27" t="n">
        <v>22</v>
      </c>
      <c r="N52" s="27" t="n">
        <v>23</v>
      </c>
      <c r="O52" s="30" t="s">
        <v>216</v>
      </c>
      <c r="P52" s="30" t="s">
        <v>217</v>
      </c>
    </row>
    <row r="53" customFormat="false" ht="15" hidden="false" customHeight="false" outlineLevel="0" collapsed="false">
      <c r="A53" s="47" t="s">
        <v>206</v>
      </c>
      <c r="B53" s="55" t="str">
        <f aca="false">IF(AND(N(IF(B$52&lt;設定!$B$10,$C$38,$B$38))&gt;0,N(IF(B$52&lt;設定!$B$10,$G$38,$F$38))&gt;0),(設定!$B$15*IF(OR(設定!$B$4="",IF(B$52&lt;設定!$B$10,$C$38,$B$38)=0),"",IF(B$52&lt;設定!$B$10,SUMIFS(先月データ!$Q:$Q,先月データ!$K:$K,B$52,先月データ!$A:$A,"&gt;="&amp;設定!$B$4,先月データ!$A:$A,"&lt;="&amp;EOMONTH(設定!$B$4,0),先月データ!$Z:$Z,$A53,先月データ!$AA:$AA,1),SUMIFS(先月データ!$Q:$Q,先月データ!$K:$K,B$52,先月データ!$A:$A,"&gt;="&amp;設定!$B$4,先月データ!$A:$A,"&lt;="&amp;EOMONTH(設定!$B$4,0),先月データ!$Z:$Z,$A53))/IF(B$52&lt;設定!$B$10,$C$38,$B$38))+設定!$B$16*IF(OR(設定!$B$5="",IF(B$52&lt;設定!$B$10,$G$38,$F$38)=0),"",IF(B$52&lt;設定!$B$10,SUMIFS(先々月データ!$Q:$Q,先々月データ!$K:$K,B$52,先々月データ!$A:$A,"&gt;="&amp;設定!$B$5,先々月データ!$A:$A,"&lt;="&amp;EOMONTH(設定!$B$5,0),先々月データ!$Z:$Z,$A53,先々月データ!$AA:$AA,1),SUMIFS(先々月データ!$Q:$Q,先々月データ!$K:$K,B$52,先々月データ!$A:$A,"&gt;="&amp;設定!$B$5,先々月データ!$A:$A,"&lt;="&amp;EOMONTH(設定!$B$5,0),先々月データ!$Z:$Z,$A53))/IF(B$52&lt;設定!$B$10,$G$38,$F$38)))/(設定!$B$15+設定!$B$16),IF(N(IF(B$52&lt;設定!$B$10,$C$38,$B$38))&gt;0,IF(OR(設定!$B$4="",IF(B$52&lt;設定!$B$10,$C$38,$B$38)=0),"",IF(B$52&lt;設定!$B$10,SUMIFS(先月データ!$Q:$Q,先月データ!$K:$K,B$52,先月データ!$A:$A,"&gt;="&amp;設定!$B$4,先月データ!$A:$A,"&lt;="&amp;EOMONTH(設定!$B$4,0),先月データ!$Z:$Z,$A53,先月データ!$AA:$AA,1),SUMIFS(先月データ!$Q:$Q,先月データ!$K:$K,B$52,先月データ!$A:$A,"&gt;="&amp;設定!$B$4,先月データ!$A:$A,"&lt;="&amp;EOMONTH(設定!$B$4,0),先月データ!$Z:$Z,$A53))/IF(B$52&lt;設定!$B$10,$C$38,$B$38)),IF(N(IF(B$52&lt;設定!$B$10,$G$38,$F$38))&gt;0,IF(OR(設定!$B$5="",IF(B$52&lt;設定!$B$10,$G$38,$F$38)=0),"",IF(B$52&lt;設定!$B$10,SUMIFS(先々月データ!$Q:$Q,先々月データ!$K:$K,B$52,先々月データ!$A:$A,"&gt;="&amp;設定!$B$5,先々月データ!$A:$A,"&lt;="&amp;EOMONTH(設定!$B$5,0),先々月データ!$Z:$Z,$A53,先々月データ!$AA:$AA,1),SUMIFS(先々月データ!$Q:$Q,先々月データ!$K:$K,B$52,先々月データ!$A:$A,"&gt;="&amp;設定!$B$5,先々月データ!$A:$A,"&lt;="&amp;EOMONTH(設定!$B$5,0),先々月データ!$Z:$Z,$A53))/IF(B$52&lt;設定!$B$10,$G$38,$F$38)),"")))</f>
        <v/>
      </c>
      <c r="C53" s="55" t="str">
        <f aca="false">IF(AND(N(IF(C$52&lt;設定!$B$10,$C$38,$B$38))&gt;0,N(IF(C$52&lt;設定!$B$10,$G$38,$F$38))&gt;0),(設定!$B$15*IF(OR(設定!$B$4="",IF(C$52&lt;設定!$B$10,$C$38,$B$38)=0),"",IF(C$52&lt;設定!$B$10,SUMIFS(先月データ!$Q:$Q,先月データ!$K:$K,C$52,先月データ!$A:$A,"&gt;="&amp;設定!$B$4,先月データ!$A:$A,"&lt;="&amp;EOMONTH(設定!$B$4,0),先月データ!$Z:$Z,$A53,先月データ!$AA:$AA,1),SUMIFS(先月データ!$Q:$Q,先月データ!$K:$K,C$52,先月データ!$A:$A,"&gt;="&amp;設定!$B$4,先月データ!$A:$A,"&lt;="&amp;EOMONTH(設定!$B$4,0),先月データ!$Z:$Z,$A53))/IF(C$52&lt;設定!$B$10,$C$38,$B$38))+設定!$B$16*IF(OR(設定!$B$5="",IF(C$52&lt;設定!$B$10,$G$38,$F$38)=0),"",IF(C$52&lt;設定!$B$10,SUMIFS(先々月データ!$Q:$Q,先々月データ!$K:$K,C$52,先々月データ!$A:$A,"&gt;="&amp;設定!$B$5,先々月データ!$A:$A,"&lt;="&amp;EOMONTH(設定!$B$5,0),先々月データ!$Z:$Z,$A53,先々月データ!$AA:$AA,1),SUMIFS(先々月データ!$Q:$Q,先々月データ!$K:$K,C$52,先々月データ!$A:$A,"&gt;="&amp;設定!$B$5,先々月データ!$A:$A,"&lt;="&amp;EOMONTH(設定!$B$5,0),先々月データ!$Z:$Z,$A53))/IF(C$52&lt;設定!$B$10,$G$38,$F$38)))/(設定!$B$15+設定!$B$16),IF(N(IF(C$52&lt;設定!$B$10,$C$38,$B$38))&gt;0,IF(OR(設定!$B$4="",IF(C$52&lt;設定!$B$10,$C$38,$B$38)=0),"",IF(C$52&lt;設定!$B$10,SUMIFS(先月データ!$Q:$Q,先月データ!$K:$K,C$52,先月データ!$A:$A,"&gt;="&amp;設定!$B$4,先月データ!$A:$A,"&lt;="&amp;EOMONTH(設定!$B$4,0),先月データ!$Z:$Z,$A53,先月データ!$AA:$AA,1),SUMIFS(先月データ!$Q:$Q,先月データ!$K:$K,C$52,先月データ!$A:$A,"&gt;="&amp;設定!$B$4,先月データ!$A:$A,"&lt;="&amp;EOMONTH(設定!$B$4,0),先月データ!$Z:$Z,$A53))/IF(C$52&lt;設定!$B$10,$C$38,$B$38)),IF(N(IF(C$52&lt;設定!$B$10,$G$38,$F$38))&gt;0,IF(OR(設定!$B$5="",IF(C$52&lt;設定!$B$10,$G$38,$F$38)=0),"",IF(C$52&lt;設定!$B$10,SUMIFS(先々月データ!$Q:$Q,先々月データ!$K:$K,C$52,先々月データ!$A:$A,"&gt;="&amp;設定!$B$5,先々月データ!$A:$A,"&lt;="&amp;EOMONTH(設定!$B$5,0),先々月データ!$Z:$Z,$A53,先々月データ!$AA:$AA,1),SUMIFS(先々月データ!$Q:$Q,先々月データ!$K:$K,C$52,先々月データ!$A:$A,"&gt;="&amp;設定!$B$5,先々月データ!$A:$A,"&lt;="&amp;EOMONTH(設定!$B$5,0),先々月データ!$Z:$Z,$A53))/IF(C$52&lt;設定!$B$10,$G$38,$F$38)),"")))</f>
        <v/>
      </c>
      <c r="D53" s="55" t="str">
        <f aca="false">IF(AND(N(IF(D$52&lt;設定!$B$10,$C$38,$B$38))&gt;0,N(IF(D$52&lt;設定!$B$10,$G$38,$F$38))&gt;0),(設定!$B$15*IF(OR(設定!$B$4="",IF(D$52&lt;設定!$B$10,$C$38,$B$38)=0),"",IF(D$52&lt;設定!$B$10,SUMIFS(先月データ!$Q:$Q,先月データ!$K:$K,D$52,先月データ!$A:$A,"&gt;="&amp;設定!$B$4,先月データ!$A:$A,"&lt;="&amp;EOMONTH(設定!$B$4,0),先月データ!$Z:$Z,$A53,先月データ!$AA:$AA,1),SUMIFS(先月データ!$Q:$Q,先月データ!$K:$K,D$52,先月データ!$A:$A,"&gt;="&amp;設定!$B$4,先月データ!$A:$A,"&lt;="&amp;EOMONTH(設定!$B$4,0),先月データ!$Z:$Z,$A53))/IF(D$52&lt;設定!$B$10,$C$38,$B$38))+設定!$B$16*IF(OR(設定!$B$5="",IF(D$52&lt;設定!$B$10,$G$38,$F$38)=0),"",IF(D$52&lt;設定!$B$10,SUMIFS(先々月データ!$Q:$Q,先々月データ!$K:$K,D$52,先々月データ!$A:$A,"&gt;="&amp;設定!$B$5,先々月データ!$A:$A,"&lt;="&amp;EOMONTH(設定!$B$5,0),先々月データ!$Z:$Z,$A53,先々月データ!$AA:$AA,1),SUMIFS(先々月データ!$Q:$Q,先々月データ!$K:$K,D$52,先々月データ!$A:$A,"&gt;="&amp;設定!$B$5,先々月データ!$A:$A,"&lt;="&amp;EOMONTH(設定!$B$5,0),先々月データ!$Z:$Z,$A53))/IF(D$52&lt;設定!$B$10,$G$38,$F$38)))/(設定!$B$15+設定!$B$16),IF(N(IF(D$52&lt;設定!$B$10,$C$38,$B$38))&gt;0,IF(OR(設定!$B$4="",IF(D$52&lt;設定!$B$10,$C$38,$B$38)=0),"",IF(D$52&lt;設定!$B$10,SUMIFS(先月データ!$Q:$Q,先月データ!$K:$K,D$52,先月データ!$A:$A,"&gt;="&amp;設定!$B$4,先月データ!$A:$A,"&lt;="&amp;EOMONTH(設定!$B$4,0),先月データ!$Z:$Z,$A53,先月データ!$AA:$AA,1),SUMIFS(先月データ!$Q:$Q,先月データ!$K:$K,D$52,先月データ!$A:$A,"&gt;="&amp;設定!$B$4,先月データ!$A:$A,"&lt;="&amp;EOMONTH(設定!$B$4,0),先月データ!$Z:$Z,$A53))/IF(D$52&lt;設定!$B$10,$C$38,$B$38)),IF(N(IF(D$52&lt;設定!$B$10,$G$38,$F$38))&gt;0,IF(OR(設定!$B$5="",IF(D$52&lt;設定!$B$10,$G$38,$F$38)=0),"",IF(D$52&lt;設定!$B$10,SUMIFS(先々月データ!$Q:$Q,先々月データ!$K:$K,D$52,先々月データ!$A:$A,"&gt;="&amp;設定!$B$5,先々月データ!$A:$A,"&lt;="&amp;EOMONTH(設定!$B$5,0),先々月データ!$Z:$Z,$A53,先々月データ!$AA:$AA,1),SUMIFS(先々月データ!$Q:$Q,先々月データ!$K:$K,D$52,先々月データ!$A:$A,"&gt;="&amp;設定!$B$5,先々月データ!$A:$A,"&lt;="&amp;EOMONTH(設定!$B$5,0),先々月データ!$Z:$Z,$A53))/IF(D$52&lt;設定!$B$10,$G$38,$F$38)),"")))</f>
        <v/>
      </c>
      <c r="E53" s="55" t="str">
        <f aca="false">IF(AND(N(IF(E$52&lt;設定!$B$10,$C$38,$B$38))&gt;0,N(IF(E$52&lt;設定!$B$10,$G$38,$F$38))&gt;0),(設定!$B$15*IF(OR(設定!$B$4="",IF(E$52&lt;設定!$B$10,$C$38,$B$38)=0),"",IF(E$52&lt;設定!$B$10,SUMIFS(先月データ!$Q:$Q,先月データ!$K:$K,E$52,先月データ!$A:$A,"&gt;="&amp;設定!$B$4,先月データ!$A:$A,"&lt;="&amp;EOMONTH(設定!$B$4,0),先月データ!$Z:$Z,$A53,先月データ!$AA:$AA,1),SUMIFS(先月データ!$Q:$Q,先月データ!$K:$K,E$52,先月データ!$A:$A,"&gt;="&amp;設定!$B$4,先月データ!$A:$A,"&lt;="&amp;EOMONTH(設定!$B$4,0),先月データ!$Z:$Z,$A53))/IF(E$52&lt;設定!$B$10,$C$38,$B$38))+設定!$B$16*IF(OR(設定!$B$5="",IF(E$52&lt;設定!$B$10,$G$38,$F$38)=0),"",IF(E$52&lt;設定!$B$10,SUMIFS(先々月データ!$Q:$Q,先々月データ!$K:$K,E$52,先々月データ!$A:$A,"&gt;="&amp;設定!$B$5,先々月データ!$A:$A,"&lt;="&amp;EOMONTH(設定!$B$5,0),先々月データ!$Z:$Z,$A53,先々月データ!$AA:$AA,1),SUMIFS(先々月データ!$Q:$Q,先々月データ!$K:$K,E$52,先々月データ!$A:$A,"&gt;="&amp;設定!$B$5,先々月データ!$A:$A,"&lt;="&amp;EOMONTH(設定!$B$5,0),先々月データ!$Z:$Z,$A53))/IF(E$52&lt;設定!$B$10,$G$38,$F$38)))/(設定!$B$15+設定!$B$16),IF(N(IF(E$52&lt;設定!$B$10,$C$38,$B$38))&gt;0,IF(OR(設定!$B$4="",IF(E$52&lt;設定!$B$10,$C$38,$B$38)=0),"",IF(E$52&lt;設定!$B$10,SUMIFS(先月データ!$Q:$Q,先月データ!$K:$K,E$52,先月データ!$A:$A,"&gt;="&amp;設定!$B$4,先月データ!$A:$A,"&lt;="&amp;EOMONTH(設定!$B$4,0),先月データ!$Z:$Z,$A53,先月データ!$AA:$AA,1),SUMIFS(先月データ!$Q:$Q,先月データ!$K:$K,E$52,先月データ!$A:$A,"&gt;="&amp;設定!$B$4,先月データ!$A:$A,"&lt;="&amp;EOMONTH(設定!$B$4,0),先月データ!$Z:$Z,$A53))/IF(E$52&lt;設定!$B$10,$C$38,$B$38)),IF(N(IF(E$52&lt;設定!$B$10,$G$38,$F$38))&gt;0,IF(OR(設定!$B$5="",IF(E$52&lt;設定!$B$10,$G$38,$F$38)=0),"",IF(E$52&lt;設定!$B$10,SUMIFS(先々月データ!$Q:$Q,先々月データ!$K:$K,E$52,先々月データ!$A:$A,"&gt;="&amp;設定!$B$5,先々月データ!$A:$A,"&lt;="&amp;EOMONTH(設定!$B$5,0),先々月データ!$Z:$Z,$A53,先々月データ!$AA:$AA,1),SUMIFS(先々月データ!$Q:$Q,先々月データ!$K:$K,E$52,先々月データ!$A:$A,"&gt;="&amp;設定!$B$5,先々月データ!$A:$A,"&lt;="&amp;EOMONTH(設定!$B$5,0),先々月データ!$Z:$Z,$A53))/IF(E$52&lt;設定!$B$10,$G$38,$F$38)),"")))</f>
        <v/>
      </c>
      <c r="F53" s="55" t="str">
        <f aca="false">IF(AND(N(IF(F$52&lt;設定!$B$10,$C$38,$B$38))&gt;0,N(IF(F$52&lt;設定!$B$10,$G$38,$F$38))&gt;0),(設定!$B$15*IF(OR(設定!$B$4="",IF(F$52&lt;設定!$B$10,$C$38,$B$38)=0),"",IF(F$52&lt;設定!$B$10,SUMIFS(先月データ!$Q:$Q,先月データ!$K:$K,F$52,先月データ!$A:$A,"&gt;="&amp;設定!$B$4,先月データ!$A:$A,"&lt;="&amp;EOMONTH(設定!$B$4,0),先月データ!$Z:$Z,$A53,先月データ!$AA:$AA,1),SUMIFS(先月データ!$Q:$Q,先月データ!$K:$K,F$52,先月データ!$A:$A,"&gt;="&amp;設定!$B$4,先月データ!$A:$A,"&lt;="&amp;EOMONTH(設定!$B$4,0),先月データ!$Z:$Z,$A53))/IF(F$52&lt;設定!$B$10,$C$38,$B$38))+設定!$B$16*IF(OR(設定!$B$5="",IF(F$52&lt;設定!$B$10,$G$38,$F$38)=0),"",IF(F$52&lt;設定!$B$10,SUMIFS(先々月データ!$Q:$Q,先々月データ!$K:$K,F$52,先々月データ!$A:$A,"&gt;="&amp;設定!$B$5,先々月データ!$A:$A,"&lt;="&amp;EOMONTH(設定!$B$5,0),先々月データ!$Z:$Z,$A53,先々月データ!$AA:$AA,1),SUMIFS(先々月データ!$Q:$Q,先々月データ!$K:$K,F$52,先々月データ!$A:$A,"&gt;="&amp;設定!$B$5,先々月データ!$A:$A,"&lt;="&amp;EOMONTH(設定!$B$5,0),先々月データ!$Z:$Z,$A53))/IF(F$52&lt;設定!$B$10,$G$38,$F$38)))/(設定!$B$15+設定!$B$16),IF(N(IF(F$52&lt;設定!$B$10,$C$38,$B$38))&gt;0,IF(OR(設定!$B$4="",IF(F$52&lt;設定!$B$10,$C$38,$B$38)=0),"",IF(F$52&lt;設定!$B$10,SUMIFS(先月データ!$Q:$Q,先月データ!$K:$K,F$52,先月データ!$A:$A,"&gt;="&amp;設定!$B$4,先月データ!$A:$A,"&lt;="&amp;EOMONTH(設定!$B$4,0),先月データ!$Z:$Z,$A53,先月データ!$AA:$AA,1),SUMIFS(先月データ!$Q:$Q,先月データ!$K:$K,F$52,先月データ!$A:$A,"&gt;="&amp;設定!$B$4,先月データ!$A:$A,"&lt;="&amp;EOMONTH(設定!$B$4,0),先月データ!$Z:$Z,$A53))/IF(F$52&lt;設定!$B$10,$C$38,$B$38)),IF(N(IF(F$52&lt;設定!$B$10,$G$38,$F$38))&gt;0,IF(OR(設定!$B$5="",IF(F$52&lt;設定!$B$10,$G$38,$F$38)=0),"",IF(F$52&lt;設定!$B$10,SUMIFS(先々月データ!$Q:$Q,先々月データ!$K:$K,F$52,先々月データ!$A:$A,"&gt;="&amp;設定!$B$5,先々月データ!$A:$A,"&lt;="&amp;EOMONTH(設定!$B$5,0),先々月データ!$Z:$Z,$A53,先々月データ!$AA:$AA,1),SUMIFS(先々月データ!$Q:$Q,先々月データ!$K:$K,F$52,先々月データ!$A:$A,"&gt;="&amp;設定!$B$5,先々月データ!$A:$A,"&lt;="&amp;EOMONTH(設定!$B$5,0),先々月データ!$Z:$Z,$A53))/IF(F$52&lt;設定!$B$10,$G$38,$F$38)),"")))</f>
        <v/>
      </c>
      <c r="G53" s="55" t="str">
        <f aca="false">IF(AND(N(IF(G$52&lt;設定!$B$10,$C$38,$B$38))&gt;0,N(IF(G$52&lt;設定!$B$10,$G$38,$F$38))&gt;0),(設定!$B$15*IF(OR(設定!$B$4="",IF(G$52&lt;設定!$B$10,$C$38,$B$38)=0),"",IF(G$52&lt;設定!$B$10,SUMIFS(先月データ!$Q:$Q,先月データ!$K:$K,G$52,先月データ!$A:$A,"&gt;="&amp;設定!$B$4,先月データ!$A:$A,"&lt;="&amp;EOMONTH(設定!$B$4,0),先月データ!$Z:$Z,$A53,先月データ!$AA:$AA,1),SUMIFS(先月データ!$Q:$Q,先月データ!$K:$K,G$52,先月データ!$A:$A,"&gt;="&amp;設定!$B$4,先月データ!$A:$A,"&lt;="&amp;EOMONTH(設定!$B$4,0),先月データ!$Z:$Z,$A53))/IF(G$52&lt;設定!$B$10,$C$38,$B$38))+設定!$B$16*IF(OR(設定!$B$5="",IF(G$52&lt;設定!$B$10,$G$38,$F$38)=0),"",IF(G$52&lt;設定!$B$10,SUMIFS(先々月データ!$Q:$Q,先々月データ!$K:$K,G$52,先々月データ!$A:$A,"&gt;="&amp;設定!$B$5,先々月データ!$A:$A,"&lt;="&amp;EOMONTH(設定!$B$5,0),先々月データ!$Z:$Z,$A53,先々月データ!$AA:$AA,1),SUMIFS(先々月データ!$Q:$Q,先々月データ!$K:$K,G$52,先々月データ!$A:$A,"&gt;="&amp;設定!$B$5,先々月データ!$A:$A,"&lt;="&amp;EOMONTH(設定!$B$5,0),先々月データ!$Z:$Z,$A53))/IF(G$52&lt;設定!$B$10,$G$38,$F$38)))/(設定!$B$15+設定!$B$16),IF(N(IF(G$52&lt;設定!$B$10,$C$38,$B$38))&gt;0,IF(OR(設定!$B$4="",IF(G$52&lt;設定!$B$10,$C$38,$B$38)=0),"",IF(G$52&lt;設定!$B$10,SUMIFS(先月データ!$Q:$Q,先月データ!$K:$K,G$52,先月データ!$A:$A,"&gt;="&amp;設定!$B$4,先月データ!$A:$A,"&lt;="&amp;EOMONTH(設定!$B$4,0),先月データ!$Z:$Z,$A53,先月データ!$AA:$AA,1),SUMIFS(先月データ!$Q:$Q,先月データ!$K:$K,G$52,先月データ!$A:$A,"&gt;="&amp;設定!$B$4,先月データ!$A:$A,"&lt;="&amp;EOMONTH(設定!$B$4,0),先月データ!$Z:$Z,$A53))/IF(G$52&lt;設定!$B$10,$C$38,$B$38)),IF(N(IF(G$52&lt;設定!$B$10,$G$38,$F$38))&gt;0,IF(OR(設定!$B$5="",IF(G$52&lt;設定!$B$10,$G$38,$F$38)=0),"",IF(G$52&lt;設定!$B$10,SUMIFS(先々月データ!$Q:$Q,先々月データ!$K:$K,G$52,先々月データ!$A:$A,"&gt;="&amp;設定!$B$5,先々月データ!$A:$A,"&lt;="&amp;EOMONTH(設定!$B$5,0),先々月データ!$Z:$Z,$A53,先々月データ!$AA:$AA,1),SUMIFS(先々月データ!$Q:$Q,先々月データ!$K:$K,G$52,先々月データ!$A:$A,"&gt;="&amp;設定!$B$5,先々月データ!$A:$A,"&lt;="&amp;EOMONTH(設定!$B$5,0),先々月データ!$Z:$Z,$A53))/IF(G$52&lt;設定!$B$10,$G$38,$F$38)),"")))</f>
        <v/>
      </c>
      <c r="H53" s="55" t="str">
        <f aca="false">IF(AND(N(IF(H$52&lt;設定!$B$10,$C$38,$B$38))&gt;0,N(IF(H$52&lt;設定!$B$10,$G$38,$F$38))&gt;0),(設定!$B$15*IF(OR(設定!$B$4="",IF(H$52&lt;設定!$B$10,$C$38,$B$38)=0),"",IF(H$52&lt;設定!$B$10,SUMIFS(先月データ!$Q:$Q,先月データ!$K:$K,H$52,先月データ!$A:$A,"&gt;="&amp;設定!$B$4,先月データ!$A:$A,"&lt;="&amp;EOMONTH(設定!$B$4,0),先月データ!$Z:$Z,$A53,先月データ!$AA:$AA,1),SUMIFS(先月データ!$Q:$Q,先月データ!$K:$K,H$52,先月データ!$A:$A,"&gt;="&amp;設定!$B$4,先月データ!$A:$A,"&lt;="&amp;EOMONTH(設定!$B$4,0),先月データ!$Z:$Z,$A53))/IF(H$52&lt;設定!$B$10,$C$38,$B$38))+設定!$B$16*IF(OR(設定!$B$5="",IF(H$52&lt;設定!$B$10,$G$38,$F$38)=0),"",IF(H$52&lt;設定!$B$10,SUMIFS(先々月データ!$Q:$Q,先々月データ!$K:$K,H$52,先々月データ!$A:$A,"&gt;="&amp;設定!$B$5,先々月データ!$A:$A,"&lt;="&amp;EOMONTH(設定!$B$5,0),先々月データ!$Z:$Z,$A53,先々月データ!$AA:$AA,1),SUMIFS(先々月データ!$Q:$Q,先々月データ!$K:$K,H$52,先々月データ!$A:$A,"&gt;="&amp;設定!$B$5,先々月データ!$A:$A,"&lt;="&amp;EOMONTH(設定!$B$5,0),先々月データ!$Z:$Z,$A53))/IF(H$52&lt;設定!$B$10,$G$38,$F$38)))/(設定!$B$15+設定!$B$16),IF(N(IF(H$52&lt;設定!$B$10,$C$38,$B$38))&gt;0,IF(OR(設定!$B$4="",IF(H$52&lt;設定!$B$10,$C$38,$B$38)=0),"",IF(H$52&lt;設定!$B$10,SUMIFS(先月データ!$Q:$Q,先月データ!$K:$K,H$52,先月データ!$A:$A,"&gt;="&amp;設定!$B$4,先月データ!$A:$A,"&lt;="&amp;EOMONTH(設定!$B$4,0),先月データ!$Z:$Z,$A53,先月データ!$AA:$AA,1),SUMIFS(先月データ!$Q:$Q,先月データ!$K:$K,H$52,先月データ!$A:$A,"&gt;="&amp;設定!$B$4,先月データ!$A:$A,"&lt;="&amp;EOMONTH(設定!$B$4,0),先月データ!$Z:$Z,$A53))/IF(H$52&lt;設定!$B$10,$C$38,$B$38)),IF(N(IF(H$52&lt;設定!$B$10,$G$38,$F$38))&gt;0,IF(OR(設定!$B$5="",IF(H$52&lt;設定!$B$10,$G$38,$F$38)=0),"",IF(H$52&lt;設定!$B$10,SUMIFS(先々月データ!$Q:$Q,先々月データ!$K:$K,H$52,先々月データ!$A:$A,"&gt;="&amp;設定!$B$5,先々月データ!$A:$A,"&lt;="&amp;EOMONTH(設定!$B$5,0),先々月データ!$Z:$Z,$A53,先々月データ!$AA:$AA,1),SUMIFS(先々月データ!$Q:$Q,先々月データ!$K:$K,H$52,先々月データ!$A:$A,"&gt;="&amp;設定!$B$5,先々月データ!$A:$A,"&lt;="&amp;EOMONTH(設定!$B$5,0),先々月データ!$Z:$Z,$A53))/IF(H$52&lt;設定!$B$10,$G$38,$F$38)),"")))</f>
        <v/>
      </c>
      <c r="I53" s="55" t="str">
        <f aca="false">IF(AND(N(IF(I$52&lt;設定!$B$10,$C$38,$B$38))&gt;0,N(IF(I$52&lt;設定!$B$10,$G$38,$F$38))&gt;0),(設定!$B$15*IF(OR(設定!$B$4="",IF(I$52&lt;設定!$B$10,$C$38,$B$38)=0),"",IF(I$52&lt;設定!$B$10,SUMIFS(先月データ!$Q:$Q,先月データ!$K:$K,I$52,先月データ!$A:$A,"&gt;="&amp;設定!$B$4,先月データ!$A:$A,"&lt;="&amp;EOMONTH(設定!$B$4,0),先月データ!$Z:$Z,$A53,先月データ!$AA:$AA,1),SUMIFS(先月データ!$Q:$Q,先月データ!$K:$K,I$52,先月データ!$A:$A,"&gt;="&amp;設定!$B$4,先月データ!$A:$A,"&lt;="&amp;EOMONTH(設定!$B$4,0),先月データ!$Z:$Z,$A53))/IF(I$52&lt;設定!$B$10,$C$38,$B$38))+設定!$B$16*IF(OR(設定!$B$5="",IF(I$52&lt;設定!$B$10,$G$38,$F$38)=0),"",IF(I$52&lt;設定!$B$10,SUMIFS(先々月データ!$Q:$Q,先々月データ!$K:$K,I$52,先々月データ!$A:$A,"&gt;="&amp;設定!$B$5,先々月データ!$A:$A,"&lt;="&amp;EOMONTH(設定!$B$5,0),先々月データ!$Z:$Z,$A53,先々月データ!$AA:$AA,1),SUMIFS(先々月データ!$Q:$Q,先々月データ!$K:$K,I$52,先々月データ!$A:$A,"&gt;="&amp;設定!$B$5,先々月データ!$A:$A,"&lt;="&amp;EOMONTH(設定!$B$5,0),先々月データ!$Z:$Z,$A53))/IF(I$52&lt;設定!$B$10,$G$38,$F$38)))/(設定!$B$15+設定!$B$16),IF(N(IF(I$52&lt;設定!$B$10,$C$38,$B$38))&gt;0,IF(OR(設定!$B$4="",IF(I$52&lt;設定!$B$10,$C$38,$B$38)=0),"",IF(I$52&lt;設定!$B$10,SUMIFS(先月データ!$Q:$Q,先月データ!$K:$K,I$52,先月データ!$A:$A,"&gt;="&amp;設定!$B$4,先月データ!$A:$A,"&lt;="&amp;EOMONTH(設定!$B$4,0),先月データ!$Z:$Z,$A53,先月データ!$AA:$AA,1),SUMIFS(先月データ!$Q:$Q,先月データ!$K:$K,I$52,先月データ!$A:$A,"&gt;="&amp;設定!$B$4,先月データ!$A:$A,"&lt;="&amp;EOMONTH(設定!$B$4,0),先月データ!$Z:$Z,$A53))/IF(I$52&lt;設定!$B$10,$C$38,$B$38)),IF(N(IF(I$52&lt;設定!$B$10,$G$38,$F$38))&gt;0,IF(OR(設定!$B$5="",IF(I$52&lt;設定!$B$10,$G$38,$F$38)=0),"",IF(I$52&lt;設定!$B$10,SUMIFS(先々月データ!$Q:$Q,先々月データ!$K:$K,I$52,先々月データ!$A:$A,"&gt;="&amp;設定!$B$5,先々月データ!$A:$A,"&lt;="&amp;EOMONTH(設定!$B$5,0),先々月データ!$Z:$Z,$A53,先々月データ!$AA:$AA,1),SUMIFS(先々月データ!$Q:$Q,先々月データ!$K:$K,I$52,先々月データ!$A:$A,"&gt;="&amp;設定!$B$5,先々月データ!$A:$A,"&lt;="&amp;EOMONTH(設定!$B$5,0),先々月データ!$Z:$Z,$A53))/IF(I$52&lt;設定!$B$10,$G$38,$F$38)),"")))</f>
        <v/>
      </c>
      <c r="J53" s="55" t="str">
        <f aca="false">IF(AND(N(IF(J$52&lt;設定!$B$10,$C$38,$B$38))&gt;0,N(IF(J$52&lt;設定!$B$10,$G$38,$F$38))&gt;0),(設定!$B$15*IF(OR(設定!$B$4="",IF(J$52&lt;設定!$B$10,$C$38,$B$38)=0),"",IF(J$52&lt;設定!$B$10,SUMIFS(先月データ!$Q:$Q,先月データ!$K:$K,J$52,先月データ!$A:$A,"&gt;="&amp;設定!$B$4,先月データ!$A:$A,"&lt;="&amp;EOMONTH(設定!$B$4,0),先月データ!$Z:$Z,$A53,先月データ!$AA:$AA,1),SUMIFS(先月データ!$Q:$Q,先月データ!$K:$K,J$52,先月データ!$A:$A,"&gt;="&amp;設定!$B$4,先月データ!$A:$A,"&lt;="&amp;EOMONTH(設定!$B$4,0),先月データ!$Z:$Z,$A53))/IF(J$52&lt;設定!$B$10,$C$38,$B$38))+設定!$B$16*IF(OR(設定!$B$5="",IF(J$52&lt;設定!$B$10,$G$38,$F$38)=0),"",IF(J$52&lt;設定!$B$10,SUMIFS(先々月データ!$Q:$Q,先々月データ!$K:$K,J$52,先々月データ!$A:$A,"&gt;="&amp;設定!$B$5,先々月データ!$A:$A,"&lt;="&amp;EOMONTH(設定!$B$5,0),先々月データ!$Z:$Z,$A53,先々月データ!$AA:$AA,1),SUMIFS(先々月データ!$Q:$Q,先々月データ!$K:$K,J$52,先々月データ!$A:$A,"&gt;="&amp;設定!$B$5,先々月データ!$A:$A,"&lt;="&amp;EOMONTH(設定!$B$5,0),先々月データ!$Z:$Z,$A53))/IF(J$52&lt;設定!$B$10,$G$38,$F$38)))/(設定!$B$15+設定!$B$16),IF(N(IF(J$52&lt;設定!$B$10,$C$38,$B$38))&gt;0,IF(OR(設定!$B$4="",IF(J$52&lt;設定!$B$10,$C$38,$B$38)=0),"",IF(J$52&lt;設定!$B$10,SUMIFS(先月データ!$Q:$Q,先月データ!$K:$K,J$52,先月データ!$A:$A,"&gt;="&amp;設定!$B$4,先月データ!$A:$A,"&lt;="&amp;EOMONTH(設定!$B$4,0),先月データ!$Z:$Z,$A53,先月データ!$AA:$AA,1),SUMIFS(先月データ!$Q:$Q,先月データ!$K:$K,J$52,先月データ!$A:$A,"&gt;="&amp;設定!$B$4,先月データ!$A:$A,"&lt;="&amp;EOMONTH(設定!$B$4,0),先月データ!$Z:$Z,$A53))/IF(J$52&lt;設定!$B$10,$C$38,$B$38)),IF(N(IF(J$52&lt;設定!$B$10,$G$38,$F$38))&gt;0,IF(OR(設定!$B$5="",IF(J$52&lt;設定!$B$10,$G$38,$F$38)=0),"",IF(J$52&lt;設定!$B$10,SUMIFS(先々月データ!$Q:$Q,先々月データ!$K:$K,J$52,先々月データ!$A:$A,"&gt;="&amp;設定!$B$5,先々月データ!$A:$A,"&lt;="&amp;EOMONTH(設定!$B$5,0),先々月データ!$Z:$Z,$A53,先々月データ!$AA:$AA,1),SUMIFS(先々月データ!$Q:$Q,先々月データ!$K:$K,J$52,先々月データ!$A:$A,"&gt;="&amp;設定!$B$5,先々月データ!$A:$A,"&lt;="&amp;EOMONTH(設定!$B$5,0),先々月データ!$Z:$Z,$A53))/IF(J$52&lt;設定!$B$10,$G$38,$F$38)),"")))</f>
        <v/>
      </c>
      <c r="K53" s="55" t="str">
        <f aca="false">IF(AND(N(IF(K$52&lt;設定!$B$10,$C$38,$B$38))&gt;0,N(IF(K$52&lt;設定!$B$10,$G$38,$F$38))&gt;0),(設定!$B$15*IF(OR(設定!$B$4="",IF(K$52&lt;設定!$B$10,$C$38,$B$38)=0),"",IF(K$52&lt;設定!$B$10,SUMIFS(先月データ!$Q:$Q,先月データ!$K:$K,K$52,先月データ!$A:$A,"&gt;="&amp;設定!$B$4,先月データ!$A:$A,"&lt;="&amp;EOMONTH(設定!$B$4,0),先月データ!$Z:$Z,$A53,先月データ!$AA:$AA,1),SUMIFS(先月データ!$Q:$Q,先月データ!$K:$K,K$52,先月データ!$A:$A,"&gt;="&amp;設定!$B$4,先月データ!$A:$A,"&lt;="&amp;EOMONTH(設定!$B$4,0),先月データ!$Z:$Z,$A53))/IF(K$52&lt;設定!$B$10,$C$38,$B$38))+設定!$B$16*IF(OR(設定!$B$5="",IF(K$52&lt;設定!$B$10,$G$38,$F$38)=0),"",IF(K$52&lt;設定!$B$10,SUMIFS(先々月データ!$Q:$Q,先々月データ!$K:$K,K$52,先々月データ!$A:$A,"&gt;="&amp;設定!$B$5,先々月データ!$A:$A,"&lt;="&amp;EOMONTH(設定!$B$5,0),先々月データ!$Z:$Z,$A53,先々月データ!$AA:$AA,1),SUMIFS(先々月データ!$Q:$Q,先々月データ!$K:$K,K$52,先々月データ!$A:$A,"&gt;="&amp;設定!$B$5,先々月データ!$A:$A,"&lt;="&amp;EOMONTH(設定!$B$5,0),先々月データ!$Z:$Z,$A53))/IF(K$52&lt;設定!$B$10,$G$38,$F$38)))/(設定!$B$15+設定!$B$16),IF(N(IF(K$52&lt;設定!$B$10,$C$38,$B$38))&gt;0,IF(OR(設定!$B$4="",IF(K$52&lt;設定!$B$10,$C$38,$B$38)=0),"",IF(K$52&lt;設定!$B$10,SUMIFS(先月データ!$Q:$Q,先月データ!$K:$K,K$52,先月データ!$A:$A,"&gt;="&amp;設定!$B$4,先月データ!$A:$A,"&lt;="&amp;EOMONTH(設定!$B$4,0),先月データ!$Z:$Z,$A53,先月データ!$AA:$AA,1),SUMIFS(先月データ!$Q:$Q,先月データ!$K:$K,K$52,先月データ!$A:$A,"&gt;="&amp;設定!$B$4,先月データ!$A:$A,"&lt;="&amp;EOMONTH(設定!$B$4,0),先月データ!$Z:$Z,$A53))/IF(K$52&lt;設定!$B$10,$C$38,$B$38)),IF(N(IF(K$52&lt;設定!$B$10,$G$38,$F$38))&gt;0,IF(OR(設定!$B$5="",IF(K$52&lt;設定!$B$10,$G$38,$F$38)=0),"",IF(K$52&lt;設定!$B$10,SUMIFS(先々月データ!$Q:$Q,先々月データ!$K:$K,K$52,先々月データ!$A:$A,"&gt;="&amp;設定!$B$5,先々月データ!$A:$A,"&lt;="&amp;EOMONTH(設定!$B$5,0),先々月データ!$Z:$Z,$A53,先々月データ!$AA:$AA,1),SUMIFS(先々月データ!$Q:$Q,先々月データ!$K:$K,K$52,先々月データ!$A:$A,"&gt;="&amp;設定!$B$5,先々月データ!$A:$A,"&lt;="&amp;EOMONTH(設定!$B$5,0),先々月データ!$Z:$Z,$A53))/IF(K$52&lt;設定!$B$10,$G$38,$F$38)),"")))</f>
        <v/>
      </c>
      <c r="L53" s="55" t="str">
        <f aca="false">IF(AND(N(IF(L$52&lt;設定!$B$10,$C$38,$B$38))&gt;0,N(IF(L$52&lt;設定!$B$10,$G$38,$F$38))&gt;0),(設定!$B$15*IF(OR(設定!$B$4="",IF(L$52&lt;設定!$B$10,$C$38,$B$38)=0),"",IF(L$52&lt;設定!$B$10,SUMIFS(先月データ!$Q:$Q,先月データ!$K:$K,L$52,先月データ!$A:$A,"&gt;="&amp;設定!$B$4,先月データ!$A:$A,"&lt;="&amp;EOMONTH(設定!$B$4,0),先月データ!$Z:$Z,$A53,先月データ!$AA:$AA,1),SUMIFS(先月データ!$Q:$Q,先月データ!$K:$K,L$52,先月データ!$A:$A,"&gt;="&amp;設定!$B$4,先月データ!$A:$A,"&lt;="&amp;EOMONTH(設定!$B$4,0),先月データ!$Z:$Z,$A53))/IF(L$52&lt;設定!$B$10,$C$38,$B$38))+設定!$B$16*IF(OR(設定!$B$5="",IF(L$52&lt;設定!$B$10,$G$38,$F$38)=0),"",IF(L$52&lt;設定!$B$10,SUMIFS(先々月データ!$Q:$Q,先々月データ!$K:$K,L$52,先々月データ!$A:$A,"&gt;="&amp;設定!$B$5,先々月データ!$A:$A,"&lt;="&amp;EOMONTH(設定!$B$5,0),先々月データ!$Z:$Z,$A53,先々月データ!$AA:$AA,1),SUMIFS(先々月データ!$Q:$Q,先々月データ!$K:$K,L$52,先々月データ!$A:$A,"&gt;="&amp;設定!$B$5,先々月データ!$A:$A,"&lt;="&amp;EOMONTH(設定!$B$5,0),先々月データ!$Z:$Z,$A53))/IF(L$52&lt;設定!$B$10,$G$38,$F$38)))/(設定!$B$15+設定!$B$16),IF(N(IF(L$52&lt;設定!$B$10,$C$38,$B$38))&gt;0,IF(OR(設定!$B$4="",IF(L$52&lt;設定!$B$10,$C$38,$B$38)=0),"",IF(L$52&lt;設定!$B$10,SUMIFS(先月データ!$Q:$Q,先月データ!$K:$K,L$52,先月データ!$A:$A,"&gt;="&amp;設定!$B$4,先月データ!$A:$A,"&lt;="&amp;EOMONTH(設定!$B$4,0),先月データ!$Z:$Z,$A53,先月データ!$AA:$AA,1),SUMIFS(先月データ!$Q:$Q,先月データ!$K:$K,L$52,先月データ!$A:$A,"&gt;="&amp;設定!$B$4,先月データ!$A:$A,"&lt;="&amp;EOMONTH(設定!$B$4,0),先月データ!$Z:$Z,$A53))/IF(L$52&lt;設定!$B$10,$C$38,$B$38)),IF(N(IF(L$52&lt;設定!$B$10,$G$38,$F$38))&gt;0,IF(OR(設定!$B$5="",IF(L$52&lt;設定!$B$10,$G$38,$F$38)=0),"",IF(L$52&lt;設定!$B$10,SUMIFS(先々月データ!$Q:$Q,先々月データ!$K:$K,L$52,先々月データ!$A:$A,"&gt;="&amp;設定!$B$5,先々月データ!$A:$A,"&lt;="&amp;EOMONTH(設定!$B$5,0),先々月データ!$Z:$Z,$A53,先々月データ!$AA:$AA,1),SUMIFS(先々月データ!$Q:$Q,先々月データ!$K:$K,L$52,先々月データ!$A:$A,"&gt;="&amp;設定!$B$5,先々月データ!$A:$A,"&lt;="&amp;EOMONTH(設定!$B$5,0),先々月データ!$Z:$Z,$A53))/IF(L$52&lt;設定!$B$10,$G$38,$F$38)),"")))</f>
        <v/>
      </c>
      <c r="M53" s="55" t="str">
        <f aca="false">IF(AND(N(IF(M$52&lt;設定!$B$10,$C$38,$B$38))&gt;0,N(IF(M$52&lt;設定!$B$10,$G$38,$F$38))&gt;0),(設定!$B$15*IF(OR(設定!$B$4="",IF(M$52&lt;設定!$B$10,$C$38,$B$38)=0),"",IF(M$52&lt;設定!$B$10,SUMIFS(先月データ!$Q:$Q,先月データ!$K:$K,M$52,先月データ!$A:$A,"&gt;="&amp;設定!$B$4,先月データ!$A:$A,"&lt;="&amp;EOMONTH(設定!$B$4,0),先月データ!$Z:$Z,$A53,先月データ!$AA:$AA,1),SUMIFS(先月データ!$Q:$Q,先月データ!$K:$K,M$52,先月データ!$A:$A,"&gt;="&amp;設定!$B$4,先月データ!$A:$A,"&lt;="&amp;EOMONTH(設定!$B$4,0),先月データ!$Z:$Z,$A53))/IF(M$52&lt;設定!$B$10,$C$38,$B$38))+設定!$B$16*IF(OR(設定!$B$5="",IF(M$52&lt;設定!$B$10,$G$38,$F$38)=0),"",IF(M$52&lt;設定!$B$10,SUMIFS(先々月データ!$Q:$Q,先々月データ!$K:$K,M$52,先々月データ!$A:$A,"&gt;="&amp;設定!$B$5,先々月データ!$A:$A,"&lt;="&amp;EOMONTH(設定!$B$5,0),先々月データ!$Z:$Z,$A53,先々月データ!$AA:$AA,1),SUMIFS(先々月データ!$Q:$Q,先々月データ!$K:$K,M$52,先々月データ!$A:$A,"&gt;="&amp;設定!$B$5,先々月データ!$A:$A,"&lt;="&amp;EOMONTH(設定!$B$5,0),先々月データ!$Z:$Z,$A53))/IF(M$52&lt;設定!$B$10,$G$38,$F$38)))/(設定!$B$15+設定!$B$16),IF(N(IF(M$52&lt;設定!$B$10,$C$38,$B$38))&gt;0,IF(OR(設定!$B$4="",IF(M$52&lt;設定!$B$10,$C$38,$B$38)=0),"",IF(M$52&lt;設定!$B$10,SUMIFS(先月データ!$Q:$Q,先月データ!$K:$K,M$52,先月データ!$A:$A,"&gt;="&amp;設定!$B$4,先月データ!$A:$A,"&lt;="&amp;EOMONTH(設定!$B$4,0),先月データ!$Z:$Z,$A53,先月データ!$AA:$AA,1),SUMIFS(先月データ!$Q:$Q,先月データ!$K:$K,M$52,先月データ!$A:$A,"&gt;="&amp;設定!$B$4,先月データ!$A:$A,"&lt;="&amp;EOMONTH(設定!$B$4,0),先月データ!$Z:$Z,$A53))/IF(M$52&lt;設定!$B$10,$C$38,$B$38)),IF(N(IF(M$52&lt;設定!$B$10,$G$38,$F$38))&gt;0,IF(OR(設定!$B$5="",IF(M$52&lt;設定!$B$10,$G$38,$F$38)=0),"",IF(M$52&lt;設定!$B$10,SUMIFS(先々月データ!$Q:$Q,先々月データ!$K:$K,M$52,先々月データ!$A:$A,"&gt;="&amp;設定!$B$5,先々月データ!$A:$A,"&lt;="&amp;EOMONTH(設定!$B$5,0),先々月データ!$Z:$Z,$A53,先々月データ!$AA:$AA,1),SUMIFS(先々月データ!$Q:$Q,先々月データ!$K:$K,M$52,先々月データ!$A:$A,"&gt;="&amp;設定!$B$5,先々月データ!$A:$A,"&lt;="&amp;EOMONTH(設定!$B$5,0),先々月データ!$Z:$Z,$A53))/IF(M$52&lt;設定!$B$10,$G$38,$F$38)),"")))</f>
        <v/>
      </c>
      <c r="N53" s="55" t="str">
        <f aca="false">IF(AND(N(IF(N$52&lt;設定!$B$10,$C$38,$B$38))&gt;0,N(IF(N$52&lt;設定!$B$10,$G$38,$F$38))&gt;0),(設定!$B$15*IF(OR(設定!$B$4="",IF(N$52&lt;設定!$B$10,$C$38,$B$38)=0),"",IF(N$52&lt;設定!$B$10,SUMIFS(先月データ!$Q:$Q,先月データ!$K:$K,N$52,先月データ!$A:$A,"&gt;="&amp;設定!$B$4,先月データ!$A:$A,"&lt;="&amp;EOMONTH(設定!$B$4,0),先月データ!$Z:$Z,$A53,先月データ!$AA:$AA,1),SUMIFS(先月データ!$Q:$Q,先月データ!$K:$K,N$52,先月データ!$A:$A,"&gt;="&amp;設定!$B$4,先月データ!$A:$A,"&lt;="&amp;EOMONTH(設定!$B$4,0),先月データ!$Z:$Z,$A53))/IF(N$52&lt;設定!$B$10,$C$38,$B$38))+設定!$B$16*IF(OR(設定!$B$5="",IF(N$52&lt;設定!$B$10,$G$38,$F$38)=0),"",IF(N$52&lt;設定!$B$10,SUMIFS(先々月データ!$Q:$Q,先々月データ!$K:$K,N$52,先々月データ!$A:$A,"&gt;="&amp;設定!$B$5,先々月データ!$A:$A,"&lt;="&amp;EOMONTH(設定!$B$5,0),先々月データ!$Z:$Z,$A53,先々月データ!$AA:$AA,1),SUMIFS(先々月データ!$Q:$Q,先々月データ!$K:$K,N$52,先々月データ!$A:$A,"&gt;="&amp;設定!$B$5,先々月データ!$A:$A,"&lt;="&amp;EOMONTH(設定!$B$5,0),先々月データ!$Z:$Z,$A53))/IF(N$52&lt;設定!$B$10,$G$38,$F$38)))/(設定!$B$15+設定!$B$16),IF(N(IF(N$52&lt;設定!$B$10,$C$38,$B$38))&gt;0,IF(OR(設定!$B$4="",IF(N$52&lt;設定!$B$10,$C$38,$B$38)=0),"",IF(N$52&lt;設定!$B$10,SUMIFS(先月データ!$Q:$Q,先月データ!$K:$K,N$52,先月データ!$A:$A,"&gt;="&amp;設定!$B$4,先月データ!$A:$A,"&lt;="&amp;EOMONTH(設定!$B$4,0),先月データ!$Z:$Z,$A53,先月データ!$AA:$AA,1),SUMIFS(先月データ!$Q:$Q,先月データ!$K:$K,N$52,先月データ!$A:$A,"&gt;="&amp;設定!$B$4,先月データ!$A:$A,"&lt;="&amp;EOMONTH(設定!$B$4,0),先月データ!$Z:$Z,$A53))/IF(N$52&lt;設定!$B$10,$C$38,$B$38)),IF(N(IF(N$52&lt;設定!$B$10,$G$38,$F$38))&gt;0,IF(OR(設定!$B$5="",IF(N$52&lt;設定!$B$10,$G$38,$F$38)=0),"",IF(N$52&lt;設定!$B$10,SUMIFS(先々月データ!$Q:$Q,先々月データ!$K:$K,N$52,先々月データ!$A:$A,"&gt;="&amp;設定!$B$5,先々月データ!$A:$A,"&lt;="&amp;EOMONTH(設定!$B$5,0),先々月データ!$Z:$Z,$A53,先々月データ!$AA:$AA,1),SUMIFS(先々月データ!$Q:$Q,先々月データ!$K:$K,N$52,先々月データ!$A:$A,"&gt;="&amp;設定!$B$5,先々月データ!$A:$A,"&lt;="&amp;EOMONTH(設定!$B$5,0),先々月データ!$Z:$Z,$A53))/IF(N$52&lt;設定!$B$10,$G$38,$F$38)),"")))</f>
        <v/>
      </c>
      <c r="O53" s="55" t="n">
        <f aca="false">SUMIF($B$52:$N$52,"&lt;"&amp;設定!$B$10,B53:N53)</f>
        <v>0</v>
      </c>
      <c r="P53" s="55" t="n">
        <f aca="false">SUMIF($B$52:$N$52,"&gt;="&amp;設定!$B$10,B53:N53)</f>
        <v>0</v>
      </c>
    </row>
    <row r="54" customFormat="false" ht="15" hidden="false" customHeight="false" outlineLevel="0" collapsed="false">
      <c r="A54" s="47" t="s">
        <v>207</v>
      </c>
      <c r="B54" s="55" t="str">
        <f aca="false">IF(AND(N(IF(B$52&lt;設定!$B$10,$C$39,$B$39))&gt;0,N(IF(B$52&lt;設定!$B$10,$G$39,$F$39))&gt;0),(設定!$B$15*IF(OR(設定!$B$4="",IF(B$52&lt;設定!$B$10,$C$39,$B$39)=0),"",IF(B$52&lt;設定!$B$10,SUMIFS(先月データ!$Q:$Q,先月データ!$K:$K,B$52,先月データ!$A:$A,"&gt;="&amp;設定!$B$4,先月データ!$A:$A,"&lt;="&amp;EOMONTH(設定!$B$4,0),先月データ!$Z:$Z,$A54,先月データ!$AA:$AA,1),SUMIFS(先月データ!$Q:$Q,先月データ!$K:$K,B$52,先月データ!$A:$A,"&gt;="&amp;設定!$B$4,先月データ!$A:$A,"&lt;="&amp;EOMONTH(設定!$B$4,0),先月データ!$Z:$Z,$A54))/IF(B$52&lt;設定!$B$10,$C$39,$B$39))+設定!$B$16*IF(OR(設定!$B$5="",IF(B$52&lt;設定!$B$10,$G$39,$F$39)=0),"",IF(B$52&lt;設定!$B$10,SUMIFS(先々月データ!$Q:$Q,先々月データ!$K:$K,B$52,先々月データ!$A:$A,"&gt;="&amp;設定!$B$5,先々月データ!$A:$A,"&lt;="&amp;EOMONTH(設定!$B$5,0),先々月データ!$Z:$Z,$A54,先々月データ!$AA:$AA,1),SUMIFS(先々月データ!$Q:$Q,先々月データ!$K:$K,B$52,先々月データ!$A:$A,"&gt;="&amp;設定!$B$5,先々月データ!$A:$A,"&lt;="&amp;EOMONTH(設定!$B$5,0),先々月データ!$Z:$Z,$A54))/IF(B$52&lt;設定!$B$10,$G$39,$F$39)))/(設定!$B$15+設定!$B$16),IF(N(IF(B$52&lt;設定!$B$10,$C$39,$B$39))&gt;0,IF(OR(設定!$B$4="",IF(B$52&lt;設定!$B$10,$C$39,$B$39)=0),"",IF(B$52&lt;設定!$B$10,SUMIFS(先月データ!$Q:$Q,先月データ!$K:$K,B$52,先月データ!$A:$A,"&gt;="&amp;設定!$B$4,先月データ!$A:$A,"&lt;="&amp;EOMONTH(設定!$B$4,0),先月データ!$Z:$Z,$A54,先月データ!$AA:$AA,1),SUMIFS(先月データ!$Q:$Q,先月データ!$K:$K,B$52,先月データ!$A:$A,"&gt;="&amp;設定!$B$4,先月データ!$A:$A,"&lt;="&amp;EOMONTH(設定!$B$4,0),先月データ!$Z:$Z,$A54))/IF(B$52&lt;設定!$B$10,$C$39,$B$39)),IF(N(IF(B$52&lt;設定!$B$10,$G$39,$F$39))&gt;0,IF(OR(設定!$B$5="",IF(B$52&lt;設定!$B$10,$G$39,$F$39)=0),"",IF(B$52&lt;設定!$B$10,SUMIFS(先々月データ!$Q:$Q,先々月データ!$K:$K,B$52,先々月データ!$A:$A,"&gt;="&amp;設定!$B$5,先々月データ!$A:$A,"&lt;="&amp;EOMONTH(設定!$B$5,0),先々月データ!$Z:$Z,$A54,先々月データ!$AA:$AA,1),SUMIFS(先々月データ!$Q:$Q,先々月データ!$K:$K,B$52,先々月データ!$A:$A,"&gt;="&amp;設定!$B$5,先々月データ!$A:$A,"&lt;="&amp;EOMONTH(設定!$B$5,0),先々月データ!$Z:$Z,$A54))/IF(B$52&lt;設定!$B$10,$G$39,$F$39)),"")))</f>
        <v/>
      </c>
      <c r="C54" s="55" t="str">
        <f aca="false">IF(AND(N(IF(C$52&lt;設定!$B$10,$C$39,$B$39))&gt;0,N(IF(C$52&lt;設定!$B$10,$G$39,$F$39))&gt;0),(設定!$B$15*IF(OR(設定!$B$4="",IF(C$52&lt;設定!$B$10,$C$39,$B$39)=0),"",IF(C$52&lt;設定!$B$10,SUMIFS(先月データ!$Q:$Q,先月データ!$K:$K,C$52,先月データ!$A:$A,"&gt;="&amp;設定!$B$4,先月データ!$A:$A,"&lt;="&amp;EOMONTH(設定!$B$4,0),先月データ!$Z:$Z,$A54,先月データ!$AA:$AA,1),SUMIFS(先月データ!$Q:$Q,先月データ!$K:$K,C$52,先月データ!$A:$A,"&gt;="&amp;設定!$B$4,先月データ!$A:$A,"&lt;="&amp;EOMONTH(設定!$B$4,0),先月データ!$Z:$Z,$A54))/IF(C$52&lt;設定!$B$10,$C$39,$B$39))+設定!$B$16*IF(OR(設定!$B$5="",IF(C$52&lt;設定!$B$10,$G$39,$F$39)=0),"",IF(C$52&lt;設定!$B$10,SUMIFS(先々月データ!$Q:$Q,先々月データ!$K:$K,C$52,先々月データ!$A:$A,"&gt;="&amp;設定!$B$5,先々月データ!$A:$A,"&lt;="&amp;EOMONTH(設定!$B$5,0),先々月データ!$Z:$Z,$A54,先々月データ!$AA:$AA,1),SUMIFS(先々月データ!$Q:$Q,先々月データ!$K:$K,C$52,先々月データ!$A:$A,"&gt;="&amp;設定!$B$5,先々月データ!$A:$A,"&lt;="&amp;EOMONTH(設定!$B$5,0),先々月データ!$Z:$Z,$A54))/IF(C$52&lt;設定!$B$10,$G$39,$F$39)))/(設定!$B$15+設定!$B$16),IF(N(IF(C$52&lt;設定!$B$10,$C$39,$B$39))&gt;0,IF(OR(設定!$B$4="",IF(C$52&lt;設定!$B$10,$C$39,$B$39)=0),"",IF(C$52&lt;設定!$B$10,SUMIFS(先月データ!$Q:$Q,先月データ!$K:$K,C$52,先月データ!$A:$A,"&gt;="&amp;設定!$B$4,先月データ!$A:$A,"&lt;="&amp;EOMONTH(設定!$B$4,0),先月データ!$Z:$Z,$A54,先月データ!$AA:$AA,1),SUMIFS(先月データ!$Q:$Q,先月データ!$K:$K,C$52,先月データ!$A:$A,"&gt;="&amp;設定!$B$4,先月データ!$A:$A,"&lt;="&amp;EOMONTH(設定!$B$4,0),先月データ!$Z:$Z,$A54))/IF(C$52&lt;設定!$B$10,$C$39,$B$39)),IF(N(IF(C$52&lt;設定!$B$10,$G$39,$F$39))&gt;0,IF(OR(設定!$B$5="",IF(C$52&lt;設定!$B$10,$G$39,$F$39)=0),"",IF(C$52&lt;設定!$B$10,SUMIFS(先々月データ!$Q:$Q,先々月データ!$K:$K,C$52,先々月データ!$A:$A,"&gt;="&amp;設定!$B$5,先々月データ!$A:$A,"&lt;="&amp;EOMONTH(設定!$B$5,0),先々月データ!$Z:$Z,$A54,先々月データ!$AA:$AA,1),SUMIFS(先々月データ!$Q:$Q,先々月データ!$K:$K,C$52,先々月データ!$A:$A,"&gt;="&amp;設定!$B$5,先々月データ!$A:$A,"&lt;="&amp;EOMONTH(設定!$B$5,0),先々月データ!$Z:$Z,$A54))/IF(C$52&lt;設定!$B$10,$G$39,$F$39)),"")))</f>
        <v/>
      </c>
      <c r="D54" s="55" t="str">
        <f aca="false">IF(AND(N(IF(D$52&lt;設定!$B$10,$C$39,$B$39))&gt;0,N(IF(D$52&lt;設定!$B$10,$G$39,$F$39))&gt;0),(設定!$B$15*IF(OR(設定!$B$4="",IF(D$52&lt;設定!$B$10,$C$39,$B$39)=0),"",IF(D$52&lt;設定!$B$10,SUMIFS(先月データ!$Q:$Q,先月データ!$K:$K,D$52,先月データ!$A:$A,"&gt;="&amp;設定!$B$4,先月データ!$A:$A,"&lt;="&amp;EOMONTH(設定!$B$4,0),先月データ!$Z:$Z,$A54,先月データ!$AA:$AA,1),SUMIFS(先月データ!$Q:$Q,先月データ!$K:$K,D$52,先月データ!$A:$A,"&gt;="&amp;設定!$B$4,先月データ!$A:$A,"&lt;="&amp;EOMONTH(設定!$B$4,0),先月データ!$Z:$Z,$A54))/IF(D$52&lt;設定!$B$10,$C$39,$B$39))+設定!$B$16*IF(OR(設定!$B$5="",IF(D$52&lt;設定!$B$10,$G$39,$F$39)=0),"",IF(D$52&lt;設定!$B$10,SUMIFS(先々月データ!$Q:$Q,先々月データ!$K:$K,D$52,先々月データ!$A:$A,"&gt;="&amp;設定!$B$5,先々月データ!$A:$A,"&lt;="&amp;EOMONTH(設定!$B$5,0),先々月データ!$Z:$Z,$A54,先々月データ!$AA:$AA,1),SUMIFS(先々月データ!$Q:$Q,先々月データ!$K:$K,D$52,先々月データ!$A:$A,"&gt;="&amp;設定!$B$5,先々月データ!$A:$A,"&lt;="&amp;EOMONTH(設定!$B$5,0),先々月データ!$Z:$Z,$A54))/IF(D$52&lt;設定!$B$10,$G$39,$F$39)))/(設定!$B$15+設定!$B$16),IF(N(IF(D$52&lt;設定!$B$10,$C$39,$B$39))&gt;0,IF(OR(設定!$B$4="",IF(D$52&lt;設定!$B$10,$C$39,$B$39)=0),"",IF(D$52&lt;設定!$B$10,SUMIFS(先月データ!$Q:$Q,先月データ!$K:$K,D$52,先月データ!$A:$A,"&gt;="&amp;設定!$B$4,先月データ!$A:$A,"&lt;="&amp;EOMONTH(設定!$B$4,0),先月データ!$Z:$Z,$A54,先月データ!$AA:$AA,1),SUMIFS(先月データ!$Q:$Q,先月データ!$K:$K,D$52,先月データ!$A:$A,"&gt;="&amp;設定!$B$4,先月データ!$A:$A,"&lt;="&amp;EOMONTH(設定!$B$4,0),先月データ!$Z:$Z,$A54))/IF(D$52&lt;設定!$B$10,$C$39,$B$39)),IF(N(IF(D$52&lt;設定!$B$10,$G$39,$F$39))&gt;0,IF(OR(設定!$B$5="",IF(D$52&lt;設定!$B$10,$G$39,$F$39)=0),"",IF(D$52&lt;設定!$B$10,SUMIFS(先々月データ!$Q:$Q,先々月データ!$K:$K,D$52,先々月データ!$A:$A,"&gt;="&amp;設定!$B$5,先々月データ!$A:$A,"&lt;="&amp;EOMONTH(設定!$B$5,0),先々月データ!$Z:$Z,$A54,先々月データ!$AA:$AA,1),SUMIFS(先々月データ!$Q:$Q,先々月データ!$K:$K,D$52,先々月データ!$A:$A,"&gt;="&amp;設定!$B$5,先々月データ!$A:$A,"&lt;="&amp;EOMONTH(設定!$B$5,0),先々月データ!$Z:$Z,$A54))/IF(D$52&lt;設定!$B$10,$G$39,$F$39)),"")))</f>
        <v/>
      </c>
      <c r="E54" s="55" t="str">
        <f aca="false">IF(AND(N(IF(E$52&lt;設定!$B$10,$C$39,$B$39))&gt;0,N(IF(E$52&lt;設定!$B$10,$G$39,$F$39))&gt;0),(設定!$B$15*IF(OR(設定!$B$4="",IF(E$52&lt;設定!$B$10,$C$39,$B$39)=0),"",IF(E$52&lt;設定!$B$10,SUMIFS(先月データ!$Q:$Q,先月データ!$K:$K,E$52,先月データ!$A:$A,"&gt;="&amp;設定!$B$4,先月データ!$A:$A,"&lt;="&amp;EOMONTH(設定!$B$4,0),先月データ!$Z:$Z,$A54,先月データ!$AA:$AA,1),SUMIFS(先月データ!$Q:$Q,先月データ!$K:$K,E$52,先月データ!$A:$A,"&gt;="&amp;設定!$B$4,先月データ!$A:$A,"&lt;="&amp;EOMONTH(設定!$B$4,0),先月データ!$Z:$Z,$A54))/IF(E$52&lt;設定!$B$10,$C$39,$B$39))+設定!$B$16*IF(OR(設定!$B$5="",IF(E$52&lt;設定!$B$10,$G$39,$F$39)=0),"",IF(E$52&lt;設定!$B$10,SUMIFS(先々月データ!$Q:$Q,先々月データ!$K:$K,E$52,先々月データ!$A:$A,"&gt;="&amp;設定!$B$5,先々月データ!$A:$A,"&lt;="&amp;EOMONTH(設定!$B$5,0),先々月データ!$Z:$Z,$A54,先々月データ!$AA:$AA,1),SUMIFS(先々月データ!$Q:$Q,先々月データ!$K:$K,E$52,先々月データ!$A:$A,"&gt;="&amp;設定!$B$5,先々月データ!$A:$A,"&lt;="&amp;EOMONTH(設定!$B$5,0),先々月データ!$Z:$Z,$A54))/IF(E$52&lt;設定!$B$10,$G$39,$F$39)))/(設定!$B$15+設定!$B$16),IF(N(IF(E$52&lt;設定!$B$10,$C$39,$B$39))&gt;0,IF(OR(設定!$B$4="",IF(E$52&lt;設定!$B$10,$C$39,$B$39)=0),"",IF(E$52&lt;設定!$B$10,SUMIFS(先月データ!$Q:$Q,先月データ!$K:$K,E$52,先月データ!$A:$A,"&gt;="&amp;設定!$B$4,先月データ!$A:$A,"&lt;="&amp;EOMONTH(設定!$B$4,0),先月データ!$Z:$Z,$A54,先月データ!$AA:$AA,1),SUMIFS(先月データ!$Q:$Q,先月データ!$K:$K,E$52,先月データ!$A:$A,"&gt;="&amp;設定!$B$4,先月データ!$A:$A,"&lt;="&amp;EOMONTH(設定!$B$4,0),先月データ!$Z:$Z,$A54))/IF(E$52&lt;設定!$B$10,$C$39,$B$39)),IF(N(IF(E$52&lt;設定!$B$10,$G$39,$F$39))&gt;0,IF(OR(設定!$B$5="",IF(E$52&lt;設定!$B$10,$G$39,$F$39)=0),"",IF(E$52&lt;設定!$B$10,SUMIFS(先々月データ!$Q:$Q,先々月データ!$K:$K,E$52,先々月データ!$A:$A,"&gt;="&amp;設定!$B$5,先々月データ!$A:$A,"&lt;="&amp;EOMONTH(設定!$B$5,0),先々月データ!$Z:$Z,$A54,先々月データ!$AA:$AA,1),SUMIFS(先々月データ!$Q:$Q,先々月データ!$K:$K,E$52,先々月データ!$A:$A,"&gt;="&amp;設定!$B$5,先々月データ!$A:$A,"&lt;="&amp;EOMONTH(設定!$B$5,0),先々月データ!$Z:$Z,$A54))/IF(E$52&lt;設定!$B$10,$G$39,$F$39)),"")))</f>
        <v/>
      </c>
      <c r="F54" s="55" t="str">
        <f aca="false">IF(AND(N(IF(F$52&lt;設定!$B$10,$C$39,$B$39))&gt;0,N(IF(F$52&lt;設定!$B$10,$G$39,$F$39))&gt;0),(設定!$B$15*IF(OR(設定!$B$4="",IF(F$52&lt;設定!$B$10,$C$39,$B$39)=0),"",IF(F$52&lt;設定!$B$10,SUMIFS(先月データ!$Q:$Q,先月データ!$K:$K,F$52,先月データ!$A:$A,"&gt;="&amp;設定!$B$4,先月データ!$A:$A,"&lt;="&amp;EOMONTH(設定!$B$4,0),先月データ!$Z:$Z,$A54,先月データ!$AA:$AA,1),SUMIFS(先月データ!$Q:$Q,先月データ!$K:$K,F$52,先月データ!$A:$A,"&gt;="&amp;設定!$B$4,先月データ!$A:$A,"&lt;="&amp;EOMONTH(設定!$B$4,0),先月データ!$Z:$Z,$A54))/IF(F$52&lt;設定!$B$10,$C$39,$B$39))+設定!$B$16*IF(OR(設定!$B$5="",IF(F$52&lt;設定!$B$10,$G$39,$F$39)=0),"",IF(F$52&lt;設定!$B$10,SUMIFS(先々月データ!$Q:$Q,先々月データ!$K:$K,F$52,先々月データ!$A:$A,"&gt;="&amp;設定!$B$5,先々月データ!$A:$A,"&lt;="&amp;EOMONTH(設定!$B$5,0),先々月データ!$Z:$Z,$A54,先々月データ!$AA:$AA,1),SUMIFS(先々月データ!$Q:$Q,先々月データ!$K:$K,F$52,先々月データ!$A:$A,"&gt;="&amp;設定!$B$5,先々月データ!$A:$A,"&lt;="&amp;EOMONTH(設定!$B$5,0),先々月データ!$Z:$Z,$A54))/IF(F$52&lt;設定!$B$10,$G$39,$F$39)))/(設定!$B$15+設定!$B$16),IF(N(IF(F$52&lt;設定!$B$10,$C$39,$B$39))&gt;0,IF(OR(設定!$B$4="",IF(F$52&lt;設定!$B$10,$C$39,$B$39)=0),"",IF(F$52&lt;設定!$B$10,SUMIFS(先月データ!$Q:$Q,先月データ!$K:$K,F$52,先月データ!$A:$A,"&gt;="&amp;設定!$B$4,先月データ!$A:$A,"&lt;="&amp;EOMONTH(設定!$B$4,0),先月データ!$Z:$Z,$A54,先月データ!$AA:$AA,1),SUMIFS(先月データ!$Q:$Q,先月データ!$K:$K,F$52,先月データ!$A:$A,"&gt;="&amp;設定!$B$4,先月データ!$A:$A,"&lt;="&amp;EOMONTH(設定!$B$4,0),先月データ!$Z:$Z,$A54))/IF(F$52&lt;設定!$B$10,$C$39,$B$39)),IF(N(IF(F$52&lt;設定!$B$10,$G$39,$F$39))&gt;0,IF(OR(設定!$B$5="",IF(F$52&lt;設定!$B$10,$G$39,$F$39)=0),"",IF(F$52&lt;設定!$B$10,SUMIFS(先々月データ!$Q:$Q,先々月データ!$K:$K,F$52,先々月データ!$A:$A,"&gt;="&amp;設定!$B$5,先々月データ!$A:$A,"&lt;="&amp;EOMONTH(設定!$B$5,0),先々月データ!$Z:$Z,$A54,先々月データ!$AA:$AA,1),SUMIFS(先々月データ!$Q:$Q,先々月データ!$K:$K,F$52,先々月データ!$A:$A,"&gt;="&amp;設定!$B$5,先々月データ!$A:$A,"&lt;="&amp;EOMONTH(設定!$B$5,0),先々月データ!$Z:$Z,$A54))/IF(F$52&lt;設定!$B$10,$G$39,$F$39)),"")))</f>
        <v/>
      </c>
      <c r="G54" s="55" t="str">
        <f aca="false">IF(AND(N(IF(G$52&lt;設定!$B$10,$C$39,$B$39))&gt;0,N(IF(G$52&lt;設定!$B$10,$G$39,$F$39))&gt;0),(設定!$B$15*IF(OR(設定!$B$4="",IF(G$52&lt;設定!$B$10,$C$39,$B$39)=0),"",IF(G$52&lt;設定!$B$10,SUMIFS(先月データ!$Q:$Q,先月データ!$K:$K,G$52,先月データ!$A:$A,"&gt;="&amp;設定!$B$4,先月データ!$A:$A,"&lt;="&amp;EOMONTH(設定!$B$4,0),先月データ!$Z:$Z,$A54,先月データ!$AA:$AA,1),SUMIFS(先月データ!$Q:$Q,先月データ!$K:$K,G$52,先月データ!$A:$A,"&gt;="&amp;設定!$B$4,先月データ!$A:$A,"&lt;="&amp;EOMONTH(設定!$B$4,0),先月データ!$Z:$Z,$A54))/IF(G$52&lt;設定!$B$10,$C$39,$B$39))+設定!$B$16*IF(OR(設定!$B$5="",IF(G$52&lt;設定!$B$10,$G$39,$F$39)=0),"",IF(G$52&lt;設定!$B$10,SUMIFS(先々月データ!$Q:$Q,先々月データ!$K:$K,G$52,先々月データ!$A:$A,"&gt;="&amp;設定!$B$5,先々月データ!$A:$A,"&lt;="&amp;EOMONTH(設定!$B$5,0),先々月データ!$Z:$Z,$A54,先々月データ!$AA:$AA,1),SUMIFS(先々月データ!$Q:$Q,先々月データ!$K:$K,G$52,先々月データ!$A:$A,"&gt;="&amp;設定!$B$5,先々月データ!$A:$A,"&lt;="&amp;EOMONTH(設定!$B$5,0),先々月データ!$Z:$Z,$A54))/IF(G$52&lt;設定!$B$10,$G$39,$F$39)))/(設定!$B$15+設定!$B$16),IF(N(IF(G$52&lt;設定!$B$10,$C$39,$B$39))&gt;0,IF(OR(設定!$B$4="",IF(G$52&lt;設定!$B$10,$C$39,$B$39)=0),"",IF(G$52&lt;設定!$B$10,SUMIFS(先月データ!$Q:$Q,先月データ!$K:$K,G$52,先月データ!$A:$A,"&gt;="&amp;設定!$B$4,先月データ!$A:$A,"&lt;="&amp;EOMONTH(設定!$B$4,0),先月データ!$Z:$Z,$A54,先月データ!$AA:$AA,1),SUMIFS(先月データ!$Q:$Q,先月データ!$K:$K,G$52,先月データ!$A:$A,"&gt;="&amp;設定!$B$4,先月データ!$A:$A,"&lt;="&amp;EOMONTH(設定!$B$4,0),先月データ!$Z:$Z,$A54))/IF(G$52&lt;設定!$B$10,$C$39,$B$39)),IF(N(IF(G$52&lt;設定!$B$10,$G$39,$F$39))&gt;0,IF(OR(設定!$B$5="",IF(G$52&lt;設定!$B$10,$G$39,$F$39)=0),"",IF(G$52&lt;設定!$B$10,SUMIFS(先々月データ!$Q:$Q,先々月データ!$K:$K,G$52,先々月データ!$A:$A,"&gt;="&amp;設定!$B$5,先々月データ!$A:$A,"&lt;="&amp;EOMONTH(設定!$B$5,0),先々月データ!$Z:$Z,$A54,先々月データ!$AA:$AA,1),SUMIFS(先々月データ!$Q:$Q,先々月データ!$K:$K,G$52,先々月データ!$A:$A,"&gt;="&amp;設定!$B$5,先々月データ!$A:$A,"&lt;="&amp;EOMONTH(設定!$B$5,0),先々月データ!$Z:$Z,$A54))/IF(G$52&lt;設定!$B$10,$G$39,$F$39)),"")))</f>
        <v/>
      </c>
      <c r="H54" s="55" t="str">
        <f aca="false">IF(AND(N(IF(H$52&lt;設定!$B$10,$C$39,$B$39))&gt;0,N(IF(H$52&lt;設定!$B$10,$G$39,$F$39))&gt;0),(設定!$B$15*IF(OR(設定!$B$4="",IF(H$52&lt;設定!$B$10,$C$39,$B$39)=0),"",IF(H$52&lt;設定!$B$10,SUMIFS(先月データ!$Q:$Q,先月データ!$K:$K,H$52,先月データ!$A:$A,"&gt;="&amp;設定!$B$4,先月データ!$A:$A,"&lt;="&amp;EOMONTH(設定!$B$4,0),先月データ!$Z:$Z,$A54,先月データ!$AA:$AA,1),SUMIFS(先月データ!$Q:$Q,先月データ!$K:$K,H$52,先月データ!$A:$A,"&gt;="&amp;設定!$B$4,先月データ!$A:$A,"&lt;="&amp;EOMONTH(設定!$B$4,0),先月データ!$Z:$Z,$A54))/IF(H$52&lt;設定!$B$10,$C$39,$B$39))+設定!$B$16*IF(OR(設定!$B$5="",IF(H$52&lt;設定!$B$10,$G$39,$F$39)=0),"",IF(H$52&lt;設定!$B$10,SUMIFS(先々月データ!$Q:$Q,先々月データ!$K:$K,H$52,先々月データ!$A:$A,"&gt;="&amp;設定!$B$5,先々月データ!$A:$A,"&lt;="&amp;EOMONTH(設定!$B$5,0),先々月データ!$Z:$Z,$A54,先々月データ!$AA:$AA,1),SUMIFS(先々月データ!$Q:$Q,先々月データ!$K:$K,H$52,先々月データ!$A:$A,"&gt;="&amp;設定!$B$5,先々月データ!$A:$A,"&lt;="&amp;EOMONTH(設定!$B$5,0),先々月データ!$Z:$Z,$A54))/IF(H$52&lt;設定!$B$10,$G$39,$F$39)))/(設定!$B$15+設定!$B$16),IF(N(IF(H$52&lt;設定!$B$10,$C$39,$B$39))&gt;0,IF(OR(設定!$B$4="",IF(H$52&lt;設定!$B$10,$C$39,$B$39)=0),"",IF(H$52&lt;設定!$B$10,SUMIFS(先月データ!$Q:$Q,先月データ!$K:$K,H$52,先月データ!$A:$A,"&gt;="&amp;設定!$B$4,先月データ!$A:$A,"&lt;="&amp;EOMONTH(設定!$B$4,0),先月データ!$Z:$Z,$A54,先月データ!$AA:$AA,1),SUMIFS(先月データ!$Q:$Q,先月データ!$K:$K,H$52,先月データ!$A:$A,"&gt;="&amp;設定!$B$4,先月データ!$A:$A,"&lt;="&amp;EOMONTH(設定!$B$4,0),先月データ!$Z:$Z,$A54))/IF(H$52&lt;設定!$B$10,$C$39,$B$39)),IF(N(IF(H$52&lt;設定!$B$10,$G$39,$F$39))&gt;0,IF(OR(設定!$B$5="",IF(H$52&lt;設定!$B$10,$G$39,$F$39)=0),"",IF(H$52&lt;設定!$B$10,SUMIFS(先々月データ!$Q:$Q,先々月データ!$K:$K,H$52,先々月データ!$A:$A,"&gt;="&amp;設定!$B$5,先々月データ!$A:$A,"&lt;="&amp;EOMONTH(設定!$B$5,0),先々月データ!$Z:$Z,$A54,先々月データ!$AA:$AA,1),SUMIFS(先々月データ!$Q:$Q,先々月データ!$K:$K,H$52,先々月データ!$A:$A,"&gt;="&amp;設定!$B$5,先々月データ!$A:$A,"&lt;="&amp;EOMONTH(設定!$B$5,0),先々月データ!$Z:$Z,$A54))/IF(H$52&lt;設定!$B$10,$G$39,$F$39)),"")))</f>
        <v/>
      </c>
      <c r="I54" s="55" t="str">
        <f aca="false">IF(AND(N(IF(I$52&lt;設定!$B$10,$C$39,$B$39))&gt;0,N(IF(I$52&lt;設定!$B$10,$G$39,$F$39))&gt;0),(設定!$B$15*IF(OR(設定!$B$4="",IF(I$52&lt;設定!$B$10,$C$39,$B$39)=0),"",IF(I$52&lt;設定!$B$10,SUMIFS(先月データ!$Q:$Q,先月データ!$K:$K,I$52,先月データ!$A:$A,"&gt;="&amp;設定!$B$4,先月データ!$A:$A,"&lt;="&amp;EOMONTH(設定!$B$4,0),先月データ!$Z:$Z,$A54,先月データ!$AA:$AA,1),SUMIFS(先月データ!$Q:$Q,先月データ!$K:$K,I$52,先月データ!$A:$A,"&gt;="&amp;設定!$B$4,先月データ!$A:$A,"&lt;="&amp;EOMONTH(設定!$B$4,0),先月データ!$Z:$Z,$A54))/IF(I$52&lt;設定!$B$10,$C$39,$B$39))+設定!$B$16*IF(OR(設定!$B$5="",IF(I$52&lt;設定!$B$10,$G$39,$F$39)=0),"",IF(I$52&lt;設定!$B$10,SUMIFS(先々月データ!$Q:$Q,先々月データ!$K:$K,I$52,先々月データ!$A:$A,"&gt;="&amp;設定!$B$5,先々月データ!$A:$A,"&lt;="&amp;EOMONTH(設定!$B$5,0),先々月データ!$Z:$Z,$A54,先々月データ!$AA:$AA,1),SUMIFS(先々月データ!$Q:$Q,先々月データ!$K:$K,I$52,先々月データ!$A:$A,"&gt;="&amp;設定!$B$5,先々月データ!$A:$A,"&lt;="&amp;EOMONTH(設定!$B$5,0),先々月データ!$Z:$Z,$A54))/IF(I$52&lt;設定!$B$10,$G$39,$F$39)))/(設定!$B$15+設定!$B$16),IF(N(IF(I$52&lt;設定!$B$10,$C$39,$B$39))&gt;0,IF(OR(設定!$B$4="",IF(I$52&lt;設定!$B$10,$C$39,$B$39)=0),"",IF(I$52&lt;設定!$B$10,SUMIFS(先月データ!$Q:$Q,先月データ!$K:$K,I$52,先月データ!$A:$A,"&gt;="&amp;設定!$B$4,先月データ!$A:$A,"&lt;="&amp;EOMONTH(設定!$B$4,0),先月データ!$Z:$Z,$A54,先月データ!$AA:$AA,1),SUMIFS(先月データ!$Q:$Q,先月データ!$K:$K,I$52,先月データ!$A:$A,"&gt;="&amp;設定!$B$4,先月データ!$A:$A,"&lt;="&amp;EOMONTH(設定!$B$4,0),先月データ!$Z:$Z,$A54))/IF(I$52&lt;設定!$B$10,$C$39,$B$39)),IF(N(IF(I$52&lt;設定!$B$10,$G$39,$F$39))&gt;0,IF(OR(設定!$B$5="",IF(I$52&lt;設定!$B$10,$G$39,$F$39)=0),"",IF(I$52&lt;設定!$B$10,SUMIFS(先々月データ!$Q:$Q,先々月データ!$K:$K,I$52,先々月データ!$A:$A,"&gt;="&amp;設定!$B$5,先々月データ!$A:$A,"&lt;="&amp;EOMONTH(設定!$B$5,0),先々月データ!$Z:$Z,$A54,先々月データ!$AA:$AA,1),SUMIFS(先々月データ!$Q:$Q,先々月データ!$K:$K,I$52,先々月データ!$A:$A,"&gt;="&amp;設定!$B$5,先々月データ!$A:$A,"&lt;="&amp;EOMONTH(設定!$B$5,0),先々月データ!$Z:$Z,$A54))/IF(I$52&lt;設定!$B$10,$G$39,$F$39)),"")))</f>
        <v/>
      </c>
      <c r="J54" s="55" t="str">
        <f aca="false">IF(AND(N(IF(J$52&lt;設定!$B$10,$C$39,$B$39))&gt;0,N(IF(J$52&lt;設定!$B$10,$G$39,$F$39))&gt;0),(設定!$B$15*IF(OR(設定!$B$4="",IF(J$52&lt;設定!$B$10,$C$39,$B$39)=0),"",IF(J$52&lt;設定!$B$10,SUMIFS(先月データ!$Q:$Q,先月データ!$K:$K,J$52,先月データ!$A:$A,"&gt;="&amp;設定!$B$4,先月データ!$A:$A,"&lt;="&amp;EOMONTH(設定!$B$4,0),先月データ!$Z:$Z,$A54,先月データ!$AA:$AA,1),SUMIFS(先月データ!$Q:$Q,先月データ!$K:$K,J$52,先月データ!$A:$A,"&gt;="&amp;設定!$B$4,先月データ!$A:$A,"&lt;="&amp;EOMONTH(設定!$B$4,0),先月データ!$Z:$Z,$A54))/IF(J$52&lt;設定!$B$10,$C$39,$B$39))+設定!$B$16*IF(OR(設定!$B$5="",IF(J$52&lt;設定!$B$10,$G$39,$F$39)=0),"",IF(J$52&lt;設定!$B$10,SUMIFS(先々月データ!$Q:$Q,先々月データ!$K:$K,J$52,先々月データ!$A:$A,"&gt;="&amp;設定!$B$5,先々月データ!$A:$A,"&lt;="&amp;EOMONTH(設定!$B$5,0),先々月データ!$Z:$Z,$A54,先々月データ!$AA:$AA,1),SUMIFS(先々月データ!$Q:$Q,先々月データ!$K:$K,J$52,先々月データ!$A:$A,"&gt;="&amp;設定!$B$5,先々月データ!$A:$A,"&lt;="&amp;EOMONTH(設定!$B$5,0),先々月データ!$Z:$Z,$A54))/IF(J$52&lt;設定!$B$10,$G$39,$F$39)))/(設定!$B$15+設定!$B$16),IF(N(IF(J$52&lt;設定!$B$10,$C$39,$B$39))&gt;0,IF(OR(設定!$B$4="",IF(J$52&lt;設定!$B$10,$C$39,$B$39)=0),"",IF(J$52&lt;設定!$B$10,SUMIFS(先月データ!$Q:$Q,先月データ!$K:$K,J$52,先月データ!$A:$A,"&gt;="&amp;設定!$B$4,先月データ!$A:$A,"&lt;="&amp;EOMONTH(設定!$B$4,0),先月データ!$Z:$Z,$A54,先月データ!$AA:$AA,1),SUMIFS(先月データ!$Q:$Q,先月データ!$K:$K,J$52,先月データ!$A:$A,"&gt;="&amp;設定!$B$4,先月データ!$A:$A,"&lt;="&amp;EOMONTH(設定!$B$4,0),先月データ!$Z:$Z,$A54))/IF(J$52&lt;設定!$B$10,$C$39,$B$39)),IF(N(IF(J$52&lt;設定!$B$10,$G$39,$F$39))&gt;0,IF(OR(設定!$B$5="",IF(J$52&lt;設定!$B$10,$G$39,$F$39)=0),"",IF(J$52&lt;設定!$B$10,SUMIFS(先々月データ!$Q:$Q,先々月データ!$K:$K,J$52,先々月データ!$A:$A,"&gt;="&amp;設定!$B$5,先々月データ!$A:$A,"&lt;="&amp;EOMONTH(設定!$B$5,0),先々月データ!$Z:$Z,$A54,先々月データ!$AA:$AA,1),SUMIFS(先々月データ!$Q:$Q,先々月データ!$K:$K,J$52,先々月データ!$A:$A,"&gt;="&amp;設定!$B$5,先々月データ!$A:$A,"&lt;="&amp;EOMONTH(設定!$B$5,0),先々月データ!$Z:$Z,$A54))/IF(J$52&lt;設定!$B$10,$G$39,$F$39)),"")))</f>
        <v/>
      </c>
      <c r="K54" s="55" t="str">
        <f aca="false">IF(AND(N(IF(K$52&lt;設定!$B$10,$C$39,$B$39))&gt;0,N(IF(K$52&lt;設定!$B$10,$G$39,$F$39))&gt;0),(設定!$B$15*IF(OR(設定!$B$4="",IF(K$52&lt;設定!$B$10,$C$39,$B$39)=0),"",IF(K$52&lt;設定!$B$10,SUMIFS(先月データ!$Q:$Q,先月データ!$K:$K,K$52,先月データ!$A:$A,"&gt;="&amp;設定!$B$4,先月データ!$A:$A,"&lt;="&amp;EOMONTH(設定!$B$4,0),先月データ!$Z:$Z,$A54,先月データ!$AA:$AA,1),SUMIFS(先月データ!$Q:$Q,先月データ!$K:$K,K$52,先月データ!$A:$A,"&gt;="&amp;設定!$B$4,先月データ!$A:$A,"&lt;="&amp;EOMONTH(設定!$B$4,0),先月データ!$Z:$Z,$A54))/IF(K$52&lt;設定!$B$10,$C$39,$B$39))+設定!$B$16*IF(OR(設定!$B$5="",IF(K$52&lt;設定!$B$10,$G$39,$F$39)=0),"",IF(K$52&lt;設定!$B$10,SUMIFS(先々月データ!$Q:$Q,先々月データ!$K:$K,K$52,先々月データ!$A:$A,"&gt;="&amp;設定!$B$5,先々月データ!$A:$A,"&lt;="&amp;EOMONTH(設定!$B$5,0),先々月データ!$Z:$Z,$A54,先々月データ!$AA:$AA,1),SUMIFS(先々月データ!$Q:$Q,先々月データ!$K:$K,K$52,先々月データ!$A:$A,"&gt;="&amp;設定!$B$5,先々月データ!$A:$A,"&lt;="&amp;EOMONTH(設定!$B$5,0),先々月データ!$Z:$Z,$A54))/IF(K$52&lt;設定!$B$10,$G$39,$F$39)))/(設定!$B$15+設定!$B$16),IF(N(IF(K$52&lt;設定!$B$10,$C$39,$B$39))&gt;0,IF(OR(設定!$B$4="",IF(K$52&lt;設定!$B$10,$C$39,$B$39)=0),"",IF(K$52&lt;設定!$B$10,SUMIFS(先月データ!$Q:$Q,先月データ!$K:$K,K$52,先月データ!$A:$A,"&gt;="&amp;設定!$B$4,先月データ!$A:$A,"&lt;="&amp;EOMONTH(設定!$B$4,0),先月データ!$Z:$Z,$A54,先月データ!$AA:$AA,1),SUMIFS(先月データ!$Q:$Q,先月データ!$K:$K,K$52,先月データ!$A:$A,"&gt;="&amp;設定!$B$4,先月データ!$A:$A,"&lt;="&amp;EOMONTH(設定!$B$4,0),先月データ!$Z:$Z,$A54))/IF(K$52&lt;設定!$B$10,$C$39,$B$39)),IF(N(IF(K$52&lt;設定!$B$10,$G$39,$F$39))&gt;0,IF(OR(設定!$B$5="",IF(K$52&lt;設定!$B$10,$G$39,$F$39)=0),"",IF(K$52&lt;設定!$B$10,SUMIFS(先々月データ!$Q:$Q,先々月データ!$K:$K,K$52,先々月データ!$A:$A,"&gt;="&amp;設定!$B$5,先々月データ!$A:$A,"&lt;="&amp;EOMONTH(設定!$B$5,0),先々月データ!$Z:$Z,$A54,先々月データ!$AA:$AA,1),SUMIFS(先々月データ!$Q:$Q,先々月データ!$K:$K,K$52,先々月データ!$A:$A,"&gt;="&amp;設定!$B$5,先々月データ!$A:$A,"&lt;="&amp;EOMONTH(設定!$B$5,0),先々月データ!$Z:$Z,$A54))/IF(K$52&lt;設定!$B$10,$G$39,$F$39)),"")))</f>
        <v/>
      </c>
      <c r="L54" s="55" t="str">
        <f aca="false">IF(AND(N(IF(L$52&lt;設定!$B$10,$C$39,$B$39))&gt;0,N(IF(L$52&lt;設定!$B$10,$G$39,$F$39))&gt;0),(設定!$B$15*IF(OR(設定!$B$4="",IF(L$52&lt;設定!$B$10,$C$39,$B$39)=0),"",IF(L$52&lt;設定!$B$10,SUMIFS(先月データ!$Q:$Q,先月データ!$K:$K,L$52,先月データ!$A:$A,"&gt;="&amp;設定!$B$4,先月データ!$A:$A,"&lt;="&amp;EOMONTH(設定!$B$4,0),先月データ!$Z:$Z,$A54,先月データ!$AA:$AA,1),SUMIFS(先月データ!$Q:$Q,先月データ!$K:$K,L$52,先月データ!$A:$A,"&gt;="&amp;設定!$B$4,先月データ!$A:$A,"&lt;="&amp;EOMONTH(設定!$B$4,0),先月データ!$Z:$Z,$A54))/IF(L$52&lt;設定!$B$10,$C$39,$B$39))+設定!$B$16*IF(OR(設定!$B$5="",IF(L$52&lt;設定!$B$10,$G$39,$F$39)=0),"",IF(L$52&lt;設定!$B$10,SUMIFS(先々月データ!$Q:$Q,先々月データ!$K:$K,L$52,先々月データ!$A:$A,"&gt;="&amp;設定!$B$5,先々月データ!$A:$A,"&lt;="&amp;EOMONTH(設定!$B$5,0),先々月データ!$Z:$Z,$A54,先々月データ!$AA:$AA,1),SUMIFS(先々月データ!$Q:$Q,先々月データ!$K:$K,L$52,先々月データ!$A:$A,"&gt;="&amp;設定!$B$5,先々月データ!$A:$A,"&lt;="&amp;EOMONTH(設定!$B$5,0),先々月データ!$Z:$Z,$A54))/IF(L$52&lt;設定!$B$10,$G$39,$F$39)))/(設定!$B$15+設定!$B$16),IF(N(IF(L$52&lt;設定!$B$10,$C$39,$B$39))&gt;0,IF(OR(設定!$B$4="",IF(L$52&lt;設定!$B$10,$C$39,$B$39)=0),"",IF(L$52&lt;設定!$B$10,SUMIFS(先月データ!$Q:$Q,先月データ!$K:$K,L$52,先月データ!$A:$A,"&gt;="&amp;設定!$B$4,先月データ!$A:$A,"&lt;="&amp;EOMONTH(設定!$B$4,0),先月データ!$Z:$Z,$A54,先月データ!$AA:$AA,1),SUMIFS(先月データ!$Q:$Q,先月データ!$K:$K,L$52,先月データ!$A:$A,"&gt;="&amp;設定!$B$4,先月データ!$A:$A,"&lt;="&amp;EOMONTH(設定!$B$4,0),先月データ!$Z:$Z,$A54))/IF(L$52&lt;設定!$B$10,$C$39,$B$39)),IF(N(IF(L$52&lt;設定!$B$10,$G$39,$F$39))&gt;0,IF(OR(設定!$B$5="",IF(L$52&lt;設定!$B$10,$G$39,$F$39)=0),"",IF(L$52&lt;設定!$B$10,SUMIFS(先々月データ!$Q:$Q,先々月データ!$K:$K,L$52,先々月データ!$A:$A,"&gt;="&amp;設定!$B$5,先々月データ!$A:$A,"&lt;="&amp;EOMONTH(設定!$B$5,0),先々月データ!$Z:$Z,$A54,先々月データ!$AA:$AA,1),SUMIFS(先々月データ!$Q:$Q,先々月データ!$K:$K,L$52,先々月データ!$A:$A,"&gt;="&amp;設定!$B$5,先々月データ!$A:$A,"&lt;="&amp;EOMONTH(設定!$B$5,0),先々月データ!$Z:$Z,$A54))/IF(L$52&lt;設定!$B$10,$G$39,$F$39)),"")))</f>
        <v/>
      </c>
      <c r="M54" s="55" t="str">
        <f aca="false">IF(AND(N(IF(M$52&lt;設定!$B$10,$C$39,$B$39))&gt;0,N(IF(M$52&lt;設定!$B$10,$G$39,$F$39))&gt;0),(設定!$B$15*IF(OR(設定!$B$4="",IF(M$52&lt;設定!$B$10,$C$39,$B$39)=0),"",IF(M$52&lt;設定!$B$10,SUMIFS(先月データ!$Q:$Q,先月データ!$K:$K,M$52,先月データ!$A:$A,"&gt;="&amp;設定!$B$4,先月データ!$A:$A,"&lt;="&amp;EOMONTH(設定!$B$4,0),先月データ!$Z:$Z,$A54,先月データ!$AA:$AA,1),SUMIFS(先月データ!$Q:$Q,先月データ!$K:$K,M$52,先月データ!$A:$A,"&gt;="&amp;設定!$B$4,先月データ!$A:$A,"&lt;="&amp;EOMONTH(設定!$B$4,0),先月データ!$Z:$Z,$A54))/IF(M$52&lt;設定!$B$10,$C$39,$B$39))+設定!$B$16*IF(OR(設定!$B$5="",IF(M$52&lt;設定!$B$10,$G$39,$F$39)=0),"",IF(M$52&lt;設定!$B$10,SUMIFS(先々月データ!$Q:$Q,先々月データ!$K:$K,M$52,先々月データ!$A:$A,"&gt;="&amp;設定!$B$5,先々月データ!$A:$A,"&lt;="&amp;EOMONTH(設定!$B$5,0),先々月データ!$Z:$Z,$A54,先々月データ!$AA:$AA,1),SUMIFS(先々月データ!$Q:$Q,先々月データ!$K:$K,M$52,先々月データ!$A:$A,"&gt;="&amp;設定!$B$5,先々月データ!$A:$A,"&lt;="&amp;EOMONTH(設定!$B$5,0),先々月データ!$Z:$Z,$A54))/IF(M$52&lt;設定!$B$10,$G$39,$F$39)))/(設定!$B$15+設定!$B$16),IF(N(IF(M$52&lt;設定!$B$10,$C$39,$B$39))&gt;0,IF(OR(設定!$B$4="",IF(M$52&lt;設定!$B$10,$C$39,$B$39)=0),"",IF(M$52&lt;設定!$B$10,SUMIFS(先月データ!$Q:$Q,先月データ!$K:$K,M$52,先月データ!$A:$A,"&gt;="&amp;設定!$B$4,先月データ!$A:$A,"&lt;="&amp;EOMONTH(設定!$B$4,0),先月データ!$Z:$Z,$A54,先月データ!$AA:$AA,1),SUMIFS(先月データ!$Q:$Q,先月データ!$K:$K,M$52,先月データ!$A:$A,"&gt;="&amp;設定!$B$4,先月データ!$A:$A,"&lt;="&amp;EOMONTH(設定!$B$4,0),先月データ!$Z:$Z,$A54))/IF(M$52&lt;設定!$B$10,$C$39,$B$39)),IF(N(IF(M$52&lt;設定!$B$10,$G$39,$F$39))&gt;0,IF(OR(設定!$B$5="",IF(M$52&lt;設定!$B$10,$G$39,$F$39)=0),"",IF(M$52&lt;設定!$B$10,SUMIFS(先々月データ!$Q:$Q,先々月データ!$K:$K,M$52,先々月データ!$A:$A,"&gt;="&amp;設定!$B$5,先々月データ!$A:$A,"&lt;="&amp;EOMONTH(設定!$B$5,0),先々月データ!$Z:$Z,$A54,先々月データ!$AA:$AA,1),SUMIFS(先々月データ!$Q:$Q,先々月データ!$K:$K,M$52,先々月データ!$A:$A,"&gt;="&amp;設定!$B$5,先々月データ!$A:$A,"&lt;="&amp;EOMONTH(設定!$B$5,0),先々月データ!$Z:$Z,$A54))/IF(M$52&lt;設定!$B$10,$G$39,$F$39)),"")))</f>
        <v/>
      </c>
      <c r="N54" s="55" t="str">
        <f aca="false">IF(AND(N(IF(N$52&lt;設定!$B$10,$C$39,$B$39))&gt;0,N(IF(N$52&lt;設定!$B$10,$G$39,$F$39))&gt;0),(設定!$B$15*IF(OR(設定!$B$4="",IF(N$52&lt;設定!$B$10,$C$39,$B$39)=0),"",IF(N$52&lt;設定!$B$10,SUMIFS(先月データ!$Q:$Q,先月データ!$K:$K,N$52,先月データ!$A:$A,"&gt;="&amp;設定!$B$4,先月データ!$A:$A,"&lt;="&amp;EOMONTH(設定!$B$4,0),先月データ!$Z:$Z,$A54,先月データ!$AA:$AA,1),SUMIFS(先月データ!$Q:$Q,先月データ!$K:$K,N$52,先月データ!$A:$A,"&gt;="&amp;設定!$B$4,先月データ!$A:$A,"&lt;="&amp;EOMONTH(設定!$B$4,0),先月データ!$Z:$Z,$A54))/IF(N$52&lt;設定!$B$10,$C$39,$B$39))+設定!$B$16*IF(OR(設定!$B$5="",IF(N$52&lt;設定!$B$10,$G$39,$F$39)=0),"",IF(N$52&lt;設定!$B$10,SUMIFS(先々月データ!$Q:$Q,先々月データ!$K:$K,N$52,先々月データ!$A:$A,"&gt;="&amp;設定!$B$5,先々月データ!$A:$A,"&lt;="&amp;EOMONTH(設定!$B$5,0),先々月データ!$Z:$Z,$A54,先々月データ!$AA:$AA,1),SUMIFS(先々月データ!$Q:$Q,先々月データ!$K:$K,N$52,先々月データ!$A:$A,"&gt;="&amp;設定!$B$5,先々月データ!$A:$A,"&lt;="&amp;EOMONTH(設定!$B$5,0),先々月データ!$Z:$Z,$A54))/IF(N$52&lt;設定!$B$10,$G$39,$F$39)))/(設定!$B$15+設定!$B$16),IF(N(IF(N$52&lt;設定!$B$10,$C$39,$B$39))&gt;0,IF(OR(設定!$B$4="",IF(N$52&lt;設定!$B$10,$C$39,$B$39)=0),"",IF(N$52&lt;設定!$B$10,SUMIFS(先月データ!$Q:$Q,先月データ!$K:$K,N$52,先月データ!$A:$A,"&gt;="&amp;設定!$B$4,先月データ!$A:$A,"&lt;="&amp;EOMONTH(設定!$B$4,0),先月データ!$Z:$Z,$A54,先月データ!$AA:$AA,1),SUMIFS(先月データ!$Q:$Q,先月データ!$K:$K,N$52,先月データ!$A:$A,"&gt;="&amp;設定!$B$4,先月データ!$A:$A,"&lt;="&amp;EOMONTH(設定!$B$4,0),先月データ!$Z:$Z,$A54))/IF(N$52&lt;設定!$B$10,$C$39,$B$39)),IF(N(IF(N$52&lt;設定!$B$10,$G$39,$F$39))&gt;0,IF(OR(設定!$B$5="",IF(N$52&lt;設定!$B$10,$G$39,$F$39)=0),"",IF(N$52&lt;設定!$B$10,SUMIFS(先々月データ!$Q:$Q,先々月データ!$K:$K,N$52,先々月データ!$A:$A,"&gt;="&amp;設定!$B$5,先々月データ!$A:$A,"&lt;="&amp;EOMONTH(設定!$B$5,0),先々月データ!$Z:$Z,$A54,先々月データ!$AA:$AA,1),SUMIFS(先々月データ!$Q:$Q,先々月データ!$K:$K,N$52,先々月データ!$A:$A,"&gt;="&amp;設定!$B$5,先々月データ!$A:$A,"&lt;="&amp;EOMONTH(設定!$B$5,0),先々月データ!$Z:$Z,$A54))/IF(N$52&lt;設定!$B$10,$G$39,$F$39)),"")))</f>
        <v/>
      </c>
      <c r="O54" s="55" t="n">
        <f aca="false">SUMIF($B$52:$N$52,"&lt;"&amp;設定!$B$10,B54:N54)</f>
        <v>0</v>
      </c>
      <c r="P54" s="55" t="n">
        <f aca="false">SUMIF($B$52:$N$52,"&gt;="&amp;設定!$B$10,B54:N54)</f>
        <v>0</v>
      </c>
    </row>
    <row r="55" customFormat="false" ht="15" hidden="false" customHeight="false" outlineLevel="0" collapsed="false">
      <c r="A55" s="47" t="s">
        <v>208</v>
      </c>
      <c r="B55" s="55" t="str">
        <f aca="false">IF(AND(N(IF(B$52&lt;設定!$B$10,$C$40,$B$40))&gt;0,N(IF(B$52&lt;設定!$B$10,$G$40,$F$40))&gt;0),(設定!$B$15*IF(OR(設定!$B$4="",IF(B$52&lt;設定!$B$10,$C$40,$B$40)=0),"",IF(B$52&lt;設定!$B$10,SUMIFS(先月データ!$Q:$Q,先月データ!$K:$K,B$52,先月データ!$A:$A,"&gt;="&amp;設定!$B$4,先月データ!$A:$A,"&lt;="&amp;EOMONTH(設定!$B$4,0),先月データ!$Z:$Z,$A55,先月データ!$AA:$AA,1),SUMIFS(先月データ!$Q:$Q,先月データ!$K:$K,B$52,先月データ!$A:$A,"&gt;="&amp;設定!$B$4,先月データ!$A:$A,"&lt;="&amp;EOMONTH(設定!$B$4,0),先月データ!$Z:$Z,$A55))/IF(B$52&lt;設定!$B$10,$C$40,$B$40))+設定!$B$16*IF(OR(設定!$B$5="",IF(B$52&lt;設定!$B$10,$G$40,$F$40)=0),"",IF(B$52&lt;設定!$B$10,SUMIFS(先々月データ!$Q:$Q,先々月データ!$K:$K,B$52,先々月データ!$A:$A,"&gt;="&amp;設定!$B$5,先々月データ!$A:$A,"&lt;="&amp;EOMONTH(設定!$B$5,0),先々月データ!$Z:$Z,$A55,先々月データ!$AA:$AA,1),SUMIFS(先々月データ!$Q:$Q,先々月データ!$K:$K,B$52,先々月データ!$A:$A,"&gt;="&amp;設定!$B$5,先々月データ!$A:$A,"&lt;="&amp;EOMONTH(設定!$B$5,0),先々月データ!$Z:$Z,$A55))/IF(B$52&lt;設定!$B$10,$G$40,$F$40)))/(設定!$B$15+設定!$B$16),IF(N(IF(B$52&lt;設定!$B$10,$C$40,$B$40))&gt;0,IF(OR(設定!$B$4="",IF(B$52&lt;設定!$B$10,$C$40,$B$40)=0),"",IF(B$52&lt;設定!$B$10,SUMIFS(先月データ!$Q:$Q,先月データ!$K:$K,B$52,先月データ!$A:$A,"&gt;="&amp;設定!$B$4,先月データ!$A:$A,"&lt;="&amp;EOMONTH(設定!$B$4,0),先月データ!$Z:$Z,$A55,先月データ!$AA:$AA,1),SUMIFS(先月データ!$Q:$Q,先月データ!$K:$K,B$52,先月データ!$A:$A,"&gt;="&amp;設定!$B$4,先月データ!$A:$A,"&lt;="&amp;EOMONTH(設定!$B$4,0),先月データ!$Z:$Z,$A55))/IF(B$52&lt;設定!$B$10,$C$40,$B$40)),IF(N(IF(B$52&lt;設定!$B$10,$G$40,$F$40))&gt;0,IF(OR(設定!$B$5="",IF(B$52&lt;設定!$B$10,$G$40,$F$40)=0),"",IF(B$52&lt;設定!$B$10,SUMIFS(先々月データ!$Q:$Q,先々月データ!$K:$K,B$52,先々月データ!$A:$A,"&gt;="&amp;設定!$B$5,先々月データ!$A:$A,"&lt;="&amp;EOMONTH(設定!$B$5,0),先々月データ!$Z:$Z,$A55,先々月データ!$AA:$AA,1),SUMIFS(先々月データ!$Q:$Q,先々月データ!$K:$K,B$52,先々月データ!$A:$A,"&gt;="&amp;設定!$B$5,先々月データ!$A:$A,"&lt;="&amp;EOMONTH(設定!$B$5,0),先々月データ!$Z:$Z,$A55))/IF(B$52&lt;設定!$B$10,$G$40,$F$40)),"")))</f>
        <v/>
      </c>
      <c r="C55" s="55" t="str">
        <f aca="false">IF(AND(N(IF(C$52&lt;設定!$B$10,$C$40,$B$40))&gt;0,N(IF(C$52&lt;設定!$B$10,$G$40,$F$40))&gt;0),(設定!$B$15*IF(OR(設定!$B$4="",IF(C$52&lt;設定!$B$10,$C$40,$B$40)=0),"",IF(C$52&lt;設定!$B$10,SUMIFS(先月データ!$Q:$Q,先月データ!$K:$K,C$52,先月データ!$A:$A,"&gt;="&amp;設定!$B$4,先月データ!$A:$A,"&lt;="&amp;EOMONTH(設定!$B$4,0),先月データ!$Z:$Z,$A55,先月データ!$AA:$AA,1),SUMIFS(先月データ!$Q:$Q,先月データ!$K:$K,C$52,先月データ!$A:$A,"&gt;="&amp;設定!$B$4,先月データ!$A:$A,"&lt;="&amp;EOMONTH(設定!$B$4,0),先月データ!$Z:$Z,$A55))/IF(C$52&lt;設定!$B$10,$C$40,$B$40))+設定!$B$16*IF(OR(設定!$B$5="",IF(C$52&lt;設定!$B$10,$G$40,$F$40)=0),"",IF(C$52&lt;設定!$B$10,SUMIFS(先々月データ!$Q:$Q,先々月データ!$K:$K,C$52,先々月データ!$A:$A,"&gt;="&amp;設定!$B$5,先々月データ!$A:$A,"&lt;="&amp;EOMONTH(設定!$B$5,0),先々月データ!$Z:$Z,$A55,先々月データ!$AA:$AA,1),SUMIFS(先々月データ!$Q:$Q,先々月データ!$K:$K,C$52,先々月データ!$A:$A,"&gt;="&amp;設定!$B$5,先々月データ!$A:$A,"&lt;="&amp;EOMONTH(設定!$B$5,0),先々月データ!$Z:$Z,$A55))/IF(C$52&lt;設定!$B$10,$G$40,$F$40)))/(設定!$B$15+設定!$B$16),IF(N(IF(C$52&lt;設定!$B$10,$C$40,$B$40))&gt;0,IF(OR(設定!$B$4="",IF(C$52&lt;設定!$B$10,$C$40,$B$40)=0),"",IF(C$52&lt;設定!$B$10,SUMIFS(先月データ!$Q:$Q,先月データ!$K:$K,C$52,先月データ!$A:$A,"&gt;="&amp;設定!$B$4,先月データ!$A:$A,"&lt;="&amp;EOMONTH(設定!$B$4,0),先月データ!$Z:$Z,$A55,先月データ!$AA:$AA,1),SUMIFS(先月データ!$Q:$Q,先月データ!$K:$K,C$52,先月データ!$A:$A,"&gt;="&amp;設定!$B$4,先月データ!$A:$A,"&lt;="&amp;EOMONTH(設定!$B$4,0),先月データ!$Z:$Z,$A55))/IF(C$52&lt;設定!$B$10,$C$40,$B$40)),IF(N(IF(C$52&lt;設定!$B$10,$G$40,$F$40))&gt;0,IF(OR(設定!$B$5="",IF(C$52&lt;設定!$B$10,$G$40,$F$40)=0),"",IF(C$52&lt;設定!$B$10,SUMIFS(先々月データ!$Q:$Q,先々月データ!$K:$K,C$52,先々月データ!$A:$A,"&gt;="&amp;設定!$B$5,先々月データ!$A:$A,"&lt;="&amp;EOMONTH(設定!$B$5,0),先々月データ!$Z:$Z,$A55,先々月データ!$AA:$AA,1),SUMIFS(先々月データ!$Q:$Q,先々月データ!$K:$K,C$52,先々月データ!$A:$A,"&gt;="&amp;設定!$B$5,先々月データ!$A:$A,"&lt;="&amp;EOMONTH(設定!$B$5,0),先々月データ!$Z:$Z,$A55))/IF(C$52&lt;設定!$B$10,$G$40,$F$40)),"")))</f>
        <v/>
      </c>
      <c r="D55" s="55" t="str">
        <f aca="false">IF(AND(N(IF(D$52&lt;設定!$B$10,$C$40,$B$40))&gt;0,N(IF(D$52&lt;設定!$B$10,$G$40,$F$40))&gt;0),(設定!$B$15*IF(OR(設定!$B$4="",IF(D$52&lt;設定!$B$10,$C$40,$B$40)=0),"",IF(D$52&lt;設定!$B$10,SUMIFS(先月データ!$Q:$Q,先月データ!$K:$K,D$52,先月データ!$A:$A,"&gt;="&amp;設定!$B$4,先月データ!$A:$A,"&lt;="&amp;EOMONTH(設定!$B$4,0),先月データ!$Z:$Z,$A55,先月データ!$AA:$AA,1),SUMIFS(先月データ!$Q:$Q,先月データ!$K:$K,D$52,先月データ!$A:$A,"&gt;="&amp;設定!$B$4,先月データ!$A:$A,"&lt;="&amp;EOMONTH(設定!$B$4,0),先月データ!$Z:$Z,$A55))/IF(D$52&lt;設定!$B$10,$C$40,$B$40))+設定!$B$16*IF(OR(設定!$B$5="",IF(D$52&lt;設定!$B$10,$G$40,$F$40)=0),"",IF(D$52&lt;設定!$B$10,SUMIFS(先々月データ!$Q:$Q,先々月データ!$K:$K,D$52,先々月データ!$A:$A,"&gt;="&amp;設定!$B$5,先々月データ!$A:$A,"&lt;="&amp;EOMONTH(設定!$B$5,0),先々月データ!$Z:$Z,$A55,先々月データ!$AA:$AA,1),SUMIFS(先々月データ!$Q:$Q,先々月データ!$K:$K,D$52,先々月データ!$A:$A,"&gt;="&amp;設定!$B$5,先々月データ!$A:$A,"&lt;="&amp;EOMONTH(設定!$B$5,0),先々月データ!$Z:$Z,$A55))/IF(D$52&lt;設定!$B$10,$G$40,$F$40)))/(設定!$B$15+設定!$B$16),IF(N(IF(D$52&lt;設定!$B$10,$C$40,$B$40))&gt;0,IF(OR(設定!$B$4="",IF(D$52&lt;設定!$B$10,$C$40,$B$40)=0),"",IF(D$52&lt;設定!$B$10,SUMIFS(先月データ!$Q:$Q,先月データ!$K:$K,D$52,先月データ!$A:$A,"&gt;="&amp;設定!$B$4,先月データ!$A:$A,"&lt;="&amp;EOMONTH(設定!$B$4,0),先月データ!$Z:$Z,$A55,先月データ!$AA:$AA,1),SUMIFS(先月データ!$Q:$Q,先月データ!$K:$K,D$52,先月データ!$A:$A,"&gt;="&amp;設定!$B$4,先月データ!$A:$A,"&lt;="&amp;EOMONTH(設定!$B$4,0),先月データ!$Z:$Z,$A55))/IF(D$52&lt;設定!$B$10,$C$40,$B$40)),IF(N(IF(D$52&lt;設定!$B$10,$G$40,$F$40))&gt;0,IF(OR(設定!$B$5="",IF(D$52&lt;設定!$B$10,$G$40,$F$40)=0),"",IF(D$52&lt;設定!$B$10,SUMIFS(先々月データ!$Q:$Q,先々月データ!$K:$K,D$52,先々月データ!$A:$A,"&gt;="&amp;設定!$B$5,先々月データ!$A:$A,"&lt;="&amp;EOMONTH(設定!$B$5,0),先々月データ!$Z:$Z,$A55,先々月データ!$AA:$AA,1),SUMIFS(先々月データ!$Q:$Q,先々月データ!$K:$K,D$52,先々月データ!$A:$A,"&gt;="&amp;設定!$B$5,先々月データ!$A:$A,"&lt;="&amp;EOMONTH(設定!$B$5,0),先々月データ!$Z:$Z,$A55))/IF(D$52&lt;設定!$B$10,$G$40,$F$40)),"")))</f>
        <v/>
      </c>
      <c r="E55" s="55" t="str">
        <f aca="false">IF(AND(N(IF(E$52&lt;設定!$B$10,$C$40,$B$40))&gt;0,N(IF(E$52&lt;設定!$B$10,$G$40,$F$40))&gt;0),(設定!$B$15*IF(OR(設定!$B$4="",IF(E$52&lt;設定!$B$10,$C$40,$B$40)=0),"",IF(E$52&lt;設定!$B$10,SUMIFS(先月データ!$Q:$Q,先月データ!$K:$K,E$52,先月データ!$A:$A,"&gt;="&amp;設定!$B$4,先月データ!$A:$A,"&lt;="&amp;EOMONTH(設定!$B$4,0),先月データ!$Z:$Z,$A55,先月データ!$AA:$AA,1),SUMIFS(先月データ!$Q:$Q,先月データ!$K:$K,E$52,先月データ!$A:$A,"&gt;="&amp;設定!$B$4,先月データ!$A:$A,"&lt;="&amp;EOMONTH(設定!$B$4,0),先月データ!$Z:$Z,$A55))/IF(E$52&lt;設定!$B$10,$C$40,$B$40))+設定!$B$16*IF(OR(設定!$B$5="",IF(E$52&lt;設定!$B$10,$G$40,$F$40)=0),"",IF(E$52&lt;設定!$B$10,SUMIFS(先々月データ!$Q:$Q,先々月データ!$K:$K,E$52,先々月データ!$A:$A,"&gt;="&amp;設定!$B$5,先々月データ!$A:$A,"&lt;="&amp;EOMONTH(設定!$B$5,0),先々月データ!$Z:$Z,$A55,先々月データ!$AA:$AA,1),SUMIFS(先々月データ!$Q:$Q,先々月データ!$K:$K,E$52,先々月データ!$A:$A,"&gt;="&amp;設定!$B$5,先々月データ!$A:$A,"&lt;="&amp;EOMONTH(設定!$B$5,0),先々月データ!$Z:$Z,$A55))/IF(E$52&lt;設定!$B$10,$G$40,$F$40)))/(設定!$B$15+設定!$B$16),IF(N(IF(E$52&lt;設定!$B$10,$C$40,$B$40))&gt;0,IF(OR(設定!$B$4="",IF(E$52&lt;設定!$B$10,$C$40,$B$40)=0),"",IF(E$52&lt;設定!$B$10,SUMIFS(先月データ!$Q:$Q,先月データ!$K:$K,E$52,先月データ!$A:$A,"&gt;="&amp;設定!$B$4,先月データ!$A:$A,"&lt;="&amp;EOMONTH(設定!$B$4,0),先月データ!$Z:$Z,$A55,先月データ!$AA:$AA,1),SUMIFS(先月データ!$Q:$Q,先月データ!$K:$K,E$52,先月データ!$A:$A,"&gt;="&amp;設定!$B$4,先月データ!$A:$A,"&lt;="&amp;EOMONTH(設定!$B$4,0),先月データ!$Z:$Z,$A55))/IF(E$52&lt;設定!$B$10,$C$40,$B$40)),IF(N(IF(E$52&lt;設定!$B$10,$G$40,$F$40))&gt;0,IF(OR(設定!$B$5="",IF(E$52&lt;設定!$B$10,$G$40,$F$40)=0),"",IF(E$52&lt;設定!$B$10,SUMIFS(先々月データ!$Q:$Q,先々月データ!$K:$K,E$52,先々月データ!$A:$A,"&gt;="&amp;設定!$B$5,先々月データ!$A:$A,"&lt;="&amp;EOMONTH(設定!$B$5,0),先々月データ!$Z:$Z,$A55,先々月データ!$AA:$AA,1),SUMIFS(先々月データ!$Q:$Q,先々月データ!$K:$K,E$52,先々月データ!$A:$A,"&gt;="&amp;設定!$B$5,先々月データ!$A:$A,"&lt;="&amp;EOMONTH(設定!$B$5,0),先々月データ!$Z:$Z,$A55))/IF(E$52&lt;設定!$B$10,$G$40,$F$40)),"")))</f>
        <v/>
      </c>
      <c r="F55" s="55" t="str">
        <f aca="false">IF(AND(N(IF(F$52&lt;設定!$B$10,$C$40,$B$40))&gt;0,N(IF(F$52&lt;設定!$B$10,$G$40,$F$40))&gt;0),(設定!$B$15*IF(OR(設定!$B$4="",IF(F$52&lt;設定!$B$10,$C$40,$B$40)=0),"",IF(F$52&lt;設定!$B$10,SUMIFS(先月データ!$Q:$Q,先月データ!$K:$K,F$52,先月データ!$A:$A,"&gt;="&amp;設定!$B$4,先月データ!$A:$A,"&lt;="&amp;EOMONTH(設定!$B$4,0),先月データ!$Z:$Z,$A55,先月データ!$AA:$AA,1),SUMIFS(先月データ!$Q:$Q,先月データ!$K:$K,F$52,先月データ!$A:$A,"&gt;="&amp;設定!$B$4,先月データ!$A:$A,"&lt;="&amp;EOMONTH(設定!$B$4,0),先月データ!$Z:$Z,$A55))/IF(F$52&lt;設定!$B$10,$C$40,$B$40))+設定!$B$16*IF(OR(設定!$B$5="",IF(F$52&lt;設定!$B$10,$G$40,$F$40)=0),"",IF(F$52&lt;設定!$B$10,SUMIFS(先々月データ!$Q:$Q,先々月データ!$K:$K,F$52,先々月データ!$A:$A,"&gt;="&amp;設定!$B$5,先々月データ!$A:$A,"&lt;="&amp;EOMONTH(設定!$B$5,0),先々月データ!$Z:$Z,$A55,先々月データ!$AA:$AA,1),SUMIFS(先々月データ!$Q:$Q,先々月データ!$K:$K,F$52,先々月データ!$A:$A,"&gt;="&amp;設定!$B$5,先々月データ!$A:$A,"&lt;="&amp;EOMONTH(設定!$B$5,0),先々月データ!$Z:$Z,$A55))/IF(F$52&lt;設定!$B$10,$G$40,$F$40)))/(設定!$B$15+設定!$B$16),IF(N(IF(F$52&lt;設定!$B$10,$C$40,$B$40))&gt;0,IF(OR(設定!$B$4="",IF(F$52&lt;設定!$B$10,$C$40,$B$40)=0),"",IF(F$52&lt;設定!$B$10,SUMIFS(先月データ!$Q:$Q,先月データ!$K:$K,F$52,先月データ!$A:$A,"&gt;="&amp;設定!$B$4,先月データ!$A:$A,"&lt;="&amp;EOMONTH(設定!$B$4,0),先月データ!$Z:$Z,$A55,先月データ!$AA:$AA,1),SUMIFS(先月データ!$Q:$Q,先月データ!$K:$K,F$52,先月データ!$A:$A,"&gt;="&amp;設定!$B$4,先月データ!$A:$A,"&lt;="&amp;EOMONTH(設定!$B$4,0),先月データ!$Z:$Z,$A55))/IF(F$52&lt;設定!$B$10,$C$40,$B$40)),IF(N(IF(F$52&lt;設定!$B$10,$G$40,$F$40))&gt;0,IF(OR(設定!$B$5="",IF(F$52&lt;設定!$B$10,$G$40,$F$40)=0),"",IF(F$52&lt;設定!$B$10,SUMIFS(先々月データ!$Q:$Q,先々月データ!$K:$K,F$52,先々月データ!$A:$A,"&gt;="&amp;設定!$B$5,先々月データ!$A:$A,"&lt;="&amp;EOMONTH(設定!$B$5,0),先々月データ!$Z:$Z,$A55,先々月データ!$AA:$AA,1),SUMIFS(先々月データ!$Q:$Q,先々月データ!$K:$K,F$52,先々月データ!$A:$A,"&gt;="&amp;設定!$B$5,先々月データ!$A:$A,"&lt;="&amp;EOMONTH(設定!$B$5,0),先々月データ!$Z:$Z,$A55))/IF(F$52&lt;設定!$B$10,$G$40,$F$40)),"")))</f>
        <v/>
      </c>
      <c r="G55" s="55" t="str">
        <f aca="false">IF(AND(N(IF(G$52&lt;設定!$B$10,$C$40,$B$40))&gt;0,N(IF(G$52&lt;設定!$B$10,$G$40,$F$40))&gt;0),(設定!$B$15*IF(OR(設定!$B$4="",IF(G$52&lt;設定!$B$10,$C$40,$B$40)=0),"",IF(G$52&lt;設定!$B$10,SUMIFS(先月データ!$Q:$Q,先月データ!$K:$K,G$52,先月データ!$A:$A,"&gt;="&amp;設定!$B$4,先月データ!$A:$A,"&lt;="&amp;EOMONTH(設定!$B$4,0),先月データ!$Z:$Z,$A55,先月データ!$AA:$AA,1),SUMIFS(先月データ!$Q:$Q,先月データ!$K:$K,G$52,先月データ!$A:$A,"&gt;="&amp;設定!$B$4,先月データ!$A:$A,"&lt;="&amp;EOMONTH(設定!$B$4,0),先月データ!$Z:$Z,$A55))/IF(G$52&lt;設定!$B$10,$C$40,$B$40))+設定!$B$16*IF(OR(設定!$B$5="",IF(G$52&lt;設定!$B$10,$G$40,$F$40)=0),"",IF(G$52&lt;設定!$B$10,SUMIFS(先々月データ!$Q:$Q,先々月データ!$K:$K,G$52,先々月データ!$A:$A,"&gt;="&amp;設定!$B$5,先々月データ!$A:$A,"&lt;="&amp;EOMONTH(設定!$B$5,0),先々月データ!$Z:$Z,$A55,先々月データ!$AA:$AA,1),SUMIFS(先々月データ!$Q:$Q,先々月データ!$K:$K,G$52,先々月データ!$A:$A,"&gt;="&amp;設定!$B$5,先々月データ!$A:$A,"&lt;="&amp;EOMONTH(設定!$B$5,0),先々月データ!$Z:$Z,$A55))/IF(G$52&lt;設定!$B$10,$G$40,$F$40)))/(設定!$B$15+設定!$B$16),IF(N(IF(G$52&lt;設定!$B$10,$C$40,$B$40))&gt;0,IF(OR(設定!$B$4="",IF(G$52&lt;設定!$B$10,$C$40,$B$40)=0),"",IF(G$52&lt;設定!$B$10,SUMIFS(先月データ!$Q:$Q,先月データ!$K:$K,G$52,先月データ!$A:$A,"&gt;="&amp;設定!$B$4,先月データ!$A:$A,"&lt;="&amp;EOMONTH(設定!$B$4,0),先月データ!$Z:$Z,$A55,先月データ!$AA:$AA,1),SUMIFS(先月データ!$Q:$Q,先月データ!$K:$K,G$52,先月データ!$A:$A,"&gt;="&amp;設定!$B$4,先月データ!$A:$A,"&lt;="&amp;EOMONTH(設定!$B$4,0),先月データ!$Z:$Z,$A55))/IF(G$52&lt;設定!$B$10,$C$40,$B$40)),IF(N(IF(G$52&lt;設定!$B$10,$G$40,$F$40))&gt;0,IF(OR(設定!$B$5="",IF(G$52&lt;設定!$B$10,$G$40,$F$40)=0),"",IF(G$52&lt;設定!$B$10,SUMIFS(先々月データ!$Q:$Q,先々月データ!$K:$K,G$52,先々月データ!$A:$A,"&gt;="&amp;設定!$B$5,先々月データ!$A:$A,"&lt;="&amp;EOMONTH(設定!$B$5,0),先々月データ!$Z:$Z,$A55,先々月データ!$AA:$AA,1),SUMIFS(先々月データ!$Q:$Q,先々月データ!$K:$K,G$52,先々月データ!$A:$A,"&gt;="&amp;設定!$B$5,先々月データ!$A:$A,"&lt;="&amp;EOMONTH(設定!$B$5,0),先々月データ!$Z:$Z,$A55))/IF(G$52&lt;設定!$B$10,$G$40,$F$40)),"")))</f>
        <v/>
      </c>
      <c r="H55" s="55" t="str">
        <f aca="false">IF(AND(N(IF(H$52&lt;設定!$B$10,$C$40,$B$40))&gt;0,N(IF(H$52&lt;設定!$B$10,$G$40,$F$40))&gt;0),(設定!$B$15*IF(OR(設定!$B$4="",IF(H$52&lt;設定!$B$10,$C$40,$B$40)=0),"",IF(H$52&lt;設定!$B$10,SUMIFS(先月データ!$Q:$Q,先月データ!$K:$K,H$52,先月データ!$A:$A,"&gt;="&amp;設定!$B$4,先月データ!$A:$A,"&lt;="&amp;EOMONTH(設定!$B$4,0),先月データ!$Z:$Z,$A55,先月データ!$AA:$AA,1),SUMIFS(先月データ!$Q:$Q,先月データ!$K:$K,H$52,先月データ!$A:$A,"&gt;="&amp;設定!$B$4,先月データ!$A:$A,"&lt;="&amp;EOMONTH(設定!$B$4,0),先月データ!$Z:$Z,$A55))/IF(H$52&lt;設定!$B$10,$C$40,$B$40))+設定!$B$16*IF(OR(設定!$B$5="",IF(H$52&lt;設定!$B$10,$G$40,$F$40)=0),"",IF(H$52&lt;設定!$B$10,SUMIFS(先々月データ!$Q:$Q,先々月データ!$K:$K,H$52,先々月データ!$A:$A,"&gt;="&amp;設定!$B$5,先々月データ!$A:$A,"&lt;="&amp;EOMONTH(設定!$B$5,0),先々月データ!$Z:$Z,$A55,先々月データ!$AA:$AA,1),SUMIFS(先々月データ!$Q:$Q,先々月データ!$K:$K,H$52,先々月データ!$A:$A,"&gt;="&amp;設定!$B$5,先々月データ!$A:$A,"&lt;="&amp;EOMONTH(設定!$B$5,0),先々月データ!$Z:$Z,$A55))/IF(H$52&lt;設定!$B$10,$G$40,$F$40)))/(設定!$B$15+設定!$B$16),IF(N(IF(H$52&lt;設定!$B$10,$C$40,$B$40))&gt;0,IF(OR(設定!$B$4="",IF(H$52&lt;設定!$B$10,$C$40,$B$40)=0),"",IF(H$52&lt;設定!$B$10,SUMIFS(先月データ!$Q:$Q,先月データ!$K:$K,H$52,先月データ!$A:$A,"&gt;="&amp;設定!$B$4,先月データ!$A:$A,"&lt;="&amp;EOMONTH(設定!$B$4,0),先月データ!$Z:$Z,$A55,先月データ!$AA:$AA,1),SUMIFS(先月データ!$Q:$Q,先月データ!$K:$K,H$52,先月データ!$A:$A,"&gt;="&amp;設定!$B$4,先月データ!$A:$A,"&lt;="&amp;EOMONTH(設定!$B$4,0),先月データ!$Z:$Z,$A55))/IF(H$52&lt;設定!$B$10,$C$40,$B$40)),IF(N(IF(H$52&lt;設定!$B$10,$G$40,$F$40))&gt;0,IF(OR(設定!$B$5="",IF(H$52&lt;設定!$B$10,$G$40,$F$40)=0),"",IF(H$52&lt;設定!$B$10,SUMIFS(先々月データ!$Q:$Q,先々月データ!$K:$K,H$52,先々月データ!$A:$A,"&gt;="&amp;設定!$B$5,先々月データ!$A:$A,"&lt;="&amp;EOMONTH(設定!$B$5,0),先々月データ!$Z:$Z,$A55,先々月データ!$AA:$AA,1),SUMIFS(先々月データ!$Q:$Q,先々月データ!$K:$K,H$52,先々月データ!$A:$A,"&gt;="&amp;設定!$B$5,先々月データ!$A:$A,"&lt;="&amp;EOMONTH(設定!$B$5,0),先々月データ!$Z:$Z,$A55))/IF(H$52&lt;設定!$B$10,$G$40,$F$40)),"")))</f>
        <v/>
      </c>
      <c r="I55" s="55" t="str">
        <f aca="false">IF(AND(N(IF(I$52&lt;設定!$B$10,$C$40,$B$40))&gt;0,N(IF(I$52&lt;設定!$B$10,$G$40,$F$40))&gt;0),(設定!$B$15*IF(OR(設定!$B$4="",IF(I$52&lt;設定!$B$10,$C$40,$B$40)=0),"",IF(I$52&lt;設定!$B$10,SUMIFS(先月データ!$Q:$Q,先月データ!$K:$K,I$52,先月データ!$A:$A,"&gt;="&amp;設定!$B$4,先月データ!$A:$A,"&lt;="&amp;EOMONTH(設定!$B$4,0),先月データ!$Z:$Z,$A55,先月データ!$AA:$AA,1),SUMIFS(先月データ!$Q:$Q,先月データ!$K:$K,I$52,先月データ!$A:$A,"&gt;="&amp;設定!$B$4,先月データ!$A:$A,"&lt;="&amp;EOMONTH(設定!$B$4,0),先月データ!$Z:$Z,$A55))/IF(I$52&lt;設定!$B$10,$C$40,$B$40))+設定!$B$16*IF(OR(設定!$B$5="",IF(I$52&lt;設定!$B$10,$G$40,$F$40)=0),"",IF(I$52&lt;設定!$B$10,SUMIFS(先々月データ!$Q:$Q,先々月データ!$K:$K,I$52,先々月データ!$A:$A,"&gt;="&amp;設定!$B$5,先々月データ!$A:$A,"&lt;="&amp;EOMONTH(設定!$B$5,0),先々月データ!$Z:$Z,$A55,先々月データ!$AA:$AA,1),SUMIFS(先々月データ!$Q:$Q,先々月データ!$K:$K,I$52,先々月データ!$A:$A,"&gt;="&amp;設定!$B$5,先々月データ!$A:$A,"&lt;="&amp;EOMONTH(設定!$B$5,0),先々月データ!$Z:$Z,$A55))/IF(I$52&lt;設定!$B$10,$G$40,$F$40)))/(設定!$B$15+設定!$B$16),IF(N(IF(I$52&lt;設定!$B$10,$C$40,$B$40))&gt;0,IF(OR(設定!$B$4="",IF(I$52&lt;設定!$B$10,$C$40,$B$40)=0),"",IF(I$52&lt;設定!$B$10,SUMIFS(先月データ!$Q:$Q,先月データ!$K:$K,I$52,先月データ!$A:$A,"&gt;="&amp;設定!$B$4,先月データ!$A:$A,"&lt;="&amp;EOMONTH(設定!$B$4,0),先月データ!$Z:$Z,$A55,先月データ!$AA:$AA,1),SUMIFS(先月データ!$Q:$Q,先月データ!$K:$K,I$52,先月データ!$A:$A,"&gt;="&amp;設定!$B$4,先月データ!$A:$A,"&lt;="&amp;EOMONTH(設定!$B$4,0),先月データ!$Z:$Z,$A55))/IF(I$52&lt;設定!$B$10,$C$40,$B$40)),IF(N(IF(I$52&lt;設定!$B$10,$G$40,$F$40))&gt;0,IF(OR(設定!$B$5="",IF(I$52&lt;設定!$B$10,$G$40,$F$40)=0),"",IF(I$52&lt;設定!$B$10,SUMIFS(先々月データ!$Q:$Q,先々月データ!$K:$K,I$52,先々月データ!$A:$A,"&gt;="&amp;設定!$B$5,先々月データ!$A:$A,"&lt;="&amp;EOMONTH(設定!$B$5,0),先々月データ!$Z:$Z,$A55,先々月データ!$AA:$AA,1),SUMIFS(先々月データ!$Q:$Q,先々月データ!$K:$K,I$52,先々月データ!$A:$A,"&gt;="&amp;設定!$B$5,先々月データ!$A:$A,"&lt;="&amp;EOMONTH(設定!$B$5,0),先々月データ!$Z:$Z,$A55))/IF(I$52&lt;設定!$B$10,$G$40,$F$40)),"")))</f>
        <v/>
      </c>
      <c r="J55" s="55" t="str">
        <f aca="false">IF(AND(N(IF(J$52&lt;設定!$B$10,$C$40,$B$40))&gt;0,N(IF(J$52&lt;設定!$B$10,$G$40,$F$40))&gt;0),(設定!$B$15*IF(OR(設定!$B$4="",IF(J$52&lt;設定!$B$10,$C$40,$B$40)=0),"",IF(J$52&lt;設定!$B$10,SUMIFS(先月データ!$Q:$Q,先月データ!$K:$K,J$52,先月データ!$A:$A,"&gt;="&amp;設定!$B$4,先月データ!$A:$A,"&lt;="&amp;EOMONTH(設定!$B$4,0),先月データ!$Z:$Z,$A55,先月データ!$AA:$AA,1),SUMIFS(先月データ!$Q:$Q,先月データ!$K:$K,J$52,先月データ!$A:$A,"&gt;="&amp;設定!$B$4,先月データ!$A:$A,"&lt;="&amp;EOMONTH(設定!$B$4,0),先月データ!$Z:$Z,$A55))/IF(J$52&lt;設定!$B$10,$C$40,$B$40))+設定!$B$16*IF(OR(設定!$B$5="",IF(J$52&lt;設定!$B$10,$G$40,$F$40)=0),"",IF(J$52&lt;設定!$B$10,SUMIFS(先々月データ!$Q:$Q,先々月データ!$K:$K,J$52,先々月データ!$A:$A,"&gt;="&amp;設定!$B$5,先々月データ!$A:$A,"&lt;="&amp;EOMONTH(設定!$B$5,0),先々月データ!$Z:$Z,$A55,先々月データ!$AA:$AA,1),SUMIFS(先々月データ!$Q:$Q,先々月データ!$K:$K,J$52,先々月データ!$A:$A,"&gt;="&amp;設定!$B$5,先々月データ!$A:$A,"&lt;="&amp;EOMONTH(設定!$B$5,0),先々月データ!$Z:$Z,$A55))/IF(J$52&lt;設定!$B$10,$G$40,$F$40)))/(設定!$B$15+設定!$B$16),IF(N(IF(J$52&lt;設定!$B$10,$C$40,$B$40))&gt;0,IF(OR(設定!$B$4="",IF(J$52&lt;設定!$B$10,$C$40,$B$40)=0),"",IF(J$52&lt;設定!$B$10,SUMIFS(先月データ!$Q:$Q,先月データ!$K:$K,J$52,先月データ!$A:$A,"&gt;="&amp;設定!$B$4,先月データ!$A:$A,"&lt;="&amp;EOMONTH(設定!$B$4,0),先月データ!$Z:$Z,$A55,先月データ!$AA:$AA,1),SUMIFS(先月データ!$Q:$Q,先月データ!$K:$K,J$52,先月データ!$A:$A,"&gt;="&amp;設定!$B$4,先月データ!$A:$A,"&lt;="&amp;EOMONTH(設定!$B$4,0),先月データ!$Z:$Z,$A55))/IF(J$52&lt;設定!$B$10,$C$40,$B$40)),IF(N(IF(J$52&lt;設定!$B$10,$G$40,$F$40))&gt;0,IF(OR(設定!$B$5="",IF(J$52&lt;設定!$B$10,$G$40,$F$40)=0),"",IF(J$52&lt;設定!$B$10,SUMIFS(先々月データ!$Q:$Q,先々月データ!$K:$K,J$52,先々月データ!$A:$A,"&gt;="&amp;設定!$B$5,先々月データ!$A:$A,"&lt;="&amp;EOMONTH(設定!$B$5,0),先々月データ!$Z:$Z,$A55,先々月データ!$AA:$AA,1),SUMIFS(先々月データ!$Q:$Q,先々月データ!$K:$K,J$52,先々月データ!$A:$A,"&gt;="&amp;設定!$B$5,先々月データ!$A:$A,"&lt;="&amp;EOMONTH(設定!$B$5,0),先々月データ!$Z:$Z,$A55))/IF(J$52&lt;設定!$B$10,$G$40,$F$40)),"")))</f>
        <v/>
      </c>
      <c r="K55" s="55" t="str">
        <f aca="false">IF(AND(N(IF(K$52&lt;設定!$B$10,$C$40,$B$40))&gt;0,N(IF(K$52&lt;設定!$B$10,$G$40,$F$40))&gt;0),(設定!$B$15*IF(OR(設定!$B$4="",IF(K$52&lt;設定!$B$10,$C$40,$B$40)=0),"",IF(K$52&lt;設定!$B$10,SUMIFS(先月データ!$Q:$Q,先月データ!$K:$K,K$52,先月データ!$A:$A,"&gt;="&amp;設定!$B$4,先月データ!$A:$A,"&lt;="&amp;EOMONTH(設定!$B$4,0),先月データ!$Z:$Z,$A55,先月データ!$AA:$AA,1),SUMIFS(先月データ!$Q:$Q,先月データ!$K:$K,K$52,先月データ!$A:$A,"&gt;="&amp;設定!$B$4,先月データ!$A:$A,"&lt;="&amp;EOMONTH(設定!$B$4,0),先月データ!$Z:$Z,$A55))/IF(K$52&lt;設定!$B$10,$C$40,$B$40))+設定!$B$16*IF(OR(設定!$B$5="",IF(K$52&lt;設定!$B$10,$G$40,$F$40)=0),"",IF(K$52&lt;設定!$B$10,SUMIFS(先々月データ!$Q:$Q,先々月データ!$K:$K,K$52,先々月データ!$A:$A,"&gt;="&amp;設定!$B$5,先々月データ!$A:$A,"&lt;="&amp;EOMONTH(設定!$B$5,0),先々月データ!$Z:$Z,$A55,先々月データ!$AA:$AA,1),SUMIFS(先々月データ!$Q:$Q,先々月データ!$K:$K,K$52,先々月データ!$A:$A,"&gt;="&amp;設定!$B$5,先々月データ!$A:$A,"&lt;="&amp;EOMONTH(設定!$B$5,0),先々月データ!$Z:$Z,$A55))/IF(K$52&lt;設定!$B$10,$G$40,$F$40)))/(設定!$B$15+設定!$B$16),IF(N(IF(K$52&lt;設定!$B$10,$C$40,$B$40))&gt;0,IF(OR(設定!$B$4="",IF(K$52&lt;設定!$B$10,$C$40,$B$40)=0),"",IF(K$52&lt;設定!$B$10,SUMIFS(先月データ!$Q:$Q,先月データ!$K:$K,K$52,先月データ!$A:$A,"&gt;="&amp;設定!$B$4,先月データ!$A:$A,"&lt;="&amp;EOMONTH(設定!$B$4,0),先月データ!$Z:$Z,$A55,先月データ!$AA:$AA,1),SUMIFS(先月データ!$Q:$Q,先月データ!$K:$K,K$52,先月データ!$A:$A,"&gt;="&amp;設定!$B$4,先月データ!$A:$A,"&lt;="&amp;EOMONTH(設定!$B$4,0),先月データ!$Z:$Z,$A55))/IF(K$52&lt;設定!$B$10,$C$40,$B$40)),IF(N(IF(K$52&lt;設定!$B$10,$G$40,$F$40))&gt;0,IF(OR(設定!$B$5="",IF(K$52&lt;設定!$B$10,$G$40,$F$40)=0),"",IF(K$52&lt;設定!$B$10,SUMIFS(先々月データ!$Q:$Q,先々月データ!$K:$K,K$52,先々月データ!$A:$A,"&gt;="&amp;設定!$B$5,先々月データ!$A:$A,"&lt;="&amp;EOMONTH(設定!$B$5,0),先々月データ!$Z:$Z,$A55,先々月データ!$AA:$AA,1),SUMIFS(先々月データ!$Q:$Q,先々月データ!$K:$K,K$52,先々月データ!$A:$A,"&gt;="&amp;設定!$B$5,先々月データ!$A:$A,"&lt;="&amp;EOMONTH(設定!$B$5,0),先々月データ!$Z:$Z,$A55))/IF(K$52&lt;設定!$B$10,$G$40,$F$40)),"")))</f>
        <v/>
      </c>
      <c r="L55" s="55" t="str">
        <f aca="false">IF(AND(N(IF(L$52&lt;設定!$B$10,$C$40,$B$40))&gt;0,N(IF(L$52&lt;設定!$B$10,$G$40,$F$40))&gt;0),(設定!$B$15*IF(OR(設定!$B$4="",IF(L$52&lt;設定!$B$10,$C$40,$B$40)=0),"",IF(L$52&lt;設定!$B$10,SUMIFS(先月データ!$Q:$Q,先月データ!$K:$K,L$52,先月データ!$A:$A,"&gt;="&amp;設定!$B$4,先月データ!$A:$A,"&lt;="&amp;EOMONTH(設定!$B$4,0),先月データ!$Z:$Z,$A55,先月データ!$AA:$AA,1),SUMIFS(先月データ!$Q:$Q,先月データ!$K:$K,L$52,先月データ!$A:$A,"&gt;="&amp;設定!$B$4,先月データ!$A:$A,"&lt;="&amp;EOMONTH(設定!$B$4,0),先月データ!$Z:$Z,$A55))/IF(L$52&lt;設定!$B$10,$C$40,$B$40))+設定!$B$16*IF(OR(設定!$B$5="",IF(L$52&lt;設定!$B$10,$G$40,$F$40)=0),"",IF(L$52&lt;設定!$B$10,SUMIFS(先々月データ!$Q:$Q,先々月データ!$K:$K,L$52,先々月データ!$A:$A,"&gt;="&amp;設定!$B$5,先々月データ!$A:$A,"&lt;="&amp;EOMONTH(設定!$B$5,0),先々月データ!$Z:$Z,$A55,先々月データ!$AA:$AA,1),SUMIFS(先々月データ!$Q:$Q,先々月データ!$K:$K,L$52,先々月データ!$A:$A,"&gt;="&amp;設定!$B$5,先々月データ!$A:$A,"&lt;="&amp;EOMONTH(設定!$B$5,0),先々月データ!$Z:$Z,$A55))/IF(L$52&lt;設定!$B$10,$G$40,$F$40)))/(設定!$B$15+設定!$B$16),IF(N(IF(L$52&lt;設定!$B$10,$C$40,$B$40))&gt;0,IF(OR(設定!$B$4="",IF(L$52&lt;設定!$B$10,$C$40,$B$40)=0),"",IF(L$52&lt;設定!$B$10,SUMIFS(先月データ!$Q:$Q,先月データ!$K:$K,L$52,先月データ!$A:$A,"&gt;="&amp;設定!$B$4,先月データ!$A:$A,"&lt;="&amp;EOMONTH(設定!$B$4,0),先月データ!$Z:$Z,$A55,先月データ!$AA:$AA,1),SUMIFS(先月データ!$Q:$Q,先月データ!$K:$K,L$52,先月データ!$A:$A,"&gt;="&amp;設定!$B$4,先月データ!$A:$A,"&lt;="&amp;EOMONTH(設定!$B$4,0),先月データ!$Z:$Z,$A55))/IF(L$52&lt;設定!$B$10,$C$40,$B$40)),IF(N(IF(L$52&lt;設定!$B$10,$G$40,$F$40))&gt;0,IF(OR(設定!$B$5="",IF(L$52&lt;設定!$B$10,$G$40,$F$40)=0),"",IF(L$52&lt;設定!$B$10,SUMIFS(先々月データ!$Q:$Q,先々月データ!$K:$K,L$52,先々月データ!$A:$A,"&gt;="&amp;設定!$B$5,先々月データ!$A:$A,"&lt;="&amp;EOMONTH(設定!$B$5,0),先々月データ!$Z:$Z,$A55,先々月データ!$AA:$AA,1),SUMIFS(先々月データ!$Q:$Q,先々月データ!$K:$K,L$52,先々月データ!$A:$A,"&gt;="&amp;設定!$B$5,先々月データ!$A:$A,"&lt;="&amp;EOMONTH(設定!$B$5,0),先々月データ!$Z:$Z,$A55))/IF(L$52&lt;設定!$B$10,$G$40,$F$40)),"")))</f>
        <v/>
      </c>
      <c r="M55" s="55" t="str">
        <f aca="false">IF(AND(N(IF(M$52&lt;設定!$B$10,$C$40,$B$40))&gt;0,N(IF(M$52&lt;設定!$B$10,$G$40,$F$40))&gt;0),(設定!$B$15*IF(OR(設定!$B$4="",IF(M$52&lt;設定!$B$10,$C$40,$B$40)=0),"",IF(M$52&lt;設定!$B$10,SUMIFS(先月データ!$Q:$Q,先月データ!$K:$K,M$52,先月データ!$A:$A,"&gt;="&amp;設定!$B$4,先月データ!$A:$A,"&lt;="&amp;EOMONTH(設定!$B$4,0),先月データ!$Z:$Z,$A55,先月データ!$AA:$AA,1),SUMIFS(先月データ!$Q:$Q,先月データ!$K:$K,M$52,先月データ!$A:$A,"&gt;="&amp;設定!$B$4,先月データ!$A:$A,"&lt;="&amp;EOMONTH(設定!$B$4,0),先月データ!$Z:$Z,$A55))/IF(M$52&lt;設定!$B$10,$C$40,$B$40))+設定!$B$16*IF(OR(設定!$B$5="",IF(M$52&lt;設定!$B$10,$G$40,$F$40)=0),"",IF(M$52&lt;設定!$B$10,SUMIFS(先々月データ!$Q:$Q,先々月データ!$K:$K,M$52,先々月データ!$A:$A,"&gt;="&amp;設定!$B$5,先々月データ!$A:$A,"&lt;="&amp;EOMONTH(設定!$B$5,0),先々月データ!$Z:$Z,$A55,先々月データ!$AA:$AA,1),SUMIFS(先々月データ!$Q:$Q,先々月データ!$K:$K,M$52,先々月データ!$A:$A,"&gt;="&amp;設定!$B$5,先々月データ!$A:$A,"&lt;="&amp;EOMONTH(設定!$B$5,0),先々月データ!$Z:$Z,$A55))/IF(M$52&lt;設定!$B$10,$G$40,$F$40)))/(設定!$B$15+設定!$B$16),IF(N(IF(M$52&lt;設定!$B$10,$C$40,$B$40))&gt;0,IF(OR(設定!$B$4="",IF(M$52&lt;設定!$B$10,$C$40,$B$40)=0),"",IF(M$52&lt;設定!$B$10,SUMIFS(先月データ!$Q:$Q,先月データ!$K:$K,M$52,先月データ!$A:$A,"&gt;="&amp;設定!$B$4,先月データ!$A:$A,"&lt;="&amp;EOMONTH(設定!$B$4,0),先月データ!$Z:$Z,$A55,先月データ!$AA:$AA,1),SUMIFS(先月データ!$Q:$Q,先月データ!$K:$K,M$52,先月データ!$A:$A,"&gt;="&amp;設定!$B$4,先月データ!$A:$A,"&lt;="&amp;EOMONTH(設定!$B$4,0),先月データ!$Z:$Z,$A55))/IF(M$52&lt;設定!$B$10,$C$40,$B$40)),IF(N(IF(M$52&lt;設定!$B$10,$G$40,$F$40))&gt;0,IF(OR(設定!$B$5="",IF(M$52&lt;設定!$B$10,$G$40,$F$40)=0),"",IF(M$52&lt;設定!$B$10,SUMIFS(先々月データ!$Q:$Q,先々月データ!$K:$K,M$52,先々月データ!$A:$A,"&gt;="&amp;設定!$B$5,先々月データ!$A:$A,"&lt;="&amp;EOMONTH(設定!$B$5,0),先々月データ!$Z:$Z,$A55,先々月データ!$AA:$AA,1),SUMIFS(先々月データ!$Q:$Q,先々月データ!$K:$K,M$52,先々月データ!$A:$A,"&gt;="&amp;設定!$B$5,先々月データ!$A:$A,"&lt;="&amp;EOMONTH(設定!$B$5,0),先々月データ!$Z:$Z,$A55))/IF(M$52&lt;設定!$B$10,$G$40,$F$40)),"")))</f>
        <v/>
      </c>
      <c r="N55" s="55" t="str">
        <f aca="false">IF(AND(N(IF(N$52&lt;設定!$B$10,$C$40,$B$40))&gt;0,N(IF(N$52&lt;設定!$B$10,$G$40,$F$40))&gt;0),(設定!$B$15*IF(OR(設定!$B$4="",IF(N$52&lt;設定!$B$10,$C$40,$B$40)=0),"",IF(N$52&lt;設定!$B$10,SUMIFS(先月データ!$Q:$Q,先月データ!$K:$K,N$52,先月データ!$A:$A,"&gt;="&amp;設定!$B$4,先月データ!$A:$A,"&lt;="&amp;EOMONTH(設定!$B$4,0),先月データ!$Z:$Z,$A55,先月データ!$AA:$AA,1),SUMIFS(先月データ!$Q:$Q,先月データ!$K:$K,N$52,先月データ!$A:$A,"&gt;="&amp;設定!$B$4,先月データ!$A:$A,"&lt;="&amp;EOMONTH(設定!$B$4,0),先月データ!$Z:$Z,$A55))/IF(N$52&lt;設定!$B$10,$C$40,$B$40))+設定!$B$16*IF(OR(設定!$B$5="",IF(N$52&lt;設定!$B$10,$G$40,$F$40)=0),"",IF(N$52&lt;設定!$B$10,SUMIFS(先々月データ!$Q:$Q,先々月データ!$K:$K,N$52,先々月データ!$A:$A,"&gt;="&amp;設定!$B$5,先々月データ!$A:$A,"&lt;="&amp;EOMONTH(設定!$B$5,0),先々月データ!$Z:$Z,$A55,先々月データ!$AA:$AA,1),SUMIFS(先々月データ!$Q:$Q,先々月データ!$K:$K,N$52,先々月データ!$A:$A,"&gt;="&amp;設定!$B$5,先々月データ!$A:$A,"&lt;="&amp;EOMONTH(設定!$B$5,0),先々月データ!$Z:$Z,$A55))/IF(N$52&lt;設定!$B$10,$G$40,$F$40)))/(設定!$B$15+設定!$B$16),IF(N(IF(N$52&lt;設定!$B$10,$C$40,$B$40))&gt;0,IF(OR(設定!$B$4="",IF(N$52&lt;設定!$B$10,$C$40,$B$40)=0),"",IF(N$52&lt;設定!$B$10,SUMIFS(先月データ!$Q:$Q,先月データ!$K:$K,N$52,先月データ!$A:$A,"&gt;="&amp;設定!$B$4,先月データ!$A:$A,"&lt;="&amp;EOMONTH(設定!$B$4,0),先月データ!$Z:$Z,$A55,先月データ!$AA:$AA,1),SUMIFS(先月データ!$Q:$Q,先月データ!$K:$K,N$52,先月データ!$A:$A,"&gt;="&amp;設定!$B$4,先月データ!$A:$A,"&lt;="&amp;EOMONTH(設定!$B$4,0),先月データ!$Z:$Z,$A55))/IF(N$52&lt;設定!$B$10,$C$40,$B$40)),IF(N(IF(N$52&lt;設定!$B$10,$G$40,$F$40))&gt;0,IF(OR(設定!$B$5="",IF(N$52&lt;設定!$B$10,$G$40,$F$40)=0),"",IF(N$52&lt;設定!$B$10,SUMIFS(先々月データ!$Q:$Q,先々月データ!$K:$K,N$52,先々月データ!$A:$A,"&gt;="&amp;設定!$B$5,先々月データ!$A:$A,"&lt;="&amp;EOMONTH(設定!$B$5,0),先々月データ!$Z:$Z,$A55,先々月データ!$AA:$AA,1),SUMIFS(先々月データ!$Q:$Q,先々月データ!$K:$K,N$52,先々月データ!$A:$A,"&gt;="&amp;設定!$B$5,先々月データ!$A:$A,"&lt;="&amp;EOMONTH(設定!$B$5,0),先々月データ!$Z:$Z,$A55))/IF(N$52&lt;設定!$B$10,$G$40,$F$40)),"")))</f>
        <v/>
      </c>
      <c r="O55" s="55" t="n">
        <f aca="false">SUMIF($B$52:$N$52,"&lt;"&amp;設定!$B$10,B55:N55)</f>
        <v>0</v>
      </c>
      <c r="P55" s="55" t="n">
        <f aca="false">SUMIF($B$52:$N$52,"&gt;="&amp;設定!$B$10,B55:N55)</f>
        <v>0</v>
      </c>
    </row>
    <row r="56" customFormat="false" ht="15" hidden="false" customHeight="false" outlineLevel="0" collapsed="false">
      <c r="A56" s="47" t="s">
        <v>209</v>
      </c>
      <c r="B56" s="55" t="str">
        <f aca="false">IF(AND(N(IF(B$52&lt;設定!$B$10,$C$41,$B$41))&gt;0,N(IF(B$52&lt;設定!$B$10,$G$41,$F$41))&gt;0),(設定!$B$15*IF(OR(設定!$B$4="",IF(B$52&lt;設定!$B$10,$C$41,$B$41)=0),"",IF(B$52&lt;設定!$B$10,SUMIFS(先月データ!$Q:$Q,先月データ!$K:$K,B$52,先月データ!$A:$A,"&gt;="&amp;設定!$B$4,先月データ!$A:$A,"&lt;="&amp;EOMONTH(設定!$B$4,0),先月データ!$Z:$Z,$A56,先月データ!$AA:$AA,1),SUMIFS(先月データ!$Q:$Q,先月データ!$K:$K,B$52,先月データ!$A:$A,"&gt;="&amp;設定!$B$4,先月データ!$A:$A,"&lt;="&amp;EOMONTH(設定!$B$4,0),先月データ!$Z:$Z,$A56))/IF(B$52&lt;設定!$B$10,$C$41,$B$41))+設定!$B$16*IF(OR(設定!$B$5="",IF(B$52&lt;設定!$B$10,$G$41,$F$41)=0),"",IF(B$52&lt;設定!$B$10,SUMIFS(先々月データ!$Q:$Q,先々月データ!$K:$K,B$52,先々月データ!$A:$A,"&gt;="&amp;設定!$B$5,先々月データ!$A:$A,"&lt;="&amp;EOMONTH(設定!$B$5,0),先々月データ!$Z:$Z,$A56,先々月データ!$AA:$AA,1),SUMIFS(先々月データ!$Q:$Q,先々月データ!$K:$K,B$52,先々月データ!$A:$A,"&gt;="&amp;設定!$B$5,先々月データ!$A:$A,"&lt;="&amp;EOMONTH(設定!$B$5,0),先々月データ!$Z:$Z,$A56))/IF(B$52&lt;設定!$B$10,$G$41,$F$41)))/(設定!$B$15+設定!$B$16),IF(N(IF(B$52&lt;設定!$B$10,$C$41,$B$41))&gt;0,IF(OR(設定!$B$4="",IF(B$52&lt;設定!$B$10,$C$41,$B$41)=0),"",IF(B$52&lt;設定!$B$10,SUMIFS(先月データ!$Q:$Q,先月データ!$K:$K,B$52,先月データ!$A:$A,"&gt;="&amp;設定!$B$4,先月データ!$A:$A,"&lt;="&amp;EOMONTH(設定!$B$4,0),先月データ!$Z:$Z,$A56,先月データ!$AA:$AA,1),SUMIFS(先月データ!$Q:$Q,先月データ!$K:$K,B$52,先月データ!$A:$A,"&gt;="&amp;設定!$B$4,先月データ!$A:$A,"&lt;="&amp;EOMONTH(設定!$B$4,0),先月データ!$Z:$Z,$A56))/IF(B$52&lt;設定!$B$10,$C$41,$B$41)),IF(N(IF(B$52&lt;設定!$B$10,$G$41,$F$41))&gt;0,IF(OR(設定!$B$5="",IF(B$52&lt;設定!$B$10,$G$41,$F$41)=0),"",IF(B$52&lt;設定!$B$10,SUMIFS(先々月データ!$Q:$Q,先々月データ!$K:$K,B$52,先々月データ!$A:$A,"&gt;="&amp;設定!$B$5,先々月データ!$A:$A,"&lt;="&amp;EOMONTH(設定!$B$5,0),先々月データ!$Z:$Z,$A56,先々月データ!$AA:$AA,1),SUMIFS(先々月データ!$Q:$Q,先々月データ!$K:$K,B$52,先々月データ!$A:$A,"&gt;="&amp;設定!$B$5,先々月データ!$A:$A,"&lt;="&amp;EOMONTH(設定!$B$5,0),先々月データ!$Z:$Z,$A56))/IF(B$52&lt;設定!$B$10,$G$41,$F$41)),"")))</f>
        <v/>
      </c>
      <c r="C56" s="55" t="str">
        <f aca="false">IF(AND(N(IF(C$52&lt;設定!$B$10,$C$41,$B$41))&gt;0,N(IF(C$52&lt;設定!$B$10,$G$41,$F$41))&gt;0),(設定!$B$15*IF(OR(設定!$B$4="",IF(C$52&lt;設定!$B$10,$C$41,$B$41)=0),"",IF(C$52&lt;設定!$B$10,SUMIFS(先月データ!$Q:$Q,先月データ!$K:$K,C$52,先月データ!$A:$A,"&gt;="&amp;設定!$B$4,先月データ!$A:$A,"&lt;="&amp;EOMONTH(設定!$B$4,0),先月データ!$Z:$Z,$A56,先月データ!$AA:$AA,1),SUMIFS(先月データ!$Q:$Q,先月データ!$K:$K,C$52,先月データ!$A:$A,"&gt;="&amp;設定!$B$4,先月データ!$A:$A,"&lt;="&amp;EOMONTH(設定!$B$4,0),先月データ!$Z:$Z,$A56))/IF(C$52&lt;設定!$B$10,$C$41,$B$41))+設定!$B$16*IF(OR(設定!$B$5="",IF(C$52&lt;設定!$B$10,$G$41,$F$41)=0),"",IF(C$52&lt;設定!$B$10,SUMIFS(先々月データ!$Q:$Q,先々月データ!$K:$K,C$52,先々月データ!$A:$A,"&gt;="&amp;設定!$B$5,先々月データ!$A:$A,"&lt;="&amp;EOMONTH(設定!$B$5,0),先々月データ!$Z:$Z,$A56,先々月データ!$AA:$AA,1),SUMIFS(先々月データ!$Q:$Q,先々月データ!$K:$K,C$52,先々月データ!$A:$A,"&gt;="&amp;設定!$B$5,先々月データ!$A:$A,"&lt;="&amp;EOMONTH(設定!$B$5,0),先々月データ!$Z:$Z,$A56))/IF(C$52&lt;設定!$B$10,$G$41,$F$41)))/(設定!$B$15+設定!$B$16),IF(N(IF(C$52&lt;設定!$B$10,$C$41,$B$41))&gt;0,IF(OR(設定!$B$4="",IF(C$52&lt;設定!$B$10,$C$41,$B$41)=0),"",IF(C$52&lt;設定!$B$10,SUMIFS(先月データ!$Q:$Q,先月データ!$K:$K,C$52,先月データ!$A:$A,"&gt;="&amp;設定!$B$4,先月データ!$A:$A,"&lt;="&amp;EOMONTH(設定!$B$4,0),先月データ!$Z:$Z,$A56,先月データ!$AA:$AA,1),SUMIFS(先月データ!$Q:$Q,先月データ!$K:$K,C$52,先月データ!$A:$A,"&gt;="&amp;設定!$B$4,先月データ!$A:$A,"&lt;="&amp;EOMONTH(設定!$B$4,0),先月データ!$Z:$Z,$A56))/IF(C$52&lt;設定!$B$10,$C$41,$B$41)),IF(N(IF(C$52&lt;設定!$B$10,$G$41,$F$41))&gt;0,IF(OR(設定!$B$5="",IF(C$52&lt;設定!$B$10,$G$41,$F$41)=0),"",IF(C$52&lt;設定!$B$10,SUMIFS(先々月データ!$Q:$Q,先々月データ!$K:$K,C$52,先々月データ!$A:$A,"&gt;="&amp;設定!$B$5,先々月データ!$A:$A,"&lt;="&amp;EOMONTH(設定!$B$5,0),先々月データ!$Z:$Z,$A56,先々月データ!$AA:$AA,1),SUMIFS(先々月データ!$Q:$Q,先々月データ!$K:$K,C$52,先々月データ!$A:$A,"&gt;="&amp;設定!$B$5,先々月データ!$A:$A,"&lt;="&amp;EOMONTH(設定!$B$5,0),先々月データ!$Z:$Z,$A56))/IF(C$52&lt;設定!$B$10,$G$41,$F$41)),"")))</f>
        <v/>
      </c>
      <c r="D56" s="55" t="str">
        <f aca="false">IF(AND(N(IF(D$52&lt;設定!$B$10,$C$41,$B$41))&gt;0,N(IF(D$52&lt;設定!$B$10,$G$41,$F$41))&gt;0),(設定!$B$15*IF(OR(設定!$B$4="",IF(D$52&lt;設定!$B$10,$C$41,$B$41)=0),"",IF(D$52&lt;設定!$B$10,SUMIFS(先月データ!$Q:$Q,先月データ!$K:$K,D$52,先月データ!$A:$A,"&gt;="&amp;設定!$B$4,先月データ!$A:$A,"&lt;="&amp;EOMONTH(設定!$B$4,0),先月データ!$Z:$Z,$A56,先月データ!$AA:$AA,1),SUMIFS(先月データ!$Q:$Q,先月データ!$K:$K,D$52,先月データ!$A:$A,"&gt;="&amp;設定!$B$4,先月データ!$A:$A,"&lt;="&amp;EOMONTH(設定!$B$4,0),先月データ!$Z:$Z,$A56))/IF(D$52&lt;設定!$B$10,$C$41,$B$41))+設定!$B$16*IF(OR(設定!$B$5="",IF(D$52&lt;設定!$B$10,$G$41,$F$41)=0),"",IF(D$52&lt;設定!$B$10,SUMIFS(先々月データ!$Q:$Q,先々月データ!$K:$K,D$52,先々月データ!$A:$A,"&gt;="&amp;設定!$B$5,先々月データ!$A:$A,"&lt;="&amp;EOMONTH(設定!$B$5,0),先々月データ!$Z:$Z,$A56,先々月データ!$AA:$AA,1),SUMIFS(先々月データ!$Q:$Q,先々月データ!$K:$K,D$52,先々月データ!$A:$A,"&gt;="&amp;設定!$B$5,先々月データ!$A:$A,"&lt;="&amp;EOMONTH(設定!$B$5,0),先々月データ!$Z:$Z,$A56))/IF(D$52&lt;設定!$B$10,$G$41,$F$41)))/(設定!$B$15+設定!$B$16),IF(N(IF(D$52&lt;設定!$B$10,$C$41,$B$41))&gt;0,IF(OR(設定!$B$4="",IF(D$52&lt;設定!$B$10,$C$41,$B$41)=0),"",IF(D$52&lt;設定!$B$10,SUMIFS(先月データ!$Q:$Q,先月データ!$K:$K,D$52,先月データ!$A:$A,"&gt;="&amp;設定!$B$4,先月データ!$A:$A,"&lt;="&amp;EOMONTH(設定!$B$4,0),先月データ!$Z:$Z,$A56,先月データ!$AA:$AA,1),SUMIFS(先月データ!$Q:$Q,先月データ!$K:$K,D$52,先月データ!$A:$A,"&gt;="&amp;設定!$B$4,先月データ!$A:$A,"&lt;="&amp;EOMONTH(設定!$B$4,0),先月データ!$Z:$Z,$A56))/IF(D$52&lt;設定!$B$10,$C$41,$B$41)),IF(N(IF(D$52&lt;設定!$B$10,$G$41,$F$41))&gt;0,IF(OR(設定!$B$5="",IF(D$52&lt;設定!$B$10,$G$41,$F$41)=0),"",IF(D$52&lt;設定!$B$10,SUMIFS(先々月データ!$Q:$Q,先々月データ!$K:$K,D$52,先々月データ!$A:$A,"&gt;="&amp;設定!$B$5,先々月データ!$A:$A,"&lt;="&amp;EOMONTH(設定!$B$5,0),先々月データ!$Z:$Z,$A56,先々月データ!$AA:$AA,1),SUMIFS(先々月データ!$Q:$Q,先々月データ!$K:$K,D$52,先々月データ!$A:$A,"&gt;="&amp;設定!$B$5,先々月データ!$A:$A,"&lt;="&amp;EOMONTH(設定!$B$5,0),先々月データ!$Z:$Z,$A56))/IF(D$52&lt;設定!$B$10,$G$41,$F$41)),"")))</f>
        <v/>
      </c>
      <c r="E56" s="55" t="str">
        <f aca="false">IF(AND(N(IF(E$52&lt;設定!$B$10,$C$41,$B$41))&gt;0,N(IF(E$52&lt;設定!$B$10,$G$41,$F$41))&gt;0),(設定!$B$15*IF(OR(設定!$B$4="",IF(E$52&lt;設定!$B$10,$C$41,$B$41)=0),"",IF(E$52&lt;設定!$B$10,SUMIFS(先月データ!$Q:$Q,先月データ!$K:$K,E$52,先月データ!$A:$A,"&gt;="&amp;設定!$B$4,先月データ!$A:$A,"&lt;="&amp;EOMONTH(設定!$B$4,0),先月データ!$Z:$Z,$A56,先月データ!$AA:$AA,1),SUMIFS(先月データ!$Q:$Q,先月データ!$K:$K,E$52,先月データ!$A:$A,"&gt;="&amp;設定!$B$4,先月データ!$A:$A,"&lt;="&amp;EOMONTH(設定!$B$4,0),先月データ!$Z:$Z,$A56))/IF(E$52&lt;設定!$B$10,$C$41,$B$41))+設定!$B$16*IF(OR(設定!$B$5="",IF(E$52&lt;設定!$B$10,$G$41,$F$41)=0),"",IF(E$52&lt;設定!$B$10,SUMIFS(先々月データ!$Q:$Q,先々月データ!$K:$K,E$52,先々月データ!$A:$A,"&gt;="&amp;設定!$B$5,先々月データ!$A:$A,"&lt;="&amp;EOMONTH(設定!$B$5,0),先々月データ!$Z:$Z,$A56,先々月データ!$AA:$AA,1),SUMIFS(先々月データ!$Q:$Q,先々月データ!$K:$K,E$52,先々月データ!$A:$A,"&gt;="&amp;設定!$B$5,先々月データ!$A:$A,"&lt;="&amp;EOMONTH(設定!$B$5,0),先々月データ!$Z:$Z,$A56))/IF(E$52&lt;設定!$B$10,$G$41,$F$41)))/(設定!$B$15+設定!$B$16),IF(N(IF(E$52&lt;設定!$B$10,$C$41,$B$41))&gt;0,IF(OR(設定!$B$4="",IF(E$52&lt;設定!$B$10,$C$41,$B$41)=0),"",IF(E$52&lt;設定!$B$10,SUMIFS(先月データ!$Q:$Q,先月データ!$K:$K,E$52,先月データ!$A:$A,"&gt;="&amp;設定!$B$4,先月データ!$A:$A,"&lt;="&amp;EOMONTH(設定!$B$4,0),先月データ!$Z:$Z,$A56,先月データ!$AA:$AA,1),SUMIFS(先月データ!$Q:$Q,先月データ!$K:$K,E$52,先月データ!$A:$A,"&gt;="&amp;設定!$B$4,先月データ!$A:$A,"&lt;="&amp;EOMONTH(設定!$B$4,0),先月データ!$Z:$Z,$A56))/IF(E$52&lt;設定!$B$10,$C$41,$B$41)),IF(N(IF(E$52&lt;設定!$B$10,$G$41,$F$41))&gt;0,IF(OR(設定!$B$5="",IF(E$52&lt;設定!$B$10,$G$41,$F$41)=0),"",IF(E$52&lt;設定!$B$10,SUMIFS(先々月データ!$Q:$Q,先々月データ!$K:$K,E$52,先々月データ!$A:$A,"&gt;="&amp;設定!$B$5,先々月データ!$A:$A,"&lt;="&amp;EOMONTH(設定!$B$5,0),先々月データ!$Z:$Z,$A56,先々月データ!$AA:$AA,1),SUMIFS(先々月データ!$Q:$Q,先々月データ!$K:$K,E$52,先々月データ!$A:$A,"&gt;="&amp;設定!$B$5,先々月データ!$A:$A,"&lt;="&amp;EOMONTH(設定!$B$5,0),先々月データ!$Z:$Z,$A56))/IF(E$52&lt;設定!$B$10,$G$41,$F$41)),"")))</f>
        <v/>
      </c>
      <c r="F56" s="55" t="str">
        <f aca="false">IF(AND(N(IF(F$52&lt;設定!$B$10,$C$41,$B$41))&gt;0,N(IF(F$52&lt;設定!$B$10,$G$41,$F$41))&gt;0),(設定!$B$15*IF(OR(設定!$B$4="",IF(F$52&lt;設定!$B$10,$C$41,$B$41)=0),"",IF(F$52&lt;設定!$B$10,SUMIFS(先月データ!$Q:$Q,先月データ!$K:$K,F$52,先月データ!$A:$A,"&gt;="&amp;設定!$B$4,先月データ!$A:$A,"&lt;="&amp;EOMONTH(設定!$B$4,0),先月データ!$Z:$Z,$A56,先月データ!$AA:$AA,1),SUMIFS(先月データ!$Q:$Q,先月データ!$K:$K,F$52,先月データ!$A:$A,"&gt;="&amp;設定!$B$4,先月データ!$A:$A,"&lt;="&amp;EOMONTH(設定!$B$4,0),先月データ!$Z:$Z,$A56))/IF(F$52&lt;設定!$B$10,$C$41,$B$41))+設定!$B$16*IF(OR(設定!$B$5="",IF(F$52&lt;設定!$B$10,$G$41,$F$41)=0),"",IF(F$52&lt;設定!$B$10,SUMIFS(先々月データ!$Q:$Q,先々月データ!$K:$K,F$52,先々月データ!$A:$A,"&gt;="&amp;設定!$B$5,先々月データ!$A:$A,"&lt;="&amp;EOMONTH(設定!$B$5,0),先々月データ!$Z:$Z,$A56,先々月データ!$AA:$AA,1),SUMIFS(先々月データ!$Q:$Q,先々月データ!$K:$K,F$52,先々月データ!$A:$A,"&gt;="&amp;設定!$B$5,先々月データ!$A:$A,"&lt;="&amp;EOMONTH(設定!$B$5,0),先々月データ!$Z:$Z,$A56))/IF(F$52&lt;設定!$B$10,$G$41,$F$41)))/(設定!$B$15+設定!$B$16),IF(N(IF(F$52&lt;設定!$B$10,$C$41,$B$41))&gt;0,IF(OR(設定!$B$4="",IF(F$52&lt;設定!$B$10,$C$41,$B$41)=0),"",IF(F$52&lt;設定!$B$10,SUMIFS(先月データ!$Q:$Q,先月データ!$K:$K,F$52,先月データ!$A:$A,"&gt;="&amp;設定!$B$4,先月データ!$A:$A,"&lt;="&amp;EOMONTH(設定!$B$4,0),先月データ!$Z:$Z,$A56,先月データ!$AA:$AA,1),SUMIFS(先月データ!$Q:$Q,先月データ!$K:$K,F$52,先月データ!$A:$A,"&gt;="&amp;設定!$B$4,先月データ!$A:$A,"&lt;="&amp;EOMONTH(設定!$B$4,0),先月データ!$Z:$Z,$A56))/IF(F$52&lt;設定!$B$10,$C$41,$B$41)),IF(N(IF(F$52&lt;設定!$B$10,$G$41,$F$41))&gt;0,IF(OR(設定!$B$5="",IF(F$52&lt;設定!$B$10,$G$41,$F$41)=0),"",IF(F$52&lt;設定!$B$10,SUMIFS(先々月データ!$Q:$Q,先々月データ!$K:$K,F$52,先々月データ!$A:$A,"&gt;="&amp;設定!$B$5,先々月データ!$A:$A,"&lt;="&amp;EOMONTH(設定!$B$5,0),先々月データ!$Z:$Z,$A56,先々月データ!$AA:$AA,1),SUMIFS(先々月データ!$Q:$Q,先々月データ!$K:$K,F$52,先々月データ!$A:$A,"&gt;="&amp;設定!$B$5,先々月データ!$A:$A,"&lt;="&amp;EOMONTH(設定!$B$5,0),先々月データ!$Z:$Z,$A56))/IF(F$52&lt;設定!$B$10,$G$41,$F$41)),"")))</f>
        <v/>
      </c>
      <c r="G56" s="55" t="str">
        <f aca="false">IF(AND(N(IF(G$52&lt;設定!$B$10,$C$41,$B$41))&gt;0,N(IF(G$52&lt;設定!$B$10,$G$41,$F$41))&gt;0),(設定!$B$15*IF(OR(設定!$B$4="",IF(G$52&lt;設定!$B$10,$C$41,$B$41)=0),"",IF(G$52&lt;設定!$B$10,SUMIFS(先月データ!$Q:$Q,先月データ!$K:$K,G$52,先月データ!$A:$A,"&gt;="&amp;設定!$B$4,先月データ!$A:$A,"&lt;="&amp;EOMONTH(設定!$B$4,0),先月データ!$Z:$Z,$A56,先月データ!$AA:$AA,1),SUMIFS(先月データ!$Q:$Q,先月データ!$K:$K,G$52,先月データ!$A:$A,"&gt;="&amp;設定!$B$4,先月データ!$A:$A,"&lt;="&amp;EOMONTH(設定!$B$4,0),先月データ!$Z:$Z,$A56))/IF(G$52&lt;設定!$B$10,$C$41,$B$41))+設定!$B$16*IF(OR(設定!$B$5="",IF(G$52&lt;設定!$B$10,$G$41,$F$41)=0),"",IF(G$52&lt;設定!$B$10,SUMIFS(先々月データ!$Q:$Q,先々月データ!$K:$K,G$52,先々月データ!$A:$A,"&gt;="&amp;設定!$B$5,先々月データ!$A:$A,"&lt;="&amp;EOMONTH(設定!$B$5,0),先々月データ!$Z:$Z,$A56,先々月データ!$AA:$AA,1),SUMIFS(先々月データ!$Q:$Q,先々月データ!$K:$K,G$52,先々月データ!$A:$A,"&gt;="&amp;設定!$B$5,先々月データ!$A:$A,"&lt;="&amp;EOMONTH(設定!$B$5,0),先々月データ!$Z:$Z,$A56))/IF(G$52&lt;設定!$B$10,$G$41,$F$41)))/(設定!$B$15+設定!$B$16),IF(N(IF(G$52&lt;設定!$B$10,$C$41,$B$41))&gt;0,IF(OR(設定!$B$4="",IF(G$52&lt;設定!$B$10,$C$41,$B$41)=0),"",IF(G$52&lt;設定!$B$10,SUMIFS(先月データ!$Q:$Q,先月データ!$K:$K,G$52,先月データ!$A:$A,"&gt;="&amp;設定!$B$4,先月データ!$A:$A,"&lt;="&amp;EOMONTH(設定!$B$4,0),先月データ!$Z:$Z,$A56,先月データ!$AA:$AA,1),SUMIFS(先月データ!$Q:$Q,先月データ!$K:$K,G$52,先月データ!$A:$A,"&gt;="&amp;設定!$B$4,先月データ!$A:$A,"&lt;="&amp;EOMONTH(設定!$B$4,0),先月データ!$Z:$Z,$A56))/IF(G$52&lt;設定!$B$10,$C$41,$B$41)),IF(N(IF(G$52&lt;設定!$B$10,$G$41,$F$41))&gt;0,IF(OR(設定!$B$5="",IF(G$52&lt;設定!$B$10,$G$41,$F$41)=0),"",IF(G$52&lt;設定!$B$10,SUMIFS(先々月データ!$Q:$Q,先々月データ!$K:$K,G$52,先々月データ!$A:$A,"&gt;="&amp;設定!$B$5,先々月データ!$A:$A,"&lt;="&amp;EOMONTH(設定!$B$5,0),先々月データ!$Z:$Z,$A56,先々月データ!$AA:$AA,1),SUMIFS(先々月データ!$Q:$Q,先々月データ!$K:$K,G$52,先々月データ!$A:$A,"&gt;="&amp;設定!$B$5,先々月データ!$A:$A,"&lt;="&amp;EOMONTH(設定!$B$5,0),先々月データ!$Z:$Z,$A56))/IF(G$52&lt;設定!$B$10,$G$41,$F$41)),"")))</f>
        <v/>
      </c>
      <c r="H56" s="55" t="str">
        <f aca="false">IF(AND(N(IF(H$52&lt;設定!$B$10,$C$41,$B$41))&gt;0,N(IF(H$52&lt;設定!$B$10,$G$41,$F$41))&gt;0),(設定!$B$15*IF(OR(設定!$B$4="",IF(H$52&lt;設定!$B$10,$C$41,$B$41)=0),"",IF(H$52&lt;設定!$B$10,SUMIFS(先月データ!$Q:$Q,先月データ!$K:$K,H$52,先月データ!$A:$A,"&gt;="&amp;設定!$B$4,先月データ!$A:$A,"&lt;="&amp;EOMONTH(設定!$B$4,0),先月データ!$Z:$Z,$A56,先月データ!$AA:$AA,1),SUMIFS(先月データ!$Q:$Q,先月データ!$K:$K,H$52,先月データ!$A:$A,"&gt;="&amp;設定!$B$4,先月データ!$A:$A,"&lt;="&amp;EOMONTH(設定!$B$4,0),先月データ!$Z:$Z,$A56))/IF(H$52&lt;設定!$B$10,$C$41,$B$41))+設定!$B$16*IF(OR(設定!$B$5="",IF(H$52&lt;設定!$B$10,$G$41,$F$41)=0),"",IF(H$52&lt;設定!$B$10,SUMIFS(先々月データ!$Q:$Q,先々月データ!$K:$K,H$52,先々月データ!$A:$A,"&gt;="&amp;設定!$B$5,先々月データ!$A:$A,"&lt;="&amp;EOMONTH(設定!$B$5,0),先々月データ!$Z:$Z,$A56,先々月データ!$AA:$AA,1),SUMIFS(先々月データ!$Q:$Q,先々月データ!$K:$K,H$52,先々月データ!$A:$A,"&gt;="&amp;設定!$B$5,先々月データ!$A:$A,"&lt;="&amp;EOMONTH(設定!$B$5,0),先々月データ!$Z:$Z,$A56))/IF(H$52&lt;設定!$B$10,$G$41,$F$41)))/(設定!$B$15+設定!$B$16),IF(N(IF(H$52&lt;設定!$B$10,$C$41,$B$41))&gt;0,IF(OR(設定!$B$4="",IF(H$52&lt;設定!$B$10,$C$41,$B$41)=0),"",IF(H$52&lt;設定!$B$10,SUMIFS(先月データ!$Q:$Q,先月データ!$K:$K,H$52,先月データ!$A:$A,"&gt;="&amp;設定!$B$4,先月データ!$A:$A,"&lt;="&amp;EOMONTH(設定!$B$4,0),先月データ!$Z:$Z,$A56,先月データ!$AA:$AA,1),SUMIFS(先月データ!$Q:$Q,先月データ!$K:$K,H$52,先月データ!$A:$A,"&gt;="&amp;設定!$B$4,先月データ!$A:$A,"&lt;="&amp;EOMONTH(設定!$B$4,0),先月データ!$Z:$Z,$A56))/IF(H$52&lt;設定!$B$10,$C$41,$B$41)),IF(N(IF(H$52&lt;設定!$B$10,$G$41,$F$41))&gt;0,IF(OR(設定!$B$5="",IF(H$52&lt;設定!$B$10,$G$41,$F$41)=0),"",IF(H$52&lt;設定!$B$10,SUMIFS(先々月データ!$Q:$Q,先々月データ!$K:$K,H$52,先々月データ!$A:$A,"&gt;="&amp;設定!$B$5,先々月データ!$A:$A,"&lt;="&amp;EOMONTH(設定!$B$5,0),先々月データ!$Z:$Z,$A56,先々月データ!$AA:$AA,1),SUMIFS(先々月データ!$Q:$Q,先々月データ!$K:$K,H$52,先々月データ!$A:$A,"&gt;="&amp;設定!$B$5,先々月データ!$A:$A,"&lt;="&amp;EOMONTH(設定!$B$5,0),先々月データ!$Z:$Z,$A56))/IF(H$52&lt;設定!$B$10,$G$41,$F$41)),"")))</f>
        <v/>
      </c>
      <c r="I56" s="55" t="str">
        <f aca="false">IF(AND(N(IF(I$52&lt;設定!$B$10,$C$41,$B$41))&gt;0,N(IF(I$52&lt;設定!$B$10,$G$41,$F$41))&gt;0),(設定!$B$15*IF(OR(設定!$B$4="",IF(I$52&lt;設定!$B$10,$C$41,$B$41)=0),"",IF(I$52&lt;設定!$B$10,SUMIFS(先月データ!$Q:$Q,先月データ!$K:$K,I$52,先月データ!$A:$A,"&gt;="&amp;設定!$B$4,先月データ!$A:$A,"&lt;="&amp;EOMONTH(設定!$B$4,0),先月データ!$Z:$Z,$A56,先月データ!$AA:$AA,1),SUMIFS(先月データ!$Q:$Q,先月データ!$K:$K,I$52,先月データ!$A:$A,"&gt;="&amp;設定!$B$4,先月データ!$A:$A,"&lt;="&amp;EOMONTH(設定!$B$4,0),先月データ!$Z:$Z,$A56))/IF(I$52&lt;設定!$B$10,$C$41,$B$41))+設定!$B$16*IF(OR(設定!$B$5="",IF(I$52&lt;設定!$B$10,$G$41,$F$41)=0),"",IF(I$52&lt;設定!$B$10,SUMIFS(先々月データ!$Q:$Q,先々月データ!$K:$K,I$52,先々月データ!$A:$A,"&gt;="&amp;設定!$B$5,先々月データ!$A:$A,"&lt;="&amp;EOMONTH(設定!$B$5,0),先々月データ!$Z:$Z,$A56,先々月データ!$AA:$AA,1),SUMIFS(先々月データ!$Q:$Q,先々月データ!$K:$K,I$52,先々月データ!$A:$A,"&gt;="&amp;設定!$B$5,先々月データ!$A:$A,"&lt;="&amp;EOMONTH(設定!$B$5,0),先々月データ!$Z:$Z,$A56))/IF(I$52&lt;設定!$B$10,$G$41,$F$41)))/(設定!$B$15+設定!$B$16),IF(N(IF(I$52&lt;設定!$B$10,$C$41,$B$41))&gt;0,IF(OR(設定!$B$4="",IF(I$52&lt;設定!$B$10,$C$41,$B$41)=0),"",IF(I$52&lt;設定!$B$10,SUMIFS(先月データ!$Q:$Q,先月データ!$K:$K,I$52,先月データ!$A:$A,"&gt;="&amp;設定!$B$4,先月データ!$A:$A,"&lt;="&amp;EOMONTH(設定!$B$4,0),先月データ!$Z:$Z,$A56,先月データ!$AA:$AA,1),SUMIFS(先月データ!$Q:$Q,先月データ!$K:$K,I$52,先月データ!$A:$A,"&gt;="&amp;設定!$B$4,先月データ!$A:$A,"&lt;="&amp;EOMONTH(設定!$B$4,0),先月データ!$Z:$Z,$A56))/IF(I$52&lt;設定!$B$10,$C$41,$B$41)),IF(N(IF(I$52&lt;設定!$B$10,$G$41,$F$41))&gt;0,IF(OR(設定!$B$5="",IF(I$52&lt;設定!$B$10,$G$41,$F$41)=0),"",IF(I$52&lt;設定!$B$10,SUMIFS(先々月データ!$Q:$Q,先々月データ!$K:$K,I$52,先々月データ!$A:$A,"&gt;="&amp;設定!$B$5,先々月データ!$A:$A,"&lt;="&amp;EOMONTH(設定!$B$5,0),先々月データ!$Z:$Z,$A56,先々月データ!$AA:$AA,1),SUMIFS(先々月データ!$Q:$Q,先々月データ!$K:$K,I$52,先々月データ!$A:$A,"&gt;="&amp;設定!$B$5,先々月データ!$A:$A,"&lt;="&amp;EOMONTH(設定!$B$5,0),先々月データ!$Z:$Z,$A56))/IF(I$52&lt;設定!$B$10,$G$41,$F$41)),"")))</f>
        <v/>
      </c>
      <c r="J56" s="55" t="str">
        <f aca="false">IF(AND(N(IF(J$52&lt;設定!$B$10,$C$41,$B$41))&gt;0,N(IF(J$52&lt;設定!$B$10,$G$41,$F$41))&gt;0),(設定!$B$15*IF(OR(設定!$B$4="",IF(J$52&lt;設定!$B$10,$C$41,$B$41)=0),"",IF(J$52&lt;設定!$B$10,SUMIFS(先月データ!$Q:$Q,先月データ!$K:$K,J$52,先月データ!$A:$A,"&gt;="&amp;設定!$B$4,先月データ!$A:$A,"&lt;="&amp;EOMONTH(設定!$B$4,0),先月データ!$Z:$Z,$A56,先月データ!$AA:$AA,1),SUMIFS(先月データ!$Q:$Q,先月データ!$K:$K,J$52,先月データ!$A:$A,"&gt;="&amp;設定!$B$4,先月データ!$A:$A,"&lt;="&amp;EOMONTH(設定!$B$4,0),先月データ!$Z:$Z,$A56))/IF(J$52&lt;設定!$B$10,$C$41,$B$41))+設定!$B$16*IF(OR(設定!$B$5="",IF(J$52&lt;設定!$B$10,$G$41,$F$41)=0),"",IF(J$52&lt;設定!$B$10,SUMIFS(先々月データ!$Q:$Q,先々月データ!$K:$K,J$52,先々月データ!$A:$A,"&gt;="&amp;設定!$B$5,先々月データ!$A:$A,"&lt;="&amp;EOMONTH(設定!$B$5,0),先々月データ!$Z:$Z,$A56,先々月データ!$AA:$AA,1),SUMIFS(先々月データ!$Q:$Q,先々月データ!$K:$K,J$52,先々月データ!$A:$A,"&gt;="&amp;設定!$B$5,先々月データ!$A:$A,"&lt;="&amp;EOMONTH(設定!$B$5,0),先々月データ!$Z:$Z,$A56))/IF(J$52&lt;設定!$B$10,$G$41,$F$41)))/(設定!$B$15+設定!$B$16),IF(N(IF(J$52&lt;設定!$B$10,$C$41,$B$41))&gt;0,IF(OR(設定!$B$4="",IF(J$52&lt;設定!$B$10,$C$41,$B$41)=0),"",IF(J$52&lt;設定!$B$10,SUMIFS(先月データ!$Q:$Q,先月データ!$K:$K,J$52,先月データ!$A:$A,"&gt;="&amp;設定!$B$4,先月データ!$A:$A,"&lt;="&amp;EOMONTH(設定!$B$4,0),先月データ!$Z:$Z,$A56,先月データ!$AA:$AA,1),SUMIFS(先月データ!$Q:$Q,先月データ!$K:$K,J$52,先月データ!$A:$A,"&gt;="&amp;設定!$B$4,先月データ!$A:$A,"&lt;="&amp;EOMONTH(設定!$B$4,0),先月データ!$Z:$Z,$A56))/IF(J$52&lt;設定!$B$10,$C$41,$B$41)),IF(N(IF(J$52&lt;設定!$B$10,$G$41,$F$41))&gt;0,IF(OR(設定!$B$5="",IF(J$52&lt;設定!$B$10,$G$41,$F$41)=0),"",IF(J$52&lt;設定!$B$10,SUMIFS(先々月データ!$Q:$Q,先々月データ!$K:$K,J$52,先々月データ!$A:$A,"&gt;="&amp;設定!$B$5,先々月データ!$A:$A,"&lt;="&amp;EOMONTH(設定!$B$5,0),先々月データ!$Z:$Z,$A56,先々月データ!$AA:$AA,1),SUMIFS(先々月データ!$Q:$Q,先々月データ!$K:$K,J$52,先々月データ!$A:$A,"&gt;="&amp;設定!$B$5,先々月データ!$A:$A,"&lt;="&amp;EOMONTH(設定!$B$5,0),先々月データ!$Z:$Z,$A56))/IF(J$52&lt;設定!$B$10,$G$41,$F$41)),"")))</f>
        <v/>
      </c>
      <c r="K56" s="55" t="str">
        <f aca="false">IF(AND(N(IF(K$52&lt;設定!$B$10,$C$41,$B$41))&gt;0,N(IF(K$52&lt;設定!$B$10,$G$41,$F$41))&gt;0),(設定!$B$15*IF(OR(設定!$B$4="",IF(K$52&lt;設定!$B$10,$C$41,$B$41)=0),"",IF(K$52&lt;設定!$B$10,SUMIFS(先月データ!$Q:$Q,先月データ!$K:$K,K$52,先月データ!$A:$A,"&gt;="&amp;設定!$B$4,先月データ!$A:$A,"&lt;="&amp;EOMONTH(設定!$B$4,0),先月データ!$Z:$Z,$A56,先月データ!$AA:$AA,1),SUMIFS(先月データ!$Q:$Q,先月データ!$K:$K,K$52,先月データ!$A:$A,"&gt;="&amp;設定!$B$4,先月データ!$A:$A,"&lt;="&amp;EOMONTH(設定!$B$4,0),先月データ!$Z:$Z,$A56))/IF(K$52&lt;設定!$B$10,$C$41,$B$41))+設定!$B$16*IF(OR(設定!$B$5="",IF(K$52&lt;設定!$B$10,$G$41,$F$41)=0),"",IF(K$52&lt;設定!$B$10,SUMIFS(先々月データ!$Q:$Q,先々月データ!$K:$K,K$52,先々月データ!$A:$A,"&gt;="&amp;設定!$B$5,先々月データ!$A:$A,"&lt;="&amp;EOMONTH(設定!$B$5,0),先々月データ!$Z:$Z,$A56,先々月データ!$AA:$AA,1),SUMIFS(先々月データ!$Q:$Q,先々月データ!$K:$K,K$52,先々月データ!$A:$A,"&gt;="&amp;設定!$B$5,先々月データ!$A:$A,"&lt;="&amp;EOMONTH(設定!$B$5,0),先々月データ!$Z:$Z,$A56))/IF(K$52&lt;設定!$B$10,$G$41,$F$41)))/(設定!$B$15+設定!$B$16),IF(N(IF(K$52&lt;設定!$B$10,$C$41,$B$41))&gt;0,IF(OR(設定!$B$4="",IF(K$52&lt;設定!$B$10,$C$41,$B$41)=0),"",IF(K$52&lt;設定!$B$10,SUMIFS(先月データ!$Q:$Q,先月データ!$K:$K,K$52,先月データ!$A:$A,"&gt;="&amp;設定!$B$4,先月データ!$A:$A,"&lt;="&amp;EOMONTH(設定!$B$4,0),先月データ!$Z:$Z,$A56,先月データ!$AA:$AA,1),SUMIFS(先月データ!$Q:$Q,先月データ!$K:$K,K$52,先月データ!$A:$A,"&gt;="&amp;設定!$B$4,先月データ!$A:$A,"&lt;="&amp;EOMONTH(設定!$B$4,0),先月データ!$Z:$Z,$A56))/IF(K$52&lt;設定!$B$10,$C$41,$B$41)),IF(N(IF(K$52&lt;設定!$B$10,$G$41,$F$41))&gt;0,IF(OR(設定!$B$5="",IF(K$52&lt;設定!$B$10,$G$41,$F$41)=0),"",IF(K$52&lt;設定!$B$10,SUMIFS(先々月データ!$Q:$Q,先々月データ!$K:$K,K$52,先々月データ!$A:$A,"&gt;="&amp;設定!$B$5,先々月データ!$A:$A,"&lt;="&amp;EOMONTH(設定!$B$5,0),先々月データ!$Z:$Z,$A56,先々月データ!$AA:$AA,1),SUMIFS(先々月データ!$Q:$Q,先々月データ!$K:$K,K$52,先々月データ!$A:$A,"&gt;="&amp;設定!$B$5,先々月データ!$A:$A,"&lt;="&amp;EOMONTH(設定!$B$5,0),先々月データ!$Z:$Z,$A56))/IF(K$52&lt;設定!$B$10,$G$41,$F$41)),"")))</f>
        <v/>
      </c>
      <c r="L56" s="55" t="str">
        <f aca="false">IF(AND(N(IF(L$52&lt;設定!$B$10,$C$41,$B$41))&gt;0,N(IF(L$52&lt;設定!$B$10,$G$41,$F$41))&gt;0),(設定!$B$15*IF(OR(設定!$B$4="",IF(L$52&lt;設定!$B$10,$C$41,$B$41)=0),"",IF(L$52&lt;設定!$B$10,SUMIFS(先月データ!$Q:$Q,先月データ!$K:$K,L$52,先月データ!$A:$A,"&gt;="&amp;設定!$B$4,先月データ!$A:$A,"&lt;="&amp;EOMONTH(設定!$B$4,0),先月データ!$Z:$Z,$A56,先月データ!$AA:$AA,1),SUMIFS(先月データ!$Q:$Q,先月データ!$K:$K,L$52,先月データ!$A:$A,"&gt;="&amp;設定!$B$4,先月データ!$A:$A,"&lt;="&amp;EOMONTH(設定!$B$4,0),先月データ!$Z:$Z,$A56))/IF(L$52&lt;設定!$B$10,$C$41,$B$41))+設定!$B$16*IF(OR(設定!$B$5="",IF(L$52&lt;設定!$B$10,$G$41,$F$41)=0),"",IF(L$52&lt;設定!$B$10,SUMIFS(先々月データ!$Q:$Q,先々月データ!$K:$K,L$52,先々月データ!$A:$A,"&gt;="&amp;設定!$B$5,先々月データ!$A:$A,"&lt;="&amp;EOMONTH(設定!$B$5,0),先々月データ!$Z:$Z,$A56,先々月データ!$AA:$AA,1),SUMIFS(先々月データ!$Q:$Q,先々月データ!$K:$K,L$52,先々月データ!$A:$A,"&gt;="&amp;設定!$B$5,先々月データ!$A:$A,"&lt;="&amp;EOMONTH(設定!$B$5,0),先々月データ!$Z:$Z,$A56))/IF(L$52&lt;設定!$B$10,$G$41,$F$41)))/(設定!$B$15+設定!$B$16),IF(N(IF(L$52&lt;設定!$B$10,$C$41,$B$41))&gt;0,IF(OR(設定!$B$4="",IF(L$52&lt;設定!$B$10,$C$41,$B$41)=0),"",IF(L$52&lt;設定!$B$10,SUMIFS(先月データ!$Q:$Q,先月データ!$K:$K,L$52,先月データ!$A:$A,"&gt;="&amp;設定!$B$4,先月データ!$A:$A,"&lt;="&amp;EOMONTH(設定!$B$4,0),先月データ!$Z:$Z,$A56,先月データ!$AA:$AA,1),SUMIFS(先月データ!$Q:$Q,先月データ!$K:$K,L$52,先月データ!$A:$A,"&gt;="&amp;設定!$B$4,先月データ!$A:$A,"&lt;="&amp;EOMONTH(設定!$B$4,0),先月データ!$Z:$Z,$A56))/IF(L$52&lt;設定!$B$10,$C$41,$B$41)),IF(N(IF(L$52&lt;設定!$B$10,$G$41,$F$41))&gt;0,IF(OR(設定!$B$5="",IF(L$52&lt;設定!$B$10,$G$41,$F$41)=0),"",IF(L$52&lt;設定!$B$10,SUMIFS(先々月データ!$Q:$Q,先々月データ!$K:$K,L$52,先々月データ!$A:$A,"&gt;="&amp;設定!$B$5,先々月データ!$A:$A,"&lt;="&amp;EOMONTH(設定!$B$5,0),先々月データ!$Z:$Z,$A56,先々月データ!$AA:$AA,1),SUMIFS(先々月データ!$Q:$Q,先々月データ!$K:$K,L$52,先々月データ!$A:$A,"&gt;="&amp;設定!$B$5,先々月データ!$A:$A,"&lt;="&amp;EOMONTH(設定!$B$5,0),先々月データ!$Z:$Z,$A56))/IF(L$52&lt;設定!$B$10,$G$41,$F$41)),"")))</f>
        <v/>
      </c>
      <c r="M56" s="55" t="str">
        <f aca="false">IF(AND(N(IF(M$52&lt;設定!$B$10,$C$41,$B$41))&gt;0,N(IF(M$52&lt;設定!$B$10,$G$41,$F$41))&gt;0),(設定!$B$15*IF(OR(設定!$B$4="",IF(M$52&lt;設定!$B$10,$C$41,$B$41)=0),"",IF(M$52&lt;設定!$B$10,SUMIFS(先月データ!$Q:$Q,先月データ!$K:$K,M$52,先月データ!$A:$A,"&gt;="&amp;設定!$B$4,先月データ!$A:$A,"&lt;="&amp;EOMONTH(設定!$B$4,0),先月データ!$Z:$Z,$A56,先月データ!$AA:$AA,1),SUMIFS(先月データ!$Q:$Q,先月データ!$K:$K,M$52,先月データ!$A:$A,"&gt;="&amp;設定!$B$4,先月データ!$A:$A,"&lt;="&amp;EOMONTH(設定!$B$4,0),先月データ!$Z:$Z,$A56))/IF(M$52&lt;設定!$B$10,$C$41,$B$41))+設定!$B$16*IF(OR(設定!$B$5="",IF(M$52&lt;設定!$B$10,$G$41,$F$41)=0),"",IF(M$52&lt;設定!$B$10,SUMIFS(先々月データ!$Q:$Q,先々月データ!$K:$K,M$52,先々月データ!$A:$A,"&gt;="&amp;設定!$B$5,先々月データ!$A:$A,"&lt;="&amp;EOMONTH(設定!$B$5,0),先々月データ!$Z:$Z,$A56,先々月データ!$AA:$AA,1),SUMIFS(先々月データ!$Q:$Q,先々月データ!$K:$K,M$52,先々月データ!$A:$A,"&gt;="&amp;設定!$B$5,先々月データ!$A:$A,"&lt;="&amp;EOMONTH(設定!$B$5,0),先々月データ!$Z:$Z,$A56))/IF(M$52&lt;設定!$B$10,$G$41,$F$41)))/(設定!$B$15+設定!$B$16),IF(N(IF(M$52&lt;設定!$B$10,$C$41,$B$41))&gt;0,IF(OR(設定!$B$4="",IF(M$52&lt;設定!$B$10,$C$41,$B$41)=0),"",IF(M$52&lt;設定!$B$10,SUMIFS(先月データ!$Q:$Q,先月データ!$K:$K,M$52,先月データ!$A:$A,"&gt;="&amp;設定!$B$4,先月データ!$A:$A,"&lt;="&amp;EOMONTH(設定!$B$4,0),先月データ!$Z:$Z,$A56,先月データ!$AA:$AA,1),SUMIFS(先月データ!$Q:$Q,先月データ!$K:$K,M$52,先月データ!$A:$A,"&gt;="&amp;設定!$B$4,先月データ!$A:$A,"&lt;="&amp;EOMONTH(設定!$B$4,0),先月データ!$Z:$Z,$A56))/IF(M$52&lt;設定!$B$10,$C$41,$B$41)),IF(N(IF(M$52&lt;設定!$B$10,$G$41,$F$41))&gt;0,IF(OR(設定!$B$5="",IF(M$52&lt;設定!$B$10,$G$41,$F$41)=0),"",IF(M$52&lt;設定!$B$10,SUMIFS(先々月データ!$Q:$Q,先々月データ!$K:$K,M$52,先々月データ!$A:$A,"&gt;="&amp;設定!$B$5,先々月データ!$A:$A,"&lt;="&amp;EOMONTH(設定!$B$5,0),先々月データ!$Z:$Z,$A56,先々月データ!$AA:$AA,1),SUMIFS(先々月データ!$Q:$Q,先々月データ!$K:$K,M$52,先々月データ!$A:$A,"&gt;="&amp;設定!$B$5,先々月データ!$A:$A,"&lt;="&amp;EOMONTH(設定!$B$5,0),先々月データ!$Z:$Z,$A56))/IF(M$52&lt;設定!$B$10,$G$41,$F$41)),"")))</f>
        <v/>
      </c>
      <c r="N56" s="55" t="str">
        <f aca="false">IF(AND(N(IF(N$52&lt;設定!$B$10,$C$41,$B$41))&gt;0,N(IF(N$52&lt;設定!$B$10,$G$41,$F$41))&gt;0),(設定!$B$15*IF(OR(設定!$B$4="",IF(N$52&lt;設定!$B$10,$C$41,$B$41)=0),"",IF(N$52&lt;設定!$B$10,SUMIFS(先月データ!$Q:$Q,先月データ!$K:$K,N$52,先月データ!$A:$A,"&gt;="&amp;設定!$B$4,先月データ!$A:$A,"&lt;="&amp;EOMONTH(設定!$B$4,0),先月データ!$Z:$Z,$A56,先月データ!$AA:$AA,1),SUMIFS(先月データ!$Q:$Q,先月データ!$K:$K,N$52,先月データ!$A:$A,"&gt;="&amp;設定!$B$4,先月データ!$A:$A,"&lt;="&amp;EOMONTH(設定!$B$4,0),先月データ!$Z:$Z,$A56))/IF(N$52&lt;設定!$B$10,$C$41,$B$41))+設定!$B$16*IF(OR(設定!$B$5="",IF(N$52&lt;設定!$B$10,$G$41,$F$41)=0),"",IF(N$52&lt;設定!$B$10,SUMIFS(先々月データ!$Q:$Q,先々月データ!$K:$K,N$52,先々月データ!$A:$A,"&gt;="&amp;設定!$B$5,先々月データ!$A:$A,"&lt;="&amp;EOMONTH(設定!$B$5,0),先々月データ!$Z:$Z,$A56,先々月データ!$AA:$AA,1),SUMIFS(先々月データ!$Q:$Q,先々月データ!$K:$K,N$52,先々月データ!$A:$A,"&gt;="&amp;設定!$B$5,先々月データ!$A:$A,"&lt;="&amp;EOMONTH(設定!$B$5,0),先々月データ!$Z:$Z,$A56))/IF(N$52&lt;設定!$B$10,$G$41,$F$41)))/(設定!$B$15+設定!$B$16),IF(N(IF(N$52&lt;設定!$B$10,$C$41,$B$41))&gt;0,IF(OR(設定!$B$4="",IF(N$52&lt;設定!$B$10,$C$41,$B$41)=0),"",IF(N$52&lt;設定!$B$10,SUMIFS(先月データ!$Q:$Q,先月データ!$K:$K,N$52,先月データ!$A:$A,"&gt;="&amp;設定!$B$4,先月データ!$A:$A,"&lt;="&amp;EOMONTH(設定!$B$4,0),先月データ!$Z:$Z,$A56,先月データ!$AA:$AA,1),SUMIFS(先月データ!$Q:$Q,先月データ!$K:$K,N$52,先月データ!$A:$A,"&gt;="&amp;設定!$B$4,先月データ!$A:$A,"&lt;="&amp;EOMONTH(設定!$B$4,0),先月データ!$Z:$Z,$A56))/IF(N$52&lt;設定!$B$10,$C$41,$B$41)),IF(N(IF(N$52&lt;設定!$B$10,$G$41,$F$41))&gt;0,IF(OR(設定!$B$5="",IF(N$52&lt;設定!$B$10,$G$41,$F$41)=0),"",IF(N$52&lt;設定!$B$10,SUMIFS(先々月データ!$Q:$Q,先々月データ!$K:$K,N$52,先々月データ!$A:$A,"&gt;="&amp;設定!$B$5,先々月データ!$A:$A,"&lt;="&amp;EOMONTH(設定!$B$5,0),先々月データ!$Z:$Z,$A56,先々月データ!$AA:$AA,1),SUMIFS(先々月データ!$Q:$Q,先々月データ!$K:$K,N$52,先々月データ!$A:$A,"&gt;="&amp;設定!$B$5,先々月データ!$A:$A,"&lt;="&amp;EOMONTH(設定!$B$5,0),先々月データ!$Z:$Z,$A56))/IF(N$52&lt;設定!$B$10,$G$41,$F$41)),"")))</f>
        <v/>
      </c>
      <c r="O56" s="55" t="n">
        <f aca="false">SUMIF($B$52:$N$52,"&lt;"&amp;設定!$B$10,B56:N56)</f>
        <v>0</v>
      </c>
      <c r="P56" s="55" t="n">
        <f aca="false">SUMIF($B$52:$N$52,"&gt;="&amp;設定!$B$10,B56:N56)</f>
        <v>0</v>
      </c>
    </row>
    <row r="57" customFormat="false" ht="15" hidden="false" customHeight="false" outlineLevel="0" collapsed="false">
      <c r="A57" s="47" t="s">
        <v>210</v>
      </c>
      <c r="B57" s="55" t="str">
        <f aca="false">IF(AND(N(IF(B$52&lt;設定!$B$10,$C$42,$B$42))&gt;0,N(IF(B$52&lt;設定!$B$10,$G$42,$F$42))&gt;0),(設定!$B$15*IF(OR(設定!$B$4="",IF(B$52&lt;設定!$B$10,$C$42,$B$42)=0),"",IF(B$52&lt;設定!$B$10,SUMIFS(先月データ!$Q:$Q,先月データ!$K:$K,B$52,先月データ!$A:$A,"&gt;="&amp;設定!$B$4,先月データ!$A:$A,"&lt;="&amp;EOMONTH(設定!$B$4,0),先月データ!$Z:$Z,$A57,先月データ!$AA:$AA,1),SUMIFS(先月データ!$Q:$Q,先月データ!$K:$K,B$52,先月データ!$A:$A,"&gt;="&amp;設定!$B$4,先月データ!$A:$A,"&lt;="&amp;EOMONTH(設定!$B$4,0),先月データ!$Z:$Z,$A57))/IF(B$52&lt;設定!$B$10,$C$42,$B$42))+設定!$B$16*IF(OR(設定!$B$5="",IF(B$52&lt;設定!$B$10,$G$42,$F$42)=0),"",IF(B$52&lt;設定!$B$10,SUMIFS(先々月データ!$Q:$Q,先々月データ!$K:$K,B$52,先々月データ!$A:$A,"&gt;="&amp;設定!$B$5,先々月データ!$A:$A,"&lt;="&amp;EOMONTH(設定!$B$5,0),先々月データ!$Z:$Z,$A57,先々月データ!$AA:$AA,1),SUMIFS(先々月データ!$Q:$Q,先々月データ!$K:$K,B$52,先々月データ!$A:$A,"&gt;="&amp;設定!$B$5,先々月データ!$A:$A,"&lt;="&amp;EOMONTH(設定!$B$5,0),先々月データ!$Z:$Z,$A57))/IF(B$52&lt;設定!$B$10,$G$42,$F$42)))/(設定!$B$15+設定!$B$16),IF(N(IF(B$52&lt;設定!$B$10,$C$42,$B$42))&gt;0,IF(OR(設定!$B$4="",IF(B$52&lt;設定!$B$10,$C$42,$B$42)=0),"",IF(B$52&lt;設定!$B$10,SUMIFS(先月データ!$Q:$Q,先月データ!$K:$K,B$52,先月データ!$A:$A,"&gt;="&amp;設定!$B$4,先月データ!$A:$A,"&lt;="&amp;EOMONTH(設定!$B$4,0),先月データ!$Z:$Z,$A57,先月データ!$AA:$AA,1),SUMIFS(先月データ!$Q:$Q,先月データ!$K:$K,B$52,先月データ!$A:$A,"&gt;="&amp;設定!$B$4,先月データ!$A:$A,"&lt;="&amp;EOMONTH(設定!$B$4,0),先月データ!$Z:$Z,$A57))/IF(B$52&lt;設定!$B$10,$C$42,$B$42)),IF(N(IF(B$52&lt;設定!$B$10,$G$42,$F$42))&gt;0,IF(OR(設定!$B$5="",IF(B$52&lt;設定!$B$10,$G$42,$F$42)=0),"",IF(B$52&lt;設定!$B$10,SUMIFS(先々月データ!$Q:$Q,先々月データ!$K:$K,B$52,先々月データ!$A:$A,"&gt;="&amp;設定!$B$5,先々月データ!$A:$A,"&lt;="&amp;EOMONTH(設定!$B$5,0),先々月データ!$Z:$Z,$A57,先々月データ!$AA:$AA,1),SUMIFS(先々月データ!$Q:$Q,先々月データ!$K:$K,B$52,先々月データ!$A:$A,"&gt;="&amp;設定!$B$5,先々月データ!$A:$A,"&lt;="&amp;EOMONTH(設定!$B$5,0),先々月データ!$Z:$Z,$A57))/IF(B$52&lt;設定!$B$10,$G$42,$F$42)),"")))</f>
        <v/>
      </c>
      <c r="C57" s="55" t="str">
        <f aca="false">IF(AND(N(IF(C$52&lt;設定!$B$10,$C$42,$B$42))&gt;0,N(IF(C$52&lt;設定!$B$10,$G$42,$F$42))&gt;0),(設定!$B$15*IF(OR(設定!$B$4="",IF(C$52&lt;設定!$B$10,$C$42,$B$42)=0),"",IF(C$52&lt;設定!$B$10,SUMIFS(先月データ!$Q:$Q,先月データ!$K:$K,C$52,先月データ!$A:$A,"&gt;="&amp;設定!$B$4,先月データ!$A:$A,"&lt;="&amp;EOMONTH(設定!$B$4,0),先月データ!$Z:$Z,$A57,先月データ!$AA:$AA,1),SUMIFS(先月データ!$Q:$Q,先月データ!$K:$K,C$52,先月データ!$A:$A,"&gt;="&amp;設定!$B$4,先月データ!$A:$A,"&lt;="&amp;EOMONTH(設定!$B$4,0),先月データ!$Z:$Z,$A57))/IF(C$52&lt;設定!$B$10,$C$42,$B$42))+設定!$B$16*IF(OR(設定!$B$5="",IF(C$52&lt;設定!$B$10,$G$42,$F$42)=0),"",IF(C$52&lt;設定!$B$10,SUMIFS(先々月データ!$Q:$Q,先々月データ!$K:$K,C$52,先々月データ!$A:$A,"&gt;="&amp;設定!$B$5,先々月データ!$A:$A,"&lt;="&amp;EOMONTH(設定!$B$5,0),先々月データ!$Z:$Z,$A57,先々月データ!$AA:$AA,1),SUMIFS(先々月データ!$Q:$Q,先々月データ!$K:$K,C$52,先々月データ!$A:$A,"&gt;="&amp;設定!$B$5,先々月データ!$A:$A,"&lt;="&amp;EOMONTH(設定!$B$5,0),先々月データ!$Z:$Z,$A57))/IF(C$52&lt;設定!$B$10,$G$42,$F$42)))/(設定!$B$15+設定!$B$16),IF(N(IF(C$52&lt;設定!$B$10,$C$42,$B$42))&gt;0,IF(OR(設定!$B$4="",IF(C$52&lt;設定!$B$10,$C$42,$B$42)=0),"",IF(C$52&lt;設定!$B$10,SUMIFS(先月データ!$Q:$Q,先月データ!$K:$K,C$52,先月データ!$A:$A,"&gt;="&amp;設定!$B$4,先月データ!$A:$A,"&lt;="&amp;EOMONTH(設定!$B$4,0),先月データ!$Z:$Z,$A57,先月データ!$AA:$AA,1),SUMIFS(先月データ!$Q:$Q,先月データ!$K:$K,C$52,先月データ!$A:$A,"&gt;="&amp;設定!$B$4,先月データ!$A:$A,"&lt;="&amp;EOMONTH(設定!$B$4,0),先月データ!$Z:$Z,$A57))/IF(C$52&lt;設定!$B$10,$C$42,$B$42)),IF(N(IF(C$52&lt;設定!$B$10,$G$42,$F$42))&gt;0,IF(OR(設定!$B$5="",IF(C$52&lt;設定!$B$10,$G$42,$F$42)=0),"",IF(C$52&lt;設定!$B$10,SUMIFS(先々月データ!$Q:$Q,先々月データ!$K:$K,C$52,先々月データ!$A:$A,"&gt;="&amp;設定!$B$5,先々月データ!$A:$A,"&lt;="&amp;EOMONTH(設定!$B$5,0),先々月データ!$Z:$Z,$A57,先々月データ!$AA:$AA,1),SUMIFS(先々月データ!$Q:$Q,先々月データ!$K:$K,C$52,先々月データ!$A:$A,"&gt;="&amp;設定!$B$5,先々月データ!$A:$A,"&lt;="&amp;EOMONTH(設定!$B$5,0),先々月データ!$Z:$Z,$A57))/IF(C$52&lt;設定!$B$10,$G$42,$F$42)),"")))</f>
        <v/>
      </c>
      <c r="D57" s="55" t="str">
        <f aca="false">IF(AND(N(IF(D$52&lt;設定!$B$10,$C$42,$B$42))&gt;0,N(IF(D$52&lt;設定!$B$10,$G$42,$F$42))&gt;0),(設定!$B$15*IF(OR(設定!$B$4="",IF(D$52&lt;設定!$B$10,$C$42,$B$42)=0),"",IF(D$52&lt;設定!$B$10,SUMIFS(先月データ!$Q:$Q,先月データ!$K:$K,D$52,先月データ!$A:$A,"&gt;="&amp;設定!$B$4,先月データ!$A:$A,"&lt;="&amp;EOMONTH(設定!$B$4,0),先月データ!$Z:$Z,$A57,先月データ!$AA:$AA,1),SUMIFS(先月データ!$Q:$Q,先月データ!$K:$K,D$52,先月データ!$A:$A,"&gt;="&amp;設定!$B$4,先月データ!$A:$A,"&lt;="&amp;EOMONTH(設定!$B$4,0),先月データ!$Z:$Z,$A57))/IF(D$52&lt;設定!$B$10,$C$42,$B$42))+設定!$B$16*IF(OR(設定!$B$5="",IF(D$52&lt;設定!$B$10,$G$42,$F$42)=0),"",IF(D$52&lt;設定!$B$10,SUMIFS(先々月データ!$Q:$Q,先々月データ!$K:$K,D$52,先々月データ!$A:$A,"&gt;="&amp;設定!$B$5,先々月データ!$A:$A,"&lt;="&amp;EOMONTH(設定!$B$5,0),先々月データ!$Z:$Z,$A57,先々月データ!$AA:$AA,1),SUMIFS(先々月データ!$Q:$Q,先々月データ!$K:$K,D$52,先々月データ!$A:$A,"&gt;="&amp;設定!$B$5,先々月データ!$A:$A,"&lt;="&amp;EOMONTH(設定!$B$5,0),先々月データ!$Z:$Z,$A57))/IF(D$52&lt;設定!$B$10,$G$42,$F$42)))/(設定!$B$15+設定!$B$16),IF(N(IF(D$52&lt;設定!$B$10,$C$42,$B$42))&gt;0,IF(OR(設定!$B$4="",IF(D$52&lt;設定!$B$10,$C$42,$B$42)=0),"",IF(D$52&lt;設定!$B$10,SUMIFS(先月データ!$Q:$Q,先月データ!$K:$K,D$52,先月データ!$A:$A,"&gt;="&amp;設定!$B$4,先月データ!$A:$A,"&lt;="&amp;EOMONTH(設定!$B$4,0),先月データ!$Z:$Z,$A57,先月データ!$AA:$AA,1),SUMIFS(先月データ!$Q:$Q,先月データ!$K:$K,D$52,先月データ!$A:$A,"&gt;="&amp;設定!$B$4,先月データ!$A:$A,"&lt;="&amp;EOMONTH(設定!$B$4,0),先月データ!$Z:$Z,$A57))/IF(D$52&lt;設定!$B$10,$C$42,$B$42)),IF(N(IF(D$52&lt;設定!$B$10,$G$42,$F$42))&gt;0,IF(OR(設定!$B$5="",IF(D$52&lt;設定!$B$10,$G$42,$F$42)=0),"",IF(D$52&lt;設定!$B$10,SUMIFS(先々月データ!$Q:$Q,先々月データ!$K:$K,D$52,先々月データ!$A:$A,"&gt;="&amp;設定!$B$5,先々月データ!$A:$A,"&lt;="&amp;EOMONTH(設定!$B$5,0),先々月データ!$Z:$Z,$A57,先々月データ!$AA:$AA,1),SUMIFS(先々月データ!$Q:$Q,先々月データ!$K:$K,D$52,先々月データ!$A:$A,"&gt;="&amp;設定!$B$5,先々月データ!$A:$A,"&lt;="&amp;EOMONTH(設定!$B$5,0),先々月データ!$Z:$Z,$A57))/IF(D$52&lt;設定!$B$10,$G$42,$F$42)),"")))</f>
        <v/>
      </c>
      <c r="E57" s="55" t="str">
        <f aca="false">IF(AND(N(IF(E$52&lt;設定!$B$10,$C$42,$B$42))&gt;0,N(IF(E$52&lt;設定!$B$10,$G$42,$F$42))&gt;0),(設定!$B$15*IF(OR(設定!$B$4="",IF(E$52&lt;設定!$B$10,$C$42,$B$42)=0),"",IF(E$52&lt;設定!$B$10,SUMIFS(先月データ!$Q:$Q,先月データ!$K:$K,E$52,先月データ!$A:$A,"&gt;="&amp;設定!$B$4,先月データ!$A:$A,"&lt;="&amp;EOMONTH(設定!$B$4,0),先月データ!$Z:$Z,$A57,先月データ!$AA:$AA,1),SUMIFS(先月データ!$Q:$Q,先月データ!$K:$K,E$52,先月データ!$A:$A,"&gt;="&amp;設定!$B$4,先月データ!$A:$A,"&lt;="&amp;EOMONTH(設定!$B$4,0),先月データ!$Z:$Z,$A57))/IF(E$52&lt;設定!$B$10,$C$42,$B$42))+設定!$B$16*IF(OR(設定!$B$5="",IF(E$52&lt;設定!$B$10,$G$42,$F$42)=0),"",IF(E$52&lt;設定!$B$10,SUMIFS(先々月データ!$Q:$Q,先々月データ!$K:$K,E$52,先々月データ!$A:$A,"&gt;="&amp;設定!$B$5,先々月データ!$A:$A,"&lt;="&amp;EOMONTH(設定!$B$5,0),先々月データ!$Z:$Z,$A57,先々月データ!$AA:$AA,1),SUMIFS(先々月データ!$Q:$Q,先々月データ!$K:$K,E$52,先々月データ!$A:$A,"&gt;="&amp;設定!$B$5,先々月データ!$A:$A,"&lt;="&amp;EOMONTH(設定!$B$5,0),先々月データ!$Z:$Z,$A57))/IF(E$52&lt;設定!$B$10,$G$42,$F$42)))/(設定!$B$15+設定!$B$16),IF(N(IF(E$52&lt;設定!$B$10,$C$42,$B$42))&gt;0,IF(OR(設定!$B$4="",IF(E$52&lt;設定!$B$10,$C$42,$B$42)=0),"",IF(E$52&lt;設定!$B$10,SUMIFS(先月データ!$Q:$Q,先月データ!$K:$K,E$52,先月データ!$A:$A,"&gt;="&amp;設定!$B$4,先月データ!$A:$A,"&lt;="&amp;EOMONTH(設定!$B$4,0),先月データ!$Z:$Z,$A57,先月データ!$AA:$AA,1),SUMIFS(先月データ!$Q:$Q,先月データ!$K:$K,E$52,先月データ!$A:$A,"&gt;="&amp;設定!$B$4,先月データ!$A:$A,"&lt;="&amp;EOMONTH(設定!$B$4,0),先月データ!$Z:$Z,$A57))/IF(E$52&lt;設定!$B$10,$C$42,$B$42)),IF(N(IF(E$52&lt;設定!$B$10,$G$42,$F$42))&gt;0,IF(OR(設定!$B$5="",IF(E$52&lt;設定!$B$10,$G$42,$F$42)=0),"",IF(E$52&lt;設定!$B$10,SUMIFS(先々月データ!$Q:$Q,先々月データ!$K:$K,E$52,先々月データ!$A:$A,"&gt;="&amp;設定!$B$5,先々月データ!$A:$A,"&lt;="&amp;EOMONTH(設定!$B$5,0),先々月データ!$Z:$Z,$A57,先々月データ!$AA:$AA,1),SUMIFS(先々月データ!$Q:$Q,先々月データ!$K:$K,E$52,先々月データ!$A:$A,"&gt;="&amp;設定!$B$5,先々月データ!$A:$A,"&lt;="&amp;EOMONTH(設定!$B$5,0),先々月データ!$Z:$Z,$A57))/IF(E$52&lt;設定!$B$10,$G$42,$F$42)),"")))</f>
        <v/>
      </c>
      <c r="F57" s="55" t="str">
        <f aca="false">IF(AND(N(IF(F$52&lt;設定!$B$10,$C$42,$B$42))&gt;0,N(IF(F$52&lt;設定!$B$10,$G$42,$F$42))&gt;0),(設定!$B$15*IF(OR(設定!$B$4="",IF(F$52&lt;設定!$B$10,$C$42,$B$42)=0),"",IF(F$52&lt;設定!$B$10,SUMIFS(先月データ!$Q:$Q,先月データ!$K:$K,F$52,先月データ!$A:$A,"&gt;="&amp;設定!$B$4,先月データ!$A:$A,"&lt;="&amp;EOMONTH(設定!$B$4,0),先月データ!$Z:$Z,$A57,先月データ!$AA:$AA,1),SUMIFS(先月データ!$Q:$Q,先月データ!$K:$K,F$52,先月データ!$A:$A,"&gt;="&amp;設定!$B$4,先月データ!$A:$A,"&lt;="&amp;EOMONTH(設定!$B$4,0),先月データ!$Z:$Z,$A57))/IF(F$52&lt;設定!$B$10,$C$42,$B$42))+設定!$B$16*IF(OR(設定!$B$5="",IF(F$52&lt;設定!$B$10,$G$42,$F$42)=0),"",IF(F$52&lt;設定!$B$10,SUMIFS(先々月データ!$Q:$Q,先々月データ!$K:$K,F$52,先々月データ!$A:$A,"&gt;="&amp;設定!$B$5,先々月データ!$A:$A,"&lt;="&amp;EOMONTH(設定!$B$5,0),先々月データ!$Z:$Z,$A57,先々月データ!$AA:$AA,1),SUMIFS(先々月データ!$Q:$Q,先々月データ!$K:$K,F$52,先々月データ!$A:$A,"&gt;="&amp;設定!$B$5,先々月データ!$A:$A,"&lt;="&amp;EOMONTH(設定!$B$5,0),先々月データ!$Z:$Z,$A57))/IF(F$52&lt;設定!$B$10,$G$42,$F$42)))/(設定!$B$15+設定!$B$16),IF(N(IF(F$52&lt;設定!$B$10,$C$42,$B$42))&gt;0,IF(OR(設定!$B$4="",IF(F$52&lt;設定!$B$10,$C$42,$B$42)=0),"",IF(F$52&lt;設定!$B$10,SUMIFS(先月データ!$Q:$Q,先月データ!$K:$K,F$52,先月データ!$A:$A,"&gt;="&amp;設定!$B$4,先月データ!$A:$A,"&lt;="&amp;EOMONTH(設定!$B$4,0),先月データ!$Z:$Z,$A57,先月データ!$AA:$AA,1),SUMIFS(先月データ!$Q:$Q,先月データ!$K:$K,F$52,先月データ!$A:$A,"&gt;="&amp;設定!$B$4,先月データ!$A:$A,"&lt;="&amp;EOMONTH(設定!$B$4,0),先月データ!$Z:$Z,$A57))/IF(F$52&lt;設定!$B$10,$C$42,$B$42)),IF(N(IF(F$52&lt;設定!$B$10,$G$42,$F$42))&gt;0,IF(OR(設定!$B$5="",IF(F$52&lt;設定!$B$10,$G$42,$F$42)=0),"",IF(F$52&lt;設定!$B$10,SUMIFS(先々月データ!$Q:$Q,先々月データ!$K:$K,F$52,先々月データ!$A:$A,"&gt;="&amp;設定!$B$5,先々月データ!$A:$A,"&lt;="&amp;EOMONTH(設定!$B$5,0),先々月データ!$Z:$Z,$A57,先々月データ!$AA:$AA,1),SUMIFS(先々月データ!$Q:$Q,先々月データ!$K:$K,F$52,先々月データ!$A:$A,"&gt;="&amp;設定!$B$5,先々月データ!$A:$A,"&lt;="&amp;EOMONTH(設定!$B$5,0),先々月データ!$Z:$Z,$A57))/IF(F$52&lt;設定!$B$10,$G$42,$F$42)),"")))</f>
        <v/>
      </c>
      <c r="G57" s="55" t="str">
        <f aca="false">IF(AND(N(IF(G$52&lt;設定!$B$10,$C$42,$B$42))&gt;0,N(IF(G$52&lt;設定!$B$10,$G$42,$F$42))&gt;0),(設定!$B$15*IF(OR(設定!$B$4="",IF(G$52&lt;設定!$B$10,$C$42,$B$42)=0),"",IF(G$52&lt;設定!$B$10,SUMIFS(先月データ!$Q:$Q,先月データ!$K:$K,G$52,先月データ!$A:$A,"&gt;="&amp;設定!$B$4,先月データ!$A:$A,"&lt;="&amp;EOMONTH(設定!$B$4,0),先月データ!$Z:$Z,$A57,先月データ!$AA:$AA,1),SUMIFS(先月データ!$Q:$Q,先月データ!$K:$K,G$52,先月データ!$A:$A,"&gt;="&amp;設定!$B$4,先月データ!$A:$A,"&lt;="&amp;EOMONTH(設定!$B$4,0),先月データ!$Z:$Z,$A57))/IF(G$52&lt;設定!$B$10,$C$42,$B$42))+設定!$B$16*IF(OR(設定!$B$5="",IF(G$52&lt;設定!$B$10,$G$42,$F$42)=0),"",IF(G$52&lt;設定!$B$10,SUMIFS(先々月データ!$Q:$Q,先々月データ!$K:$K,G$52,先々月データ!$A:$A,"&gt;="&amp;設定!$B$5,先々月データ!$A:$A,"&lt;="&amp;EOMONTH(設定!$B$5,0),先々月データ!$Z:$Z,$A57,先々月データ!$AA:$AA,1),SUMIFS(先々月データ!$Q:$Q,先々月データ!$K:$K,G$52,先々月データ!$A:$A,"&gt;="&amp;設定!$B$5,先々月データ!$A:$A,"&lt;="&amp;EOMONTH(設定!$B$5,0),先々月データ!$Z:$Z,$A57))/IF(G$52&lt;設定!$B$10,$G$42,$F$42)))/(設定!$B$15+設定!$B$16),IF(N(IF(G$52&lt;設定!$B$10,$C$42,$B$42))&gt;0,IF(OR(設定!$B$4="",IF(G$52&lt;設定!$B$10,$C$42,$B$42)=0),"",IF(G$52&lt;設定!$B$10,SUMIFS(先月データ!$Q:$Q,先月データ!$K:$K,G$52,先月データ!$A:$A,"&gt;="&amp;設定!$B$4,先月データ!$A:$A,"&lt;="&amp;EOMONTH(設定!$B$4,0),先月データ!$Z:$Z,$A57,先月データ!$AA:$AA,1),SUMIFS(先月データ!$Q:$Q,先月データ!$K:$K,G$52,先月データ!$A:$A,"&gt;="&amp;設定!$B$4,先月データ!$A:$A,"&lt;="&amp;EOMONTH(設定!$B$4,0),先月データ!$Z:$Z,$A57))/IF(G$52&lt;設定!$B$10,$C$42,$B$42)),IF(N(IF(G$52&lt;設定!$B$10,$G$42,$F$42))&gt;0,IF(OR(設定!$B$5="",IF(G$52&lt;設定!$B$10,$G$42,$F$42)=0),"",IF(G$52&lt;設定!$B$10,SUMIFS(先々月データ!$Q:$Q,先々月データ!$K:$K,G$52,先々月データ!$A:$A,"&gt;="&amp;設定!$B$5,先々月データ!$A:$A,"&lt;="&amp;EOMONTH(設定!$B$5,0),先々月データ!$Z:$Z,$A57,先々月データ!$AA:$AA,1),SUMIFS(先々月データ!$Q:$Q,先々月データ!$K:$K,G$52,先々月データ!$A:$A,"&gt;="&amp;設定!$B$5,先々月データ!$A:$A,"&lt;="&amp;EOMONTH(設定!$B$5,0),先々月データ!$Z:$Z,$A57))/IF(G$52&lt;設定!$B$10,$G$42,$F$42)),"")))</f>
        <v/>
      </c>
      <c r="H57" s="55" t="str">
        <f aca="false">IF(AND(N(IF(H$52&lt;設定!$B$10,$C$42,$B$42))&gt;0,N(IF(H$52&lt;設定!$B$10,$G$42,$F$42))&gt;0),(設定!$B$15*IF(OR(設定!$B$4="",IF(H$52&lt;設定!$B$10,$C$42,$B$42)=0),"",IF(H$52&lt;設定!$B$10,SUMIFS(先月データ!$Q:$Q,先月データ!$K:$K,H$52,先月データ!$A:$A,"&gt;="&amp;設定!$B$4,先月データ!$A:$A,"&lt;="&amp;EOMONTH(設定!$B$4,0),先月データ!$Z:$Z,$A57,先月データ!$AA:$AA,1),SUMIFS(先月データ!$Q:$Q,先月データ!$K:$K,H$52,先月データ!$A:$A,"&gt;="&amp;設定!$B$4,先月データ!$A:$A,"&lt;="&amp;EOMONTH(設定!$B$4,0),先月データ!$Z:$Z,$A57))/IF(H$52&lt;設定!$B$10,$C$42,$B$42))+設定!$B$16*IF(OR(設定!$B$5="",IF(H$52&lt;設定!$B$10,$G$42,$F$42)=0),"",IF(H$52&lt;設定!$B$10,SUMIFS(先々月データ!$Q:$Q,先々月データ!$K:$K,H$52,先々月データ!$A:$A,"&gt;="&amp;設定!$B$5,先々月データ!$A:$A,"&lt;="&amp;EOMONTH(設定!$B$5,0),先々月データ!$Z:$Z,$A57,先々月データ!$AA:$AA,1),SUMIFS(先々月データ!$Q:$Q,先々月データ!$K:$K,H$52,先々月データ!$A:$A,"&gt;="&amp;設定!$B$5,先々月データ!$A:$A,"&lt;="&amp;EOMONTH(設定!$B$5,0),先々月データ!$Z:$Z,$A57))/IF(H$52&lt;設定!$B$10,$G$42,$F$42)))/(設定!$B$15+設定!$B$16),IF(N(IF(H$52&lt;設定!$B$10,$C$42,$B$42))&gt;0,IF(OR(設定!$B$4="",IF(H$52&lt;設定!$B$10,$C$42,$B$42)=0),"",IF(H$52&lt;設定!$B$10,SUMIFS(先月データ!$Q:$Q,先月データ!$K:$K,H$52,先月データ!$A:$A,"&gt;="&amp;設定!$B$4,先月データ!$A:$A,"&lt;="&amp;EOMONTH(設定!$B$4,0),先月データ!$Z:$Z,$A57,先月データ!$AA:$AA,1),SUMIFS(先月データ!$Q:$Q,先月データ!$K:$K,H$52,先月データ!$A:$A,"&gt;="&amp;設定!$B$4,先月データ!$A:$A,"&lt;="&amp;EOMONTH(設定!$B$4,0),先月データ!$Z:$Z,$A57))/IF(H$52&lt;設定!$B$10,$C$42,$B$42)),IF(N(IF(H$52&lt;設定!$B$10,$G$42,$F$42))&gt;0,IF(OR(設定!$B$5="",IF(H$52&lt;設定!$B$10,$G$42,$F$42)=0),"",IF(H$52&lt;設定!$B$10,SUMIFS(先々月データ!$Q:$Q,先々月データ!$K:$K,H$52,先々月データ!$A:$A,"&gt;="&amp;設定!$B$5,先々月データ!$A:$A,"&lt;="&amp;EOMONTH(設定!$B$5,0),先々月データ!$Z:$Z,$A57,先々月データ!$AA:$AA,1),SUMIFS(先々月データ!$Q:$Q,先々月データ!$K:$K,H$52,先々月データ!$A:$A,"&gt;="&amp;設定!$B$5,先々月データ!$A:$A,"&lt;="&amp;EOMONTH(設定!$B$5,0),先々月データ!$Z:$Z,$A57))/IF(H$52&lt;設定!$B$10,$G$42,$F$42)),"")))</f>
        <v/>
      </c>
      <c r="I57" s="55" t="str">
        <f aca="false">IF(AND(N(IF(I$52&lt;設定!$B$10,$C$42,$B$42))&gt;0,N(IF(I$52&lt;設定!$B$10,$G$42,$F$42))&gt;0),(設定!$B$15*IF(OR(設定!$B$4="",IF(I$52&lt;設定!$B$10,$C$42,$B$42)=0),"",IF(I$52&lt;設定!$B$10,SUMIFS(先月データ!$Q:$Q,先月データ!$K:$K,I$52,先月データ!$A:$A,"&gt;="&amp;設定!$B$4,先月データ!$A:$A,"&lt;="&amp;EOMONTH(設定!$B$4,0),先月データ!$Z:$Z,$A57,先月データ!$AA:$AA,1),SUMIFS(先月データ!$Q:$Q,先月データ!$K:$K,I$52,先月データ!$A:$A,"&gt;="&amp;設定!$B$4,先月データ!$A:$A,"&lt;="&amp;EOMONTH(設定!$B$4,0),先月データ!$Z:$Z,$A57))/IF(I$52&lt;設定!$B$10,$C$42,$B$42))+設定!$B$16*IF(OR(設定!$B$5="",IF(I$52&lt;設定!$B$10,$G$42,$F$42)=0),"",IF(I$52&lt;設定!$B$10,SUMIFS(先々月データ!$Q:$Q,先々月データ!$K:$K,I$52,先々月データ!$A:$A,"&gt;="&amp;設定!$B$5,先々月データ!$A:$A,"&lt;="&amp;EOMONTH(設定!$B$5,0),先々月データ!$Z:$Z,$A57,先々月データ!$AA:$AA,1),SUMIFS(先々月データ!$Q:$Q,先々月データ!$K:$K,I$52,先々月データ!$A:$A,"&gt;="&amp;設定!$B$5,先々月データ!$A:$A,"&lt;="&amp;EOMONTH(設定!$B$5,0),先々月データ!$Z:$Z,$A57))/IF(I$52&lt;設定!$B$10,$G$42,$F$42)))/(設定!$B$15+設定!$B$16),IF(N(IF(I$52&lt;設定!$B$10,$C$42,$B$42))&gt;0,IF(OR(設定!$B$4="",IF(I$52&lt;設定!$B$10,$C$42,$B$42)=0),"",IF(I$52&lt;設定!$B$10,SUMIFS(先月データ!$Q:$Q,先月データ!$K:$K,I$52,先月データ!$A:$A,"&gt;="&amp;設定!$B$4,先月データ!$A:$A,"&lt;="&amp;EOMONTH(設定!$B$4,0),先月データ!$Z:$Z,$A57,先月データ!$AA:$AA,1),SUMIFS(先月データ!$Q:$Q,先月データ!$K:$K,I$52,先月データ!$A:$A,"&gt;="&amp;設定!$B$4,先月データ!$A:$A,"&lt;="&amp;EOMONTH(設定!$B$4,0),先月データ!$Z:$Z,$A57))/IF(I$52&lt;設定!$B$10,$C$42,$B$42)),IF(N(IF(I$52&lt;設定!$B$10,$G$42,$F$42))&gt;0,IF(OR(設定!$B$5="",IF(I$52&lt;設定!$B$10,$G$42,$F$42)=0),"",IF(I$52&lt;設定!$B$10,SUMIFS(先々月データ!$Q:$Q,先々月データ!$K:$K,I$52,先々月データ!$A:$A,"&gt;="&amp;設定!$B$5,先々月データ!$A:$A,"&lt;="&amp;EOMONTH(設定!$B$5,0),先々月データ!$Z:$Z,$A57,先々月データ!$AA:$AA,1),SUMIFS(先々月データ!$Q:$Q,先々月データ!$K:$K,I$52,先々月データ!$A:$A,"&gt;="&amp;設定!$B$5,先々月データ!$A:$A,"&lt;="&amp;EOMONTH(設定!$B$5,0),先々月データ!$Z:$Z,$A57))/IF(I$52&lt;設定!$B$10,$G$42,$F$42)),"")))</f>
        <v/>
      </c>
      <c r="J57" s="55" t="str">
        <f aca="false">IF(AND(N(IF(J$52&lt;設定!$B$10,$C$42,$B$42))&gt;0,N(IF(J$52&lt;設定!$B$10,$G$42,$F$42))&gt;0),(設定!$B$15*IF(OR(設定!$B$4="",IF(J$52&lt;設定!$B$10,$C$42,$B$42)=0),"",IF(J$52&lt;設定!$B$10,SUMIFS(先月データ!$Q:$Q,先月データ!$K:$K,J$52,先月データ!$A:$A,"&gt;="&amp;設定!$B$4,先月データ!$A:$A,"&lt;="&amp;EOMONTH(設定!$B$4,0),先月データ!$Z:$Z,$A57,先月データ!$AA:$AA,1),SUMIFS(先月データ!$Q:$Q,先月データ!$K:$K,J$52,先月データ!$A:$A,"&gt;="&amp;設定!$B$4,先月データ!$A:$A,"&lt;="&amp;EOMONTH(設定!$B$4,0),先月データ!$Z:$Z,$A57))/IF(J$52&lt;設定!$B$10,$C$42,$B$42))+設定!$B$16*IF(OR(設定!$B$5="",IF(J$52&lt;設定!$B$10,$G$42,$F$42)=0),"",IF(J$52&lt;設定!$B$10,SUMIFS(先々月データ!$Q:$Q,先々月データ!$K:$K,J$52,先々月データ!$A:$A,"&gt;="&amp;設定!$B$5,先々月データ!$A:$A,"&lt;="&amp;EOMONTH(設定!$B$5,0),先々月データ!$Z:$Z,$A57,先々月データ!$AA:$AA,1),SUMIFS(先々月データ!$Q:$Q,先々月データ!$K:$K,J$52,先々月データ!$A:$A,"&gt;="&amp;設定!$B$5,先々月データ!$A:$A,"&lt;="&amp;EOMONTH(設定!$B$5,0),先々月データ!$Z:$Z,$A57))/IF(J$52&lt;設定!$B$10,$G$42,$F$42)))/(設定!$B$15+設定!$B$16),IF(N(IF(J$52&lt;設定!$B$10,$C$42,$B$42))&gt;0,IF(OR(設定!$B$4="",IF(J$52&lt;設定!$B$10,$C$42,$B$42)=0),"",IF(J$52&lt;設定!$B$10,SUMIFS(先月データ!$Q:$Q,先月データ!$K:$K,J$52,先月データ!$A:$A,"&gt;="&amp;設定!$B$4,先月データ!$A:$A,"&lt;="&amp;EOMONTH(設定!$B$4,0),先月データ!$Z:$Z,$A57,先月データ!$AA:$AA,1),SUMIFS(先月データ!$Q:$Q,先月データ!$K:$K,J$52,先月データ!$A:$A,"&gt;="&amp;設定!$B$4,先月データ!$A:$A,"&lt;="&amp;EOMONTH(設定!$B$4,0),先月データ!$Z:$Z,$A57))/IF(J$52&lt;設定!$B$10,$C$42,$B$42)),IF(N(IF(J$52&lt;設定!$B$10,$G$42,$F$42))&gt;0,IF(OR(設定!$B$5="",IF(J$52&lt;設定!$B$10,$G$42,$F$42)=0),"",IF(J$52&lt;設定!$B$10,SUMIFS(先々月データ!$Q:$Q,先々月データ!$K:$K,J$52,先々月データ!$A:$A,"&gt;="&amp;設定!$B$5,先々月データ!$A:$A,"&lt;="&amp;EOMONTH(設定!$B$5,0),先々月データ!$Z:$Z,$A57,先々月データ!$AA:$AA,1),SUMIFS(先々月データ!$Q:$Q,先々月データ!$K:$K,J$52,先々月データ!$A:$A,"&gt;="&amp;設定!$B$5,先々月データ!$A:$A,"&lt;="&amp;EOMONTH(設定!$B$5,0),先々月データ!$Z:$Z,$A57))/IF(J$52&lt;設定!$B$10,$G$42,$F$42)),"")))</f>
        <v/>
      </c>
      <c r="K57" s="55" t="str">
        <f aca="false">IF(AND(N(IF(K$52&lt;設定!$B$10,$C$42,$B$42))&gt;0,N(IF(K$52&lt;設定!$B$10,$G$42,$F$42))&gt;0),(設定!$B$15*IF(OR(設定!$B$4="",IF(K$52&lt;設定!$B$10,$C$42,$B$42)=0),"",IF(K$52&lt;設定!$B$10,SUMIFS(先月データ!$Q:$Q,先月データ!$K:$K,K$52,先月データ!$A:$A,"&gt;="&amp;設定!$B$4,先月データ!$A:$A,"&lt;="&amp;EOMONTH(設定!$B$4,0),先月データ!$Z:$Z,$A57,先月データ!$AA:$AA,1),SUMIFS(先月データ!$Q:$Q,先月データ!$K:$K,K$52,先月データ!$A:$A,"&gt;="&amp;設定!$B$4,先月データ!$A:$A,"&lt;="&amp;EOMONTH(設定!$B$4,0),先月データ!$Z:$Z,$A57))/IF(K$52&lt;設定!$B$10,$C$42,$B$42))+設定!$B$16*IF(OR(設定!$B$5="",IF(K$52&lt;設定!$B$10,$G$42,$F$42)=0),"",IF(K$52&lt;設定!$B$10,SUMIFS(先々月データ!$Q:$Q,先々月データ!$K:$K,K$52,先々月データ!$A:$A,"&gt;="&amp;設定!$B$5,先々月データ!$A:$A,"&lt;="&amp;EOMONTH(設定!$B$5,0),先々月データ!$Z:$Z,$A57,先々月データ!$AA:$AA,1),SUMIFS(先々月データ!$Q:$Q,先々月データ!$K:$K,K$52,先々月データ!$A:$A,"&gt;="&amp;設定!$B$5,先々月データ!$A:$A,"&lt;="&amp;EOMONTH(設定!$B$5,0),先々月データ!$Z:$Z,$A57))/IF(K$52&lt;設定!$B$10,$G$42,$F$42)))/(設定!$B$15+設定!$B$16),IF(N(IF(K$52&lt;設定!$B$10,$C$42,$B$42))&gt;0,IF(OR(設定!$B$4="",IF(K$52&lt;設定!$B$10,$C$42,$B$42)=0),"",IF(K$52&lt;設定!$B$10,SUMIFS(先月データ!$Q:$Q,先月データ!$K:$K,K$52,先月データ!$A:$A,"&gt;="&amp;設定!$B$4,先月データ!$A:$A,"&lt;="&amp;EOMONTH(設定!$B$4,0),先月データ!$Z:$Z,$A57,先月データ!$AA:$AA,1),SUMIFS(先月データ!$Q:$Q,先月データ!$K:$K,K$52,先月データ!$A:$A,"&gt;="&amp;設定!$B$4,先月データ!$A:$A,"&lt;="&amp;EOMONTH(設定!$B$4,0),先月データ!$Z:$Z,$A57))/IF(K$52&lt;設定!$B$10,$C$42,$B$42)),IF(N(IF(K$52&lt;設定!$B$10,$G$42,$F$42))&gt;0,IF(OR(設定!$B$5="",IF(K$52&lt;設定!$B$10,$G$42,$F$42)=0),"",IF(K$52&lt;設定!$B$10,SUMIFS(先々月データ!$Q:$Q,先々月データ!$K:$K,K$52,先々月データ!$A:$A,"&gt;="&amp;設定!$B$5,先々月データ!$A:$A,"&lt;="&amp;EOMONTH(設定!$B$5,0),先々月データ!$Z:$Z,$A57,先々月データ!$AA:$AA,1),SUMIFS(先々月データ!$Q:$Q,先々月データ!$K:$K,K$52,先々月データ!$A:$A,"&gt;="&amp;設定!$B$5,先々月データ!$A:$A,"&lt;="&amp;EOMONTH(設定!$B$5,0),先々月データ!$Z:$Z,$A57))/IF(K$52&lt;設定!$B$10,$G$42,$F$42)),"")))</f>
        <v/>
      </c>
      <c r="L57" s="55" t="str">
        <f aca="false">IF(AND(N(IF(L$52&lt;設定!$B$10,$C$42,$B$42))&gt;0,N(IF(L$52&lt;設定!$B$10,$G$42,$F$42))&gt;0),(設定!$B$15*IF(OR(設定!$B$4="",IF(L$52&lt;設定!$B$10,$C$42,$B$42)=0),"",IF(L$52&lt;設定!$B$10,SUMIFS(先月データ!$Q:$Q,先月データ!$K:$K,L$52,先月データ!$A:$A,"&gt;="&amp;設定!$B$4,先月データ!$A:$A,"&lt;="&amp;EOMONTH(設定!$B$4,0),先月データ!$Z:$Z,$A57,先月データ!$AA:$AA,1),SUMIFS(先月データ!$Q:$Q,先月データ!$K:$K,L$52,先月データ!$A:$A,"&gt;="&amp;設定!$B$4,先月データ!$A:$A,"&lt;="&amp;EOMONTH(設定!$B$4,0),先月データ!$Z:$Z,$A57))/IF(L$52&lt;設定!$B$10,$C$42,$B$42))+設定!$B$16*IF(OR(設定!$B$5="",IF(L$52&lt;設定!$B$10,$G$42,$F$42)=0),"",IF(L$52&lt;設定!$B$10,SUMIFS(先々月データ!$Q:$Q,先々月データ!$K:$K,L$52,先々月データ!$A:$A,"&gt;="&amp;設定!$B$5,先々月データ!$A:$A,"&lt;="&amp;EOMONTH(設定!$B$5,0),先々月データ!$Z:$Z,$A57,先々月データ!$AA:$AA,1),SUMIFS(先々月データ!$Q:$Q,先々月データ!$K:$K,L$52,先々月データ!$A:$A,"&gt;="&amp;設定!$B$5,先々月データ!$A:$A,"&lt;="&amp;EOMONTH(設定!$B$5,0),先々月データ!$Z:$Z,$A57))/IF(L$52&lt;設定!$B$10,$G$42,$F$42)))/(設定!$B$15+設定!$B$16),IF(N(IF(L$52&lt;設定!$B$10,$C$42,$B$42))&gt;0,IF(OR(設定!$B$4="",IF(L$52&lt;設定!$B$10,$C$42,$B$42)=0),"",IF(L$52&lt;設定!$B$10,SUMIFS(先月データ!$Q:$Q,先月データ!$K:$K,L$52,先月データ!$A:$A,"&gt;="&amp;設定!$B$4,先月データ!$A:$A,"&lt;="&amp;EOMONTH(設定!$B$4,0),先月データ!$Z:$Z,$A57,先月データ!$AA:$AA,1),SUMIFS(先月データ!$Q:$Q,先月データ!$K:$K,L$52,先月データ!$A:$A,"&gt;="&amp;設定!$B$4,先月データ!$A:$A,"&lt;="&amp;EOMONTH(設定!$B$4,0),先月データ!$Z:$Z,$A57))/IF(L$52&lt;設定!$B$10,$C$42,$B$42)),IF(N(IF(L$52&lt;設定!$B$10,$G$42,$F$42))&gt;0,IF(OR(設定!$B$5="",IF(L$52&lt;設定!$B$10,$G$42,$F$42)=0),"",IF(L$52&lt;設定!$B$10,SUMIFS(先々月データ!$Q:$Q,先々月データ!$K:$K,L$52,先々月データ!$A:$A,"&gt;="&amp;設定!$B$5,先々月データ!$A:$A,"&lt;="&amp;EOMONTH(設定!$B$5,0),先々月データ!$Z:$Z,$A57,先々月データ!$AA:$AA,1),SUMIFS(先々月データ!$Q:$Q,先々月データ!$K:$K,L$52,先々月データ!$A:$A,"&gt;="&amp;設定!$B$5,先々月データ!$A:$A,"&lt;="&amp;EOMONTH(設定!$B$5,0),先々月データ!$Z:$Z,$A57))/IF(L$52&lt;設定!$B$10,$G$42,$F$42)),"")))</f>
        <v/>
      </c>
      <c r="M57" s="55" t="str">
        <f aca="false">IF(AND(N(IF(M$52&lt;設定!$B$10,$C$42,$B$42))&gt;0,N(IF(M$52&lt;設定!$B$10,$G$42,$F$42))&gt;0),(設定!$B$15*IF(OR(設定!$B$4="",IF(M$52&lt;設定!$B$10,$C$42,$B$42)=0),"",IF(M$52&lt;設定!$B$10,SUMIFS(先月データ!$Q:$Q,先月データ!$K:$K,M$52,先月データ!$A:$A,"&gt;="&amp;設定!$B$4,先月データ!$A:$A,"&lt;="&amp;EOMONTH(設定!$B$4,0),先月データ!$Z:$Z,$A57,先月データ!$AA:$AA,1),SUMIFS(先月データ!$Q:$Q,先月データ!$K:$K,M$52,先月データ!$A:$A,"&gt;="&amp;設定!$B$4,先月データ!$A:$A,"&lt;="&amp;EOMONTH(設定!$B$4,0),先月データ!$Z:$Z,$A57))/IF(M$52&lt;設定!$B$10,$C$42,$B$42))+設定!$B$16*IF(OR(設定!$B$5="",IF(M$52&lt;設定!$B$10,$G$42,$F$42)=0),"",IF(M$52&lt;設定!$B$10,SUMIFS(先々月データ!$Q:$Q,先々月データ!$K:$K,M$52,先々月データ!$A:$A,"&gt;="&amp;設定!$B$5,先々月データ!$A:$A,"&lt;="&amp;EOMONTH(設定!$B$5,0),先々月データ!$Z:$Z,$A57,先々月データ!$AA:$AA,1),SUMIFS(先々月データ!$Q:$Q,先々月データ!$K:$K,M$52,先々月データ!$A:$A,"&gt;="&amp;設定!$B$5,先々月データ!$A:$A,"&lt;="&amp;EOMONTH(設定!$B$5,0),先々月データ!$Z:$Z,$A57))/IF(M$52&lt;設定!$B$10,$G$42,$F$42)))/(設定!$B$15+設定!$B$16),IF(N(IF(M$52&lt;設定!$B$10,$C$42,$B$42))&gt;0,IF(OR(設定!$B$4="",IF(M$52&lt;設定!$B$10,$C$42,$B$42)=0),"",IF(M$52&lt;設定!$B$10,SUMIFS(先月データ!$Q:$Q,先月データ!$K:$K,M$52,先月データ!$A:$A,"&gt;="&amp;設定!$B$4,先月データ!$A:$A,"&lt;="&amp;EOMONTH(設定!$B$4,0),先月データ!$Z:$Z,$A57,先月データ!$AA:$AA,1),SUMIFS(先月データ!$Q:$Q,先月データ!$K:$K,M$52,先月データ!$A:$A,"&gt;="&amp;設定!$B$4,先月データ!$A:$A,"&lt;="&amp;EOMONTH(設定!$B$4,0),先月データ!$Z:$Z,$A57))/IF(M$52&lt;設定!$B$10,$C$42,$B$42)),IF(N(IF(M$52&lt;設定!$B$10,$G$42,$F$42))&gt;0,IF(OR(設定!$B$5="",IF(M$52&lt;設定!$B$10,$G$42,$F$42)=0),"",IF(M$52&lt;設定!$B$10,SUMIFS(先々月データ!$Q:$Q,先々月データ!$K:$K,M$52,先々月データ!$A:$A,"&gt;="&amp;設定!$B$5,先々月データ!$A:$A,"&lt;="&amp;EOMONTH(設定!$B$5,0),先々月データ!$Z:$Z,$A57,先々月データ!$AA:$AA,1),SUMIFS(先々月データ!$Q:$Q,先々月データ!$K:$K,M$52,先々月データ!$A:$A,"&gt;="&amp;設定!$B$5,先々月データ!$A:$A,"&lt;="&amp;EOMONTH(設定!$B$5,0),先々月データ!$Z:$Z,$A57))/IF(M$52&lt;設定!$B$10,$G$42,$F$42)),"")))</f>
        <v/>
      </c>
      <c r="N57" s="55" t="str">
        <f aca="false">IF(AND(N(IF(N$52&lt;設定!$B$10,$C$42,$B$42))&gt;0,N(IF(N$52&lt;設定!$B$10,$G$42,$F$42))&gt;0),(設定!$B$15*IF(OR(設定!$B$4="",IF(N$52&lt;設定!$B$10,$C$42,$B$42)=0),"",IF(N$52&lt;設定!$B$10,SUMIFS(先月データ!$Q:$Q,先月データ!$K:$K,N$52,先月データ!$A:$A,"&gt;="&amp;設定!$B$4,先月データ!$A:$A,"&lt;="&amp;EOMONTH(設定!$B$4,0),先月データ!$Z:$Z,$A57,先月データ!$AA:$AA,1),SUMIFS(先月データ!$Q:$Q,先月データ!$K:$K,N$52,先月データ!$A:$A,"&gt;="&amp;設定!$B$4,先月データ!$A:$A,"&lt;="&amp;EOMONTH(設定!$B$4,0),先月データ!$Z:$Z,$A57))/IF(N$52&lt;設定!$B$10,$C$42,$B$42))+設定!$B$16*IF(OR(設定!$B$5="",IF(N$52&lt;設定!$B$10,$G$42,$F$42)=0),"",IF(N$52&lt;設定!$B$10,SUMIFS(先々月データ!$Q:$Q,先々月データ!$K:$K,N$52,先々月データ!$A:$A,"&gt;="&amp;設定!$B$5,先々月データ!$A:$A,"&lt;="&amp;EOMONTH(設定!$B$5,0),先々月データ!$Z:$Z,$A57,先々月データ!$AA:$AA,1),SUMIFS(先々月データ!$Q:$Q,先々月データ!$K:$K,N$52,先々月データ!$A:$A,"&gt;="&amp;設定!$B$5,先々月データ!$A:$A,"&lt;="&amp;EOMONTH(設定!$B$5,0),先々月データ!$Z:$Z,$A57))/IF(N$52&lt;設定!$B$10,$G$42,$F$42)))/(設定!$B$15+設定!$B$16),IF(N(IF(N$52&lt;設定!$B$10,$C$42,$B$42))&gt;0,IF(OR(設定!$B$4="",IF(N$52&lt;設定!$B$10,$C$42,$B$42)=0),"",IF(N$52&lt;設定!$B$10,SUMIFS(先月データ!$Q:$Q,先月データ!$K:$K,N$52,先月データ!$A:$A,"&gt;="&amp;設定!$B$4,先月データ!$A:$A,"&lt;="&amp;EOMONTH(設定!$B$4,0),先月データ!$Z:$Z,$A57,先月データ!$AA:$AA,1),SUMIFS(先月データ!$Q:$Q,先月データ!$K:$K,N$52,先月データ!$A:$A,"&gt;="&amp;設定!$B$4,先月データ!$A:$A,"&lt;="&amp;EOMONTH(設定!$B$4,0),先月データ!$Z:$Z,$A57))/IF(N$52&lt;設定!$B$10,$C$42,$B$42)),IF(N(IF(N$52&lt;設定!$B$10,$G$42,$F$42))&gt;0,IF(OR(設定!$B$5="",IF(N$52&lt;設定!$B$10,$G$42,$F$42)=0),"",IF(N$52&lt;設定!$B$10,SUMIFS(先々月データ!$Q:$Q,先々月データ!$K:$K,N$52,先々月データ!$A:$A,"&gt;="&amp;設定!$B$5,先々月データ!$A:$A,"&lt;="&amp;EOMONTH(設定!$B$5,0),先々月データ!$Z:$Z,$A57,先々月データ!$AA:$AA,1),SUMIFS(先々月データ!$Q:$Q,先々月データ!$K:$K,N$52,先々月データ!$A:$A,"&gt;="&amp;設定!$B$5,先々月データ!$A:$A,"&lt;="&amp;EOMONTH(設定!$B$5,0),先々月データ!$Z:$Z,$A57))/IF(N$52&lt;設定!$B$10,$G$42,$F$42)),"")))</f>
        <v/>
      </c>
      <c r="O57" s="55" t="n">
        <f aca="false">SUMIF($B$52:$N$52,"&lt;"&amp;設定!$B$10,B57:N57)</f>
        <v>0</v>
      </c>
      <c r="P57" s="55" t="n">
        <f aca="false">SUMIF($B$52:$N$52,"&gt;="&amp;設定!$B$10,B57:N57)</f>
        <v>0</v>
      </c>
    </row>
    <row r="58" customFormat="false" ht="15" hidden="false" customHeight="false" outlineLevel="0" collapsed="false">
      <c r="A58" s="47" t="s">
        <v>211</v>
      </c>
      <c r="B58" s="55" t="str">
        <f aca="false">IF(AND(N(IF(B$52&lt;設定!$B$10,$C$43,$B$43))&gt;0,N(IF(B$52&lt;設定!$B$10,$G$43,$F$43))&gt;0),(設定!$B$15*IF(OR(設定!$B$4="",IF(B$52&lt;設定!$B$10,$C$43,$B$43)=0),"",IF(B$52&lt;設定!$B$10,SUMIFS(先月データ!$Q:$Q,先月データ!$K:$K,B$52,先月データ!$A:$A,"&gt;="&amp;設定!$B$4,先月データ!$A:$A,"&lt;="&amp;EOMONTH(設定!$B$4,0),先月データ!$Z:$Z,$A58,先月データ!$AA:$AA,1),SUMIFS(先月データ!$Q:$Q,先月データ!$K:$K,B$52,先月データ!$A:$A,"&gt;="&amp;設定!$B$4,先月データ!$A:$A,"&lt;="&amp;EOMONTH(設定!$B$4,0),先月データ!$Z:$Z,$A58))/IF(B$52&lt;設定!$B$10,$C$43,$B$43))+設定!$B$16*IF(OR(設定!$B$5="",IF(B$52&lt;設定!$B$10,$G$43,$F$43)=0),"",IF(B$52&lt;設定!$B$10,SUMIFS(先々月データ!$Q:$Q,先々月データ!$K:$K,B$52,先々月データ!$A:$A,"&gt;="&amp;設定!$B$5,先々月データ!$A:$A,"&lt;="&amp;EOMONTH(設定!$B$5,0),先々月データ!$Z:$Z,$A58,先々月データ!$AA:$AA,1),SUMIFS(先々月データ!$Q:$Q,先々月データ!$K:$K,B$52,先々月データ!$A:$A,"&gt;="&amp;設定!$B$5,先々月データ!$A:$A,"&lt;="&amp;EOMONTH(設定!$B$5,0),先々月データ!$Z:$Z,$A58))/IF(B$52&lt;設定!$B$10,$G$43,$F$43)))/(設定!$B$15+設定!$B$16),IF(N(IF(B$52&lt;設定!$B$10,$C$43,$B$43))&gt;0,IF(OR(設定!$B$4="",IF(B$52&lt;設定!$B$10,$C$43,$B$43)=0),"",IF(B$52&lt;設定!$B$10,SUMIFS(先月データ!$Q:$Q,先月データ!$K:$K,B$52,先月データ!$A:$A,"&gt;="&amp;設定!$B$4,先月データ!$A:$A,"&lt;="&amp;EOMONTH(設定!$B$4,0),先月データ!$Z:$Z,$A58,先月データ!$AA:$AA,1),SUMIFS(先月データ!$Q:$Q,先月データ!$K:$K,B$52,先月データ!$A:$A,"&gt;="&amp;設定!$B$4,先月データ!$A:$A,"&lt;="&amp;EOMONTH(設定!$B$4,0),先月データ!$Z:$Z,$A58))/IF(B$52&lt;設定!$B$10,$C$43,$B$43)),IF(N(IF(B$52&lt;設定!$B$10,$G$43,$F$43))&gt;0,IF(OR(設定!$B$5="",IF(B$52&lt;設定!$B$10,$G$43,$F$43)=0),"",IF(B$52&lt;設定!$B$10,SUMIFS(先々月データ!$Q:$Q,先々月データ!$K:$K,B$52,先々月データ!$A:$A,"&gt;="&amp;設定!$B$5,先々月データ!$A:$A,"&lt;="&amp;EOMONTH(設定!$B$5,0),先々月データ!$Z:$Z,$A58,先々月データ!$AA:$AA,1),SUMIFS(先々月データ!$Q:$Q,先々月データ!$K:$K,B$52,先々月データ!$A:$A,"&gt;="&amp;設定!$B$5,先々月データ!$A:$A,"&lt;="&amp;EOMONTH(設定!$B$5,0),先々月データ!$Z:$Z,$A58))/IF(B$52&lt;設定!$B$10,$G$43,$F$43)),"")))</f>
        <v/>
      </c>
      <c r="C58" s="55" t="str">
        <f aca="false">IF(AND(N(IF(C$52&lt;設定!$B$10,$C$43,$B$43))&gt;0,N(IF(C$52&lt;設定!$B$10,$G$43,$F$43))&gt;0),(設定!$B$15*IF(OR(設定!$B$4="",IF(C$52&lt;設定!$B$10,$C$43,$B$43)=0),"",IF(C$52&lt;設定!$B$10,SUMIFS(先月データ!$Q:$Q,先月データ!$K:$K,C$52,先月データ!$A:$A,"&gt;="&amp;設定!$B$4,先月データ!$A:$A,"&lt;="&amp;EOMONTH(設定!$B$4,0),先月データ!$Z:$Z,$A58,先月データ!$AA:$AA,1),SUMIFS(先月データ!$Q:$Q,先月データ!$K:$K,C$52,先月データ!$A:$A,"&gt;="&amp;設定!$B$4,先月データ!$A:$A,"&lt;="&amp;EOMONTH(設定!$B$4,0),先月データ!$Z:$Z,$A58))/IF(C$52&lt;設定!$B$10,$C$43,$B$43))+設定!$B$16*IF(OR(設定!$B$5="",IF(C$52&lt;設定!$B$10,$G$43,$F$43)=0),"",IF(C$52&lt;設定!$B$10,SUMIFS(先々月データ!$Q:$Q,先々月データ!$K:$K,C$52,先々月データ!$A:$A,"&gt;="&amp;設定!$B$5,先々月データ!$A:$A,"&lt;="&amp;EOMONTH(設定!$B$5,0),先々月データ!$Z:$Z,$A58,先々月データ!$AA:$AA,1),SUMIFS(先々月データ!$Q:$Q,先々月データ!$K:$K,C$52,先々月データ!$A:$A,"&gt;="&amp;設定!$B$5,先々月データ!$A:$A,"&lt;="&amp;EOMONTH(設定!$B$5,0),先々月データ!$Z:$Z,$A58))/IF(C$52&lt;設定!$B$10,$G$43,$F$43)))/(設定!$B$15+設定!$B$16),IF(N(IF(C$52&lt;設定!$B$10,$C$43,$B$43))&gt;0,IF(OR(設定!$B$4="",IF(C$52&lt;設定!$B$10,$C$43,$B$43)=0),"",IF(C$52&lt;設定!$B$10,SUMIFS(先月データ!$Q:$Q,先月データ!$K:$K,C$52,先月データ!$A:$A,"&gt;="&amp;設定!$B$4,先月データ!$A:$A,"&lt;="&amp;EOMONTH(設定!$B$4,0),先月データ!$Z:$Z,$A58,先月データ!$AA:$AA,1),SUMIFS(先月データ!$Q:$Q,先月データ!$K:$K,C$52,先月データ!$A:$A,"&gt;="&amp;設定!$B$4,先月データ!$A:$A,"&lt;="&amp;EOMONTH(設定!$B$4,0),先月データ!$Z:$Z,$A58))/IF(C$52&lt;設定!$B$10,$C$43,$B$43)),IF(N(IF(C$52&lt;設定!$B$10,$G$43,$F$43))&gt;0,IF(OR(設定!$B$5="",IF(C$52&lt;設定!$B$10,$G$43,$F$43)=0),"",IF(C$52&lt;設定!$B$10,SUMIFS(先々月データ!$Q:$Q,先々月データ!$K:$K,C$52,先々月データ!$A:$A,"&gt;="&amp;設定!$B$5,先々月データ!$A:$A,"&lt;="&amp;EOMONTH(設定!$B$5,0),先々月データ!$Z:$Z,$A58,先々月データ!$AA:$AA,1),SUMIFS(先々月データ!$Q:$Q,先々月データ!$K:$K,C$52,先々月データ!$A:$A,"&gt;="&amp;設定!$B$5,先々月データ!$A:$A,"&lt;="&amp;EOMONTH(設定!$B$5,0),先々月データ!$Z:$Z,$A58))/IF(C$52&lt;設定!$B$10,$G$43,$F$43)),"")))</f>
        <v/>
      </c>
      <c r="D58" s="55" t="str">
        <f aca="false">IF(AND(N(IF(D$52&lt;設定!$B$10,$C$43,$B$43))&gt;0,N(IF(D$52&lt;設定!$B$10,$G$43,$F$43))&gt;0),(設定!$B$15*IF(OR(設定!$B$4="",IF(D$52&lt;設定!$B$10,$C$43,$B$43)=0),"",IF(D$52&lt;設定!$B$10,SUMIFS(先月データ!$Q:$Q,先月データ!$K:$K,D$52,先月データ!$A:$A,"&gt;="&amp;設定!$B$4,先月データ!$A:$A,"&lt;="&amp;EOMONTH(設定!$B$4,0),先月データ!$Z:$Z,$A58,先月データ!$AA:$AA,1),SUMIFS(先月データ!$Q:$Q,先月データ!$K:$K,D$52,先月データ!$A:$A,"&gt;="&amp;設定!$B$4,先月データ!$A:$A,"&lt;="&amp;EOMONTH(設定!$B$4,0),先月データ!$Z:$Z,$A58))/IF(D$52&lt;設定!$B$10,$C$43,$B$43))+設定!$B$16*IF(OR(設定!$B$5="",IF(D$52&lt;設定!$B$10,$G$43,$F$43)=0),"",IF(D$52&lt;設定!$B$10,SUMIFS(先々月データ!$Q:$Q,先々月データ!$K:$K,D$52,先々月データ!$A:$A,"&gt;="&amp;設定!$B$5,先々月データ!$A:$A,"&lt;="&amp;EOMONTH(設定!$B$5,0),先々月データ!$Z:$Z,$A58,先々月データ!$AA:$AA,1),SUMIFS(先々月データ!$Q:$Q,先々月データ!$K:$K,D$52,先々月データ!$A:$A,"&gt;="&amp;設定!$B$5,先々月データ!$A:$A,"&lt;="&amp;EOMONTH(設定!$B$5,0),先々月データ!$Z:$Z,$A58))/IF(D$52&lt;設定!$B$10,$G$43,$F$43)))/(設定!$B$15+設定!$B$16),IF(N(IF(D$52&lt;設定!$B$10,$C$43,$B$43))&gt;0,IF(OR(設定!$B$4="",IF(D$52&lt;設定!$B$10,$C$43,$B$43)=0),"",IF(D$52&lt;設定!$B$10,SUMIFS(先月データ!$Q:$Q,先月データ!$K:$K,D$52,先月データ!$A:$A,"&gt;="&amp;設定!$B$4,先月データ!$A:$A,"&lt;="&amp;EOMONTH(設定!$B$4,0),先月データ!$Z:$Z,$A58,先月データ!$AA:$AA,1),SUMIFS(先月データ!$Q:$Q,先月データ!$K:$K,D$52,先月データ!$A:$A,"&gt;="&amp;設定!$B$4,先月データ!$A:$A,"&lt;="&amp;EOMONTH(設定!$B$4,0),先月データ!$Z:$Z,$A58))/IF(D$52&lt;設定!$B$10,$C$43,$B$43)),IF(N(IF(D$52&lt;設定!$B$10,$G$43,$F$43))&gt;0,IF(OR(設定!$B$5="",IF(D$52&lt;設定!$B$10,$G$43,$F$43)=0),"",IF(D$52&lt;設定!$B$10,SUMIFS(先々月データ!$Q:$Q,先々月データ!$K:$K,D$52,先々月データ!$A:$A,"&gt;="&amp;設定!$B$5,先々月データ!$A:$A,"&lt;="&amp;EOMONTH(設定!$B$5,0),先々月データ!$Z:$Z,$A58,先々月データ!$AA:$AA,1),SUMIFS(先々月データ!$Q:$Q,先々月データ!$K:$K,D$52,先々月データ!$A:$A,"&gt;="&amp;設定!$B$5,先々月データ!$A:$A,"&lt;="&amp;EOMONTH(設定!$B$5,0),先々月データ!$Z:$Z,$A58))/IF(D$52&lt;設定!$B$10,$G$43,$F$43)),"")))</f>
        <v/>
      </c>
      <c r="E58" s="55" t="str">
        <f aca="false">IF(AND(N(IF(E$52&lt;設定!$B$10,$C$43,$B$43))&gt;0,N(IF(E$52&lt;設定!$B$10,$G$43,$F$43))&gt;0),(設定!$B$15*IF(OR(設定!$B$4="",IF(E$52&lt;設定!$B$10,$C$43,$B$43)=0),"",IF(E$52&lt;設定!$B$10,SUMIFS(先月データ!$Q:$Q,先月データ!$K:$K,E$52,先月データ!$A:$A,"&gt;="&amp;設定!$B$4,先月データ!$A:$A,"&lt;="&amp;EOMONTH(設定!$B$4,0),先月データ!$Z:$Z,$A58,先月データ!$AA:$AA,1),SUMIFS(先月データ!$Q:$Q,先月データ!$K:$K,E$52,先月データ!$A:$A,"&gt;="&amp;設定!$B$4,先月データ!$A:$A,"&lt;="&amp;EOMONTH(設定!$B$4,0),先月データ!$Z:$Z,$A58))/IF(E$52&lt;設定!$B$10,$C$43,$B$43))+設定!$B$16*IF(OR(設定!$B$5="",IF(E$52&lt;設定!$B$10,$G$43,$F$43)=0),"",IF(E$52&lt;設定!$B$10,SUMIFS(先々月データ!$Q:$Q,先々月データ!$K:$K,E$52,先々月データ!$A:$A,"&gt;="&amp;設定!$B$5,先々月データ!$A:$A,"&lt;="&amp;EOMONTH(設定!$B$5,0),先々月データ!$Z:$Z,$A58,先々月データ!$AA:$AA,1),SUMIFS(先々月データ!$Q:$Q,先々月データ!$K:$K,E$52,先々月データ!$A:$A,"&gt;="&amp;設定!$B$5,先々月データ!$A:$A,"&lt;="&amp;EOMONTH(設定!$B$5,0),先々月データ!$Z:$Z,$A58))/IF(E$52&lt;設定!$B$10,$G$43,$F$43)))/(設定!$B$15+設定!$B$16),IF(N(IF(E$52&lt;設定!$B$10,$C$43,$B$43))&gt;0,IF(OR(設定!$B$4="",IF(E$52&lt;設定!$B$10,$C$43,$B$43)=0),"",IF(E$52&lt;設定!$B$10,SUMIFS(先月データ!$Q:$Q,先月データ!$K:$K,E$52,先月データ!$A:$A,"&gt;="&amp;設定!$B$4,先月データ!$A:$A,"&lt;="&amp;EOMONTH(設定!$B$4,0),先月データ!$Z:$Z,$A58,先月データ!$AA:$AA,1),SUMIFS(先月データ!$Q:$Q,先月データ!$K:$K,E$52,先月データ!$A:$A,"&gt;="&amp;設定!$B$4,先月データ!$A:$A,"&lt;="&amp;EOMONTH(設定!$B$4,0),先月データ!$Z:$Z,$A58))/IF(E$52&lt;設定!$B$10,$C$43,$B$43)),IF(N(IF(E$52&lt;設定!$B$10,$G$43,$F$43))&gt;0,IF(OR(設定!$B$5="",IF(E$52&lt;設定!$B$10,$G$43,$F$43)=0),"",IF(E$52&lt;設定!$B$10,SUMIFS(先々月データ!$Q:$Q,先々月データ!$K:$K,E$52,先々月データ!$A:$A,"&gt;="&amp;設定!$B$5,先々月データ!$A:$A,"&lt;="&amp;EOMONTH(設定!$B$5,0),先々月データ!$Z:$Z,$A58,先々月データ!$AA:$AA,1),SUMIFS(先々月データ!$Q:$Q,先々月データ!$K:$K,E$52,先々月データ!$A:$A,"&gt;="&amp;設定!$B$5,先々月データ!$A:$A,"&lt;="&amp;EOMONTH(設定!$B$5,0),先々月データ!$Z:$Z,$A58))/IF(E$52&lt;設定!$B$10,$G$43,$F$43)),"")))</f>
        <v/>
      </c>
      <c r="F58" s="55" t="str">
        <f aca="false">IF(AND(N(IF(F$52&lt;設定!$B$10,$C$43,$B$43))&gt;0,N(IF(F$52&lt;設定!$B$10,$G$43,$F$43))&gt;0),(設定!$B$15*IF(OR(設定!$B$4="",IF(F$52&lt;設定!$B$10,$C$43,$B$43)=0),"",IF(F$52&lt;設定!$B$10,SUMIFS(先月データ!$Q:$Q,先月データ!$K:$K,F$52,先月データ!$A:$A,"&gt;="&amp;設定!$B$4,先月データ!$A:$A,"&lt;="&amp;EOMONTH(設定!$B$4,0),先月データ!$Z:$Z,$A58,先月データ!$AA:$AA,1),SUMIFS(先月データ!$Q:$Q,先月データ!$K:$K,F$52,先月データ!$A:$A,"&gt;="&amp;設定!$B$4,先月データ!$A:$A,"&lt;="&amp;EOMONTH(設定!$B$4,0),先月データ!$Z:$Z,$A58))/IF(F$52&lt;設定!$B$10,$C$43,$B$43))+設定!$B$16*IF(OR(設定!$B$5="",IF(F$52&lt;設定!$B$10,$G$43,$F$43)=0),"",IF(F$52&lt;設定!$B$10,SUMIFS(先々月データ!$Q:$Q,先々月データ!$K:$K,F$52,先々月データ!$A:$A,"&gt;="&amp;設定!$B$5,先々月データ!$A:$A,"&lt;="&amp;EOMONTH(設定!$B$5,0),先々月データ!$Z:$Z,$A58,先々月データ!$AA:$AA,1),SUMIFS(先々月データ!$Q:$Q,先々月データ!$K:$K,F$52,先々月データ!$A:$A,"&gt;="&amp;設定!$B$5,先々月データ!$A:$A,"&lt;="&amp;EOMONTH(設定!$B$5,0),先々月データ!$Z:$Z,$A58))/IF(F$52&lt;設定!$B$10,$G$43,$F$43)))/(設定!$B$15+設定!$B$16),IF(N(IF(F$52&lt;設定!$B$10,$C$43,$B$43))&gt;0,IF(OR(設定!$B$4="",IF(F$52&lt;設定!$B$10,$C$43,$B$43)=0),"",IF(F$52&lt;設定!$B$10,SUMIFS(先月データ!$Q:$Q,先月データ!$K:$K,F$52,先月データ!$A:$A,"&gt;="&amp;設定!$B$4,先月データ!$A:$A,"&lt;="&amp;EOMONTH(設定!$B$4,0),先月データ!$Z:$Z,$A58,先月データ!$AA:$AA,1),SUMIFS(先月データ!$Q:$Q,先月データ!$K:$K,F$52,先月データ!$A:$A,"&gt;="&amp;設定!$B$4,先月データ!$A:$A,"&lt;="&amp;EOMONTH(設定!$B$4,0),先月データ!$Z:$Z,$A58))/IF(F$52&lt;設定!$B$10,$C$43,$B$43)),IF(N(IF(F$52&lt;設定!$B$10,$G$43,$F$43))&gt;0,IF(OR(設定!$B$5="",IF(F$52&lt;設定!$B$10,$G$43,$F$43)=0),"",IF(F$52&lt;設定!$B$10,SUMIFS(先々月データ!$Q:$Q,先々月データ!$K:$K,F$52,先々月データ!$A:$A,"&gt;="&amp;設定!$B$5,先々月データ!$A:$A,"&lt;="&amp;EOMONTH(設定!$B$5,0),先々月データ!$Z:$Z,$A58,先々月データ!$AA:$AA,1),SUMIFS(先々月データ!$Q:$Q,先々月データ!$K:$K,F$52,先々月データ!$A:$A,"&gt;="&amp;設定!$B$5,先々月データ!$A:$A,"&lt;="&amp;EOMONTH(設定!$B$5,0),先々月データ!$Z:$Z,$A58))/IF(F$52&lt;設定!$B$10,$G$43,$F$43)),"")))</f>
        <v/>
      </c>
      <c r="G58" s="55" t="str">
        <f aca="false">IF(AND(N(IF(G$52&lt;設定!$B$10,$C$43,$B$43))&gt;0,N(IF(G$52&lt;設定!$B$10,$G$43,$F$43))&gt;0),(設定!$B$15*IF(OR(設定!$B$4="",IF(G$52&lt;設定!$B$10,$C$43,$B$43)=0),"",IF(G$52&lt;設定!$B$10,SUMIFS(先月データ!$Q:$Q,先月データ!$K:$K,G$52,先月データ!$A:$A,"&gt;="&amp;設定!$B$4,先月データ!$A:$A,"&lt;="&amp;EOMONTH(設定!$B$4,0),先月データ!$Z:$Z,$A58,先月データ!$AA:$AA,1),SUMIFS(先月データ!$Q:$Q,先月データ!$K:$K,G$52,先月データ!$A:$A,"&gt;="&amp;設定!$B$4,先月データ!$A:$A,"&lt;="&amp;EOMONTH(設定!$B$4,0),先月データ!$Z:$Z,$A58))/IF(G$52&lt;設定!$B$10,$C$43,$B$43))+設定!$B$16*IF(OR(設定!$B$5="",IF(G$52&lt;設定!$B$10,$G$43,$F$43)=0),"",IF(G$52&lt;設定!$B$10,SUMIFS(先々月データ!$Q:$Q,先々月データ!$K:$K,G$52,先々月データ!$A:$A,"&gt;="&amp;設定!$B$5,先々月データ!$A:$A,"&lt;="&amp;EOMONTH(設定!$B$5,0),先々月データ!$Z:$Z,$A58,先々月データ!$AA:$AA,1),SUMIFS(先々月データ!$Q:$Q,先々月データ!$K:$K,G$52,先々月データ!$A:$A,"&gt;="&amp;設定!$B$5,先々月データ!$A:$A,"&lt;="&amp;EOMONTH(設定!$B$5,0),先々月データ!$Z:$Z,$A58))/IF(G$52&lt;設定!$B$10,$G$43,$F$43)))/(設定!$B$15+設定!$B$16),IF(N(IF(G$52&lt;設定!$B$10,$C$43,$B$43))&gt;0,IF(OR(設定!$B$4="",IF(G$52&lt;設定!$B$10,$C$43,$B$43)=0),"",IF(G$52&lt;設定!$B$10,SUMIFS(先月データ!$Q:$Q,先月データ!$K:$K,G$52,先月データ!$A:$A,"&gt;="&amp;設定!$B$4,先月データ!$A:$A,"&lt;="&amp;EOMONTH(設定!$B$4,0),先月データ!$Z:$Z,$A58,先月データ!$AA:$AA,1),SUMIFS(先月データ!$Q:$Q,先月データ!$K:$K,G$52,先月データ!$A:$A,"&gt;="&amp;設定!$B$4,先月データ!$A:$A,"&lt;="&amp;EOMONTH(設定!$B$4,0),先月データ!$Z:$Z,$A58))/IF(G$52&lt;設定!$B$10,$C$43,$B$43)),IF(N(IF(G$52&lt;設定!$B$10,$G$43,$F$43))&gt;0,IF(OR(設定!$B$5="",IF(G$52&lt;設定!$B$10,$G$43,$F$43)=0),"",IF(G$52&lt;設定!$B$10,SUMIFS(先々月データ!$Q:$Q,先々月データ!$K:$K,G$52,先々月データ!$A:$A,"&gt;="&amp;設定!$B$5,先々月データ!$A:$A,"&lt;="&amp;EOMONTH(設定!$B$5,0),先々月データ!$Z:$Z,$A58,先々月データ!$AA:$AA,1),SUMIFS(先々月データ!$Q:$Q,先々月データ!$K:$K,G$52,先々月データ!$A:$A,"&gt;="&amp;設定!$B$5,先々月データ!$A:$A,"&lt;="&amp;EOMONTH(設定!$B$5,0),先々月データ!$Z:$Z,$A58))/IF(G$52&lt;設定!$B$10,$G$43,$F$43)),"")))</f>
        <v/>
      </c>
      <c r="H58" s="55" t="str">
        <f aca="false">IF(AND(N(IF(H$52&lt;設定!$B$10,$C$43,$B$43))&gt;0,N(IF(H$52&lt;設定!$B$10,$G$43,$F$43))&gt;0),(設定!$B$15*IF(OR(設定!$B$4="",IF(H$52&lt;設定!$B$10,$C$43,$B$43)=0),"",IF(H$52&lt;設定!$B$10,SUMIFS(先月データ!$Q:$Q,先月データ!$K:$K,H$52,先月データ!$A:$A,"&gt;="&amp;設定!$B$4,先月データ!$A:$A,"&lt;="&amp;EOMONTH(設定!$B$4,0),先月データ!$Z:$Z,$A58,先月データ!$AA:$AA,1),SUMIFS(先月データ!$Q:$Q,先月データ!$K:$K,H$52,先月データ!$A:$A,"&gt;="&amp;設定!$B$4,先月データ!$A:$A,"&lt;="&amp;EOMONTH(設定!$B$4,0),先月データ!$Z:$Z,$A58))/IF(H$52&lt;設定!$B$10,$C$43,$B$43))+設定!$B$16*IF(OR(設定!$B$5="",IF(H$52&lt;設定!$B$10,$G$43,$F$43)=0),"",IF(H$52&lt;設定!$B$10,SUMIFS(先々月データ!$Q:$Q,先々月データ!$K:$K,H$52,先々月データ!$A:$A,"&gt;="&amp;設定!$B$5,先々月データ!$A:$A,"&lt;="&amp;EOMONTH(設定!$B$5,0),先々月データ!$Z:$Z,$A58,先々月データ!$AA:$AA,1),SUMIFS(先々月データ!$Q:$Q,先々月データ!$K:$K,H$52,先々月データ!$A:$A,"&gt;="&amp;設定!$B$5,先々月データ!$A:$A,"&lt;="&amp;EOMONTH(設定!$B$5,0),先々月データ!$Z:$Z,$A58))/IF(H$52&lt;設定!$B$10,$G$43,$F$43)))/(設定!$B$15+設定!$B$16),IF(N(IF(H$52&lt;設定!$B$10,$C$43,$B$43))&gt;0,IF(OR(設定!$B$4="",IF(H$52&lt;設定!$B$10,$C$43,$B$43)=0),"",IF(H$52&lt;設定!$B$10,SUMIFS(先月データ!$Q:$Q,先月データ!$K:$K,H$52,先月データ!$A:$A,"&gt;="&amp;設定!$B$4,先月データ!$A:$A,"&lt;="&amp;EOMONTH(設定!$B$4,0),先月データ!$Z:$Z,$A58,先月データ!$AA:$AA,1),SUMIFS(先月データ!$Q:$Q,先月データ!$K:$K,H$52,先月データ!$A:$A,"&gt;="&amp;設定!$B$4,先月データ!$A:$A,"&lt;="&amp;EOMONTH(設定!$B$4,0),先月データ!$Z:$Z,$A58))/IF(H$52&lt;設定!$B$10,$C$43,$B$43)),IF(N(IF(H$52&lt;設定!$B$10,$G$43,$F$43))&gt;0,IF(OR(設定!$B$5="",IF(H$52&lt;設定!$B$10,$G$43,$F$43)=0),"",IF(H$52&lt;設定!$B$10,SUMIFS(先々月データ!$Q:$Q,先々月データ!$K:$K,H$52,先々月データ!$A:$A,"&gt;="&amp;設定!$B$5,先々月データ!$A:$A,"&lt;="&amp;EOMONTH(設定!$B$5,0),先々月データ!$Z:$Z,$A58,先々月データ!$AA:$AA,1),SUMIFS(先々月データ!$Q:$Q,先々月データ!$K:$K,H$52,先々月データ!$A:$A,"&gt;="&amp;設定!$B$5,先々月データ!$A:$A,"&lt;="&amp;EOMONTH(設定!$B$5,0),先々月データ!$Z:$Z,$A58))/IF(H$52&lt;設定!$B$10,$G$43,$F$43)),"")))</f>
        <v/>
      </c>
      <c r="I58" s="55" t="str">
        <f aca="false">IF(AND(N(IF(I$52&lt;設定!$B$10,$C$43,$B$43))&gt;0,N(IF(I$52&lt;設定!$B$10,$G$43,$F$43))&gt;0),(設定!$B$15*IF(OR(設定!$B$4="",IF(I$52&lt;設定!$B$10,$C$43,$B$43)=0),"",IF(I$52&lt;設定!$B$10,SUMIFS(先月データ!$Q:$Q,先月データ!$K:$K,I$52,先月データ!$A:$A,"&gt;="&amp;設定!$B$4,先月データ!$A:$A,"&lt;="&amp;EOMONTH(設定!$B$4,0),先月データ!$Z:$Z,$A58,先月データ!$AA:$AA,1),SUMIFS(先月データ!$Q:$Q,先月データ!$K:$K,I$52,先月データ!$A:$A,"&gt;="&amp;設定!$B$4,先月データ!$A:$A,"&lt;="&amp;EOMONTH(設定!$B$4,0),先月データ!$Z:$Z,$A58))/IF(I$52&lt;設定!$B$10,$C$43,$B$43))+設定!$B$16*IF(OR(設定!$B$5="",IF(I$52&lt;設定!$B$10,$G$43,$F$43)=0),"",IF(I$52&lt;設定!$B$10,SUMIFS(先々月データ!$Q:$Q,先々月データ!$K:$K,I$52,先々月データ!$A:$A,"&gt;="&amp;設定!$B$5,先々月データ!$A:$A,"&lt;="&amp;EOMONTH(設定!$B$5,0),先々月データ!$Z:$Z,$A58,先々月データ!$AA:$AA,1),SUMIFS(先々月データ!$Q:$Q,先々月データ!$K:$K,I$52,先々月データ!$A:$A,"&gt;="&amp;設定!$B$5,先々月データ!$A:$A,"&lt;="&amp;EOMONTH(設定!$B$5,0),先々月データ!$Z:$Z,$A58))/IF(I$52&lt;設定!$B$10,$G$43,$F$43)))/(設定!$B$15+設定!$B$16),IF(N(IF(I$52&lt;設定!$B$10,$C$43,$B$43))&gt;0,IF(OR(設定!$B$4="",IF(I$52&lt;設定!$B$10,$C$43,$B$43)=0),"",IF(I$52&lt;設定!$B$10,SUMIFS(先月データ!$Q:$Q,先月データ!$K:$K,I$52,先月データ!$A:$A,"&gt;="&amp;設定!$B$4,先月データ!$A:$A,"&lt;="&amp;EOMONTH(設定!$B$4,0),先月データ!$Z:$Z,$A58,先月データ!$AA:$AA,1),SUMIFS(先月データ!$Q:$Q,先月データ!$K:$K,I$52,先月データ!$A:$A,"&gt;="&amp;設定!$B$4,先月データ!$A:$A,"&lt;="&amp;EOMONTH(設定!$B$4,0),先月データ!$Z:$Z,$A58))/IF(I$52&lt;設定!$B$10,$C$43,$B$43)),IF(N(IF(I$52&lt;設定!$B$10,$G$43,$F$43))&gt;0,IF(OR(設定!$B$5="",IF(I$52&lt;設定!$B$10,$G$43,$F$43)=0),"",IF(I$52&lt;設定!$B$10,SUMIFS(先々月データ!$Q:$Q,先々月データ!$K:$K,I$52,先々月データ!$A:$A,"&gt;="&amp;設定!$B$5,先々月データ!$A:$A,"&lt;="&amp;EOMONTH(設定!$B$5,0),先々月データ!$Z:$Z,$A58,先々月データ!$AA:$AA,1),SUMIFS(先々月データ!$Q:$Q,先々月データ!$K:$K,I$52,先々月データ!$A:$A,"&gt;="&amp;設定!$B$5,先々月データ!$A:$A,"&lt;="&amp;EOMONTH(設定!$B$5,0),先々月データ!$Z:$Z,$A58))/IF(I$52&lt;設定!$B$10,$G$43,$F$43)),"")))</f>
        <v/>
      </c>
      <c r="J58" s="55" t="str">
        <f aca="false">IF(AND(N(IF(J$52&lt;設定!$B$10,$C$43,$B$43))&gt;0,N(IF(J$52&lt;設定!$B$10,$G$43,$F$43))&gt;0),(設定!$B$15*IF(OR(設定!$B$4="",IF(J$52&lt;設定!$B$10,$C$43,$B$43)=0),"",IF(J$52&lt;設定!$B$10,SUMIFS(先月データ!$Q:$Q,先月データ!$K:$K,J$52,先月データ!$A:$A,"&gt;="&amp;設定!$B$4,先月データ!$A:$A,"&lt;="&amp;EOMONTH(設定!$B$4,0),先月データ!$Z:$Z,$A58,先月データ!$AA:$AA,1),SUMIFS(先月データ!$Q:$Q,先月データ!$K:$K,J$52,先月データ!$A:$A,"&gt;="&amp;設定!$B$4,先月データ!$A:$A,"&lt;="&amp;EOMONTH(設定!$B$4,0),先月データ!$Z:$Z,$A58))/IF(J$52&lt;設定!$B$10,$C$43,$B$43))+設定!$B$16*IF(OR(設定!$B$5="",IF(J$52&lt;設定!$B$10,$G$43,$F$43)=0),"",IF(J$52&lt;設定!$B$10,SUMIFS(先々月データ!$Q:$Q,先々月データ!$K:$K,J$52,先々月データ!$A:$A,"&gt;="&amp;設定!$B$5,先々月データ!$A:$A,"&lt;="&amp;EOMONTH(設定!$B$5,0),先々月データ!$Z:$Z,$A58,先々月データ!$AA:$AA,1),SUMIFS(先々月データ!$Q:$Q,先々月データ!$K:$K,J$52,先々月データ!$A:$A,"&gt;="&amp;設定!$B$5,先々月データ!$A:$A,"&lt;="&amp;EOMONTH(設定!$B$5,0),先々月データ!$Z:$Z,$A58))/IF(J$52&lt;設定!$B$10,$G$43,$F$43)))/(設定!$B$15+設定!$B$16),IF(N(IF(J$52&lt;設定!$B$10,$C$43,$B$43))&gt;0,IF(OR(設定!$B$4="",IF(J$52&lt;設定!$B$10,$C$43,$B$43)=0),"",IF(J$52&lt;設定!$B$10,SUMIFS(先月データ!$Q:$Q,先月データ!$K:$K,J$52,先月データ!$A:$A,"&gt;="&amp;設定!$B$4,先月データ!$A:$A,"&lt;="&amp;EOMONTH(設定!$B$4,0),先月データ!$Z:$Z,$A58,先月データ!$AA:$AA,1),SUMIFS(先月データ!$Q:$Q,先月データ!$K:$K,J$52,先月データ!$A:$A,"&gt;="&amp;設定!$B$4,先月データ!$A:$A,"&lt;="&amp;EOMONTH(設定!$B$4,0),先月データ!$Z:$Z,$A58))/IF(J$52&lt;設定!$B$10,$C$43,$B$43)),IF(N(IF(J$52&lt;設定!$B$10,$G$43,$F$43))&gt;0,IF(OR(設定!$B$5="",IF(J$52&lt;設定!$B$10,$G$43,$F$43)=0),"",IF(J$52&lt;設定!$B$10,SUMIFS(先々月データ!$Q:$Q,先々月データ!$K:$K,J$52,先々月データ!$A:$A,"&gt;="&amp;設定!$B$5,先々月データ!$A:$A,"&lt;="&amp;EOMONTH(設定!$B$5,0),先々月データ!$Z:$Z,$A58,先々月データ!$AA:$AA,1),SUMIFS(先々月データ!$Q:$Q,先々月データ!$K:$K,J$52,先々月データ!$A:$A,"&gt;="&amp;設定!$B$5,先々月データ!$A:$A,"&lt;="&amp;EOMONTH(設定!$B$5,0),先々月データ!$Z:$Z,$A58))/IF(J$52&lt;設定!$B$10,$G$43,$F$43)),"")))</f>
        <v/>
      </c>
      <c r="K58" s="55" t="str">
        <f aca="false">IF(AND(N(IF(K$52&lt;設定!$B$10,$C$43,$B$43))&gt;0,N(IF(K$52&lt;設定!$B$10,$G$43,$F$43))&gt;0),(設定!$B$15*IF(OR(設定!$B$4="",IF(K$52&lt;設定!$B$10,$C$43,$B$43)=0),"",IF(K$52&lt;設定!$B$10,SUMIFS(先月データ!$Q:$Q,先月データ!$K:$K,K$52,先月データ!$A:$A,"&gt;="&amp;設定!$B$4,先月データ!$A:$A,"&lt;="&amp;EOMONTH(設定!$B$4,0),先月データ!$Z:$Z,$A58,先月データ!$AA:$AA,1),SUMIFS(先月データ!$Q:$Q,先月データ!$K:$K,K$52,先月データ!$A:$A,"&gt;="&amp;設定!$B$4,先月データ!$A:$A,"&lt;="&amp;EOMONTH(設定!$B$4,0),先月データ!$Z:$Z,$A58))/IF(K$52&lt;設定!$B$10,$C$43,$B$43))+設定!$B$16*IF(OR(設定!$B$5="",IF(K$52&lt;設定!$B$10,$G$43,$F$43)=0),"",IF(K$52&lt;設定!$B$10,SUMIFS(先々月データ!$Q:$Q,先々月データ!$K:$K,K$52,先々月データ!$A:$A,"&gt;="&amp;設定!$B$5,先々月データ!$A:$A,"&lt;="&amp;EOMONTH(設定!$B$5,0),先々月データ!$Z:$Z,$A58,先々月データ!$AA:$AA,1),SUMIFS(先々月データ!$Q:$Q,先々月データ!$K:$K,K$52,先々月データ!$A:$A,"&gt;="&amp;設定!$B$5,先々月データ!$A:$A,"&lt;="&amp;EOMONTH(設定!$B$5,0),先々月データ!$Z:$Z,$A58))/IF(K$52&lt;設定!$B$10,$G$43,$F$43)))/(設定!$B$15+設定!$B$16),IF(N(IF(K$52&lt;設定!$B$10,$C$43,$B$43))&gt;0,IF(OR(設定!$B$4="",IF(K$52&lt;設定!$B$10,$C$43,$B$43)=0),"",IF(K$52&lt;設定!$B$10,SUMIFS(先月データ!$Q:$Q,先月データ!$K:$K,K$52,先月データ!$A:$A,"&gt;="&amp;設定!$B$4,先月データ!$A:$A,"&lt;="&amp;EOMONTH(設定!$B$4,0),先月データ!$Z:$Z,$A58,先月データ!$AA:$AA,1),SUMIFS(先月データ!$Q:$Q,先月データ!$K:$K,K$52,先月データ!$A:$A,"&gt;="&amp;設定!$B$4,先月データ!$A:$A,"&lt;="&amp;EOMONTH(設定!$B$4,0),先月データ!$Z:$Z,$A58))/IF(K$52&lt;設定!$B$10,$C$43,$B$43)),IF(N(IF(K$52&lt;設定!$B$10,$G$43,$F$43))&gt;0,IF(OR(設定!$B$5="",IF(K$52&lt;設定!$B$10,$G$43,$F$43)=0),"",IF(K$52&lt;設定!$B$10,SUMIFS(先々月データ!$Q:$Q,先々月データ!$K:$K,K$52,先々月データ!$A:$A,"&gt;="&amp;設定!$B$5,先々月データ!$A:$A,"&lt;="&amp;EOMONTH(設定!$B$5,0),先々月データ!$Z:$Z,$A58,先々月データ!$AA:$AA,1),SUMIFS(先々月データ!$Q:$Q,先々月データ!$K:$K,K$52,先々月データ!$A:$A,"&gt;="&amp;設定!$B$5,先々月データ!$A:$A,"&lt;="&amp;EOMONTH(設定!$B$5,0),先々月データ!$Z:$Z,$A58))/IF(K$52&lt;設定!$B$10,$G$43,$F$43)),"")))</f>
        <v/>
      </c>
      <c r="L58" s="55" t="str">
        <f aca="false">IF(AND(N(IF(L$52&lt;設定!$B$10,$C$43,$B$43))&gt;0,N(IF(L$52&lt;設定!$B$10,$G$43,$F$43))&gt;0),(設定!$B$15*IF(OR(設定!$B$4="",IF(L$52&lt;設定!$B$10,$C$43,$B$43)=0),"",IF(L$52&lt;設定!$B$10,SUMIFS(先月データ!$Q:$Q,先月データ!$K:$K,L$52,先月データ!$A:$A,"&gt;="&amp;設定!$B$4,先月データ!$A:$A,"&lt;="&amp;EOMONTH(設定!$B$4,0),先月データ!$Z:$Z,$A58,先月データ!$AA:$AA,1),SUMIFS(先月データ!$Q:$Q,先月データ!$K:$K,L$52,先月データ!$A:$A,"&gt;="&amp;設定!$B$4,先月データ!$A:$A,"&lt;="&amp;EOMONTH(設定!$B$4,0),先月データ!$Z:$Z,$A58))/IF(L$52&lt;設定!$B$10,$C$43,$B$43))+設定!$B$16*IF(OR(設定!$B$5="",IF(L$52&lt;設定!$B$10,$G$43,$F$43)=0),"",IF(L$52&lt;設定!$B$10,SUMIFS(先々月データ!$Q:$Q,先々月データ!$K:$K,L$52,先々月データ!$A:$A,"&gt;="&amp;設定!$B$5,先々月データ!$A:$A,"&lt;="&amp;EOMONTH(設定!$B$5,0),先々月データ!$Z:$Z,$A58,先々月データ!$AA:$AA,1),SUMIFS(先々月データ!$Q:$Q,先々月データ!$K:$K,L$52,先々月データ!$A:$A,"&gt;="&amp;設定!$B$5,先々月データ!$A:$A,"&lt;="&amp;EOMONTH(設定!$B$5,0),先々月データ!$Z:$Z,$A58))/IF(L$52&lt;設定!$B$10,$G$43,$F$43)))/(設定!$B$15+設定!$B$16),IF(N(IF(L$52&lt;設定!$B$10,$C$43,$B$43))&gt;0,IF(OR(設定!$B$4="",IF(L$52&lt;設定!$B$10,$C$43,$B$43)=0),"",IF(L$52&lt;設定!$B$10,SUMIFS(先月データ!$Q:$Q,先月データ!$K:$K,L$52,先月データ!$A:$A,"&gt;="&amp;設定!$B$4,先月データ!$A:$A,"&lt;="&amp;EOMONTH(設定!$B$4,0),先月データ!$Z:$Z,$A58,先月データ!$AA:$AA,1),SUMIFS(先月データ!$Q:$Q,先月データ!$K:$K,L$52,先月データ!$A:$A,"&gt;="&amp;設定!$B$4,先月データ!$A:$A,"&lt;="&amp;EOMONTH(設定!$B$4,0),先月データ!$Z:$Z,$A58))/IF(L$52&lt;設定!$B$10,$C$43,$B$43)),IF(N(IF(L$52&lt;設定!$B$10,$G$43,$F$43))&gt;0,IF(OR(設定!$B$5="",IF(L$52&lt;設定!$B$10,$G$43,$F$43)=0),"",IF(L$52&lt;設定!$B$10,SUMIFS(先々月データ!$Q:$Q,先々月データ!$K:$K,L$52,先々月データ!$A:$A,"&gt;="&amp;設定!$B$5,先々月データ!$A:$A,"&lt;="&amp;EOMONTH(設定!$B$5,0),先々月データ!$Z:$Z,$A58,先々月データ!$AA:$AA,1),SUMIFS(先々月データ!$Q:$Q,先々月データ!$K:$K,L$52,先々月データ!$A:$A,"&gt;="&amp;設定!$B$5,先々月データ!$A:$A,"&lt;="&amp;EOMONTH(設定!$B$5,0),先々月データ!$Z:$Z,$A58))/IF(L$52&lt;設定!$B$10,$G$43,$F$43)),"")))</f>
        <v/>
      </c>
      <c r="M58" s="55" t="str">
        <f aca="false">IF(AND(N(IF(M$52&lt;設定!$B$10,$C$43,$B$43))&gt;0,N(IF(M$52&lt;設定!$B$10,$G$43,$F$43))&gt;0),(設定!$B$15*IF(OR(設定!$B$4="",IF(M$52&lt;設定!$B$10,$C$43,$B$43)=0),"",IF(M$52&lt;設定!$B$10,SUMIFS(先月データ!$Q:$Q,先月データ!$K:$K,M$52,先月データ!$A:$A,"&gt;="&amp;設定!$B$4,先月データ!$A:$A,"&lt;="&amp;EOMONTH(設定!$B$4,0),先月データ!$Z:$Z,$A58,先月データ!$AA:$AA,1),SUMIFS(先月データ!$Q:$Q,先月データ!$K:$K,M$52,先月データ!$A:$A,"&gt;="&amp;設定!$B$4,先月データ!$A:$A,"&lt;="&amp;EOMONTH(設定!$B$4,0),先月データ!$Z:$Z,$A58))/IF(M$52&lt;設定!$B$10,$C$43,$B$43))+設定!$B$16*IF(OR(設定!$B$5="",IF(M$52&lt;設定!$B$10,$G$43,$F$43)=0),"",IF(M$52&lt;設定!$B$10,SUMIFS(先々月データ!$Q:$Q,先々月データ!$K:$K,M$52,先々月データ!$A:$A,"&gt;="&amp;設定!$B$5,先々月データ!$A:$A,"&lt;="&amp;EOMONTH(設定!$B$5,0),先々月データ!$Z:$Z,$A58,先々月データ!$AA:$AA,1),SUMIFS(先々月データ!$Q:$Q,先々月データ!$K:$K,M$52,先々月データ!$A:$A,"&gt;="&amp;設定!$B$5,先々月データ!$A:$A,"&lt;="&amp;EOMONTH(設定!$B$5,0),先々月データ!$Z:$Z,$A58))/IF(M$52&lt;設定!$B$10,$G$43,$F$43)))/(設定!$B$15+設定!$B$16),IF(N(IF(M$52&lt;設定!$B$10,$C$43,$B$43))&gt;0,IF(OR(設定!$B$4="",IF(M$52&lt;設定!$B$10,$C$43,$B$43)=0),"",IF(M$52&lt;設定!$B$10,SUMIFS(先月データ!$Q:$Q,先月データ!$K:$K,M$52,先月データ!$A:$A,"&gt;="&amp;設定!$B$4,先月データ!$A:$A,"&lt;="&amp;EOMONTH(設定!$B$4,0),先月データ!$Z:$Z,$A58,先月データ!$AA:$AA,1),SUMIFS(先月データ!$Q:$Q,先月データ!$K:$K,M$52,先月データ!$A:$A,"&gt;="&amp;設定!$B$4,先月データ!$A:$A,"&lt;="&amp;EOMONTH(設定!$B$4,0),先月データ!$Z:$Z,$A58))/IF(M$52&lt;設定!$B$10,$C$43,$B$43)),IF(N(IF(M$52&lt;設定!$B$10,$G$43,$F$43))&gt;0,IF(OR(設定!$B$5="",IF(M$52&lt;設定!$B$10,$G$43,$F$43)=0),"",IF(M$52&lt;設定!$B$10,SUMIFS(先々月データ!$Q:$Q,先々月データ!$K:$K,M$52,先々月データ!$A:$A,"&gt;="&amp;設定!$B$5,先々月データ!$A:$A,"&lt;="&amp;EOMONTH(設定!$B$5,0),先々月データ!$Z:$Z,$A58,先々月データ!$AA:$AA,1),SUMIFS(先々月データ!$Q:$Q,先々月データ!$K:$K,M$52,先々月データ!$A:$A,"&gt;="&amp;設定!$B$5,先々月データ!$A:$A,"&lt;="&amp;EOMONTH(設定!$B$5,0),先々月データ!$Z:$Z,$A58))/IF(M$52&lt;設定!$B$10,$G$43,$F$43)),"")))</f>
        <v/>
      </c>
      <c r="N58" s="55" t="str">
        <f aca="false">IF(AND(N(IF(N$52&lt;設定!$B$10,$C$43,$B$43))&gt;0,N(IF(N$52&lt;設定!$B$10,$G$43,$F$43))&gt;0),(設定!$B$15*IF(OR(設定!$B$4="",IF(N$52&lt;設定!$B$10,$C$43,$B$43)=0),"",IF(N$52&lt;設定!$B$10,SUMIFS(先月データ!$Q:$Q,先月データ!$K:$K,N$52,先月データ!$A:$A,"&gt;="&amp;設定!$B$4,先月データ!$A:$A,"&lt;="&amp;EOMONTH(設定!$B$4,0),先月データ!$Z:$Z,$A58,先月データ!$AA:$AA,1),SUMIFS(先月データ!$Q:$Q,先月データ!$K:$K,N$52,先月データ!$A:$A,"&gt;="&amp;設定!$B$4,先月データ!$A:$A,"&lt;="&amp;EOMONTH(設定!$B$4,0),先月データ!$Z:$Z,$A58))/IF(N$52&lt;設定!$B$10,$C$43,$B$43))+設定!$B$16*IF(OR(設定!$B$5="",IF(N$52&lt;設定!$B$10,$G$43,$F$43)=0),"",IF(N$52&lt;設定!$B$10,SUMIFS(先々月データ!$Q:$Q,先々月データ!$K:$K,N$52,先々月データ!$A:$A,"&gt;="&amp;設定!$B$5,先々月データ!$A:$A,"&lt;="&amp;EOMONTH(設定!$B$5,0),先々月データ!$Z:$Z,$A58,先々月データ!$AA:$AA,1),SUMIFS(先々月データ!$Q:$Q,先々月データ!$K:$K,N$52,先々月データ!$A:$A,"&gt;="&amp;設定!$B$5,先々月データ!$A:$A,"&lt;="&amp;EOMONTH(設定!$B$5,0),先々月データ!$Z:$Z,$A58))/IF(N$52&lt;設定!$B$10,$G$43,$F$43)))/(設定!$B$15+設定!$B$16),IF(N(IF(N$52&lt;設定!$B$10,$C$43,$B$43))&gt;0,IF(OR(設定!$B$4="",IF(N$52&lt;設定!$B$10,$C$43,$B$43)=0),"",IF(N$52&lt;設定!$B$10,SUMIFS(先月データ!$Q:$Q,先月データ!$K:$K,N$52,先月データ!$A:$A,"&gt;="&amp;設定!$B$4,先月データ!$A:$A,"&lt;="&amp;EOMONTH(設定!$B$4,0),先月データ!$Z:$Z,$A58,先月データ!$AA:$AA,1),SUMIFS(先月データ!$Q:$Q,先月データ!$K:$K,N$52,先月データ!$A:$A,"&gt;="&amp;設定!$B$4,先月データ!$A:$A,"&lt;="&amp;EOMONTH(設定!$B$4,0),先月データ!$Z:$Z,$A58))/IF(N$52&lt;設定!$B$10,$C$43,$B$43)),IF(N(IF(N$52&lt;設定!$B$10,$G$43,$F$43))&gt;0,IF(OR(設定!$B$5="",IF(N$52&lt;設定!$B$10,$G$43,$F$43)=0),"",IF(N$52&lt;設定!$B$10,SUMIFS(先々月データ!$Q:$Q,先々月データ!$K:$K,N$52,先々月データ!$A:$A,"&gt;="&amp;設定!$B$5,先々月データ!$A:$A,"&lt;="&amp;EOMONTH(設定!$B$5,0),先々月データ!$Z:$Z,$A58,先々月データ!$AA:$AA,1),SUMIFS(先々月データ!$Q:$Q,先々月データ!$K:$K,N$52,先々月データ!$A:$A,"&gt;="&amp;設定!$B$5,先々月データ!$A:$A,"&lt;="&amp;EOMONTH(設定!$B$5,0),先々月データ!$Z:$Z,$A58))/IF(N$52&lt;設定!$B$10,$G$43,$F$43)),"")))</f>
        <v/>
      </c>
      <c r="O58" s="55" t="n">
        <f aca="false">SUMIF($B$52:$N$52,"&lt;"&amp;設定!$B$10,B58:N58)</f>
        <v>0</v>
      </c>
      <c r="P58" s="55" t="n">
        <f aca="false">SUMIF($B$52:$N$52,"&gt;="&amp;設定!$B$10,B58:N58)</f>
        <v>0</v>
      </c>
    </row>
    <row r="59" customFormat="false" ht="15" hidden="false" customHeight="false" outlineLevel="0" collapsed="false">
      <c r="A59" s="47" t="s">
        <v>67</v>
      </c>
      <c r="B59" s="55" t="str">
        <f aca="false">IF(AND(N(IF(B$52&lt;設定!$B$10,$C$44,$B$44))&gt;0,N(IF(B$52&lt;設定!$B$10,$G$44,$F$44))&gt;0),(設定!$B$15*IF(OR(設定!$B$4="",IF(B$52&lt;設定!$B$10,$C$44,$B$44)=0),"",IF(B$52&lt;設定!$B$10,SUMIFS(先月データ!$Q:$Q,先月データ!$K:$K,B$52,先月データ!$A:$A,"&gt;="&amp;設定!$B$4,先月データ!$A:$A,"&lt;="&amp;EOMONTH(設定!$B$4,0),先月データ!$Z:$Z,$A59,先月データ!$AA:$AA,1),SUMIFS(先月データ!$Q:$Q,先月データ!$K:$K,B$52,先月データ!$A:$A,"&gt;="&amp;設定!$B$4,先月データ!$A:$A,"&lt;="&amp;EOMONTH(設定!$B$4,0),先月データ!$Z:$Z,$A59))/IF(B$52&lt;設定!$B$10,$C$44,$B$44))+設定!$B$16*IF(OR(設定!$B$5="",IF(B$52&lt;設定!$B$10,$G$44,$F$44)=0),"",IF(B$52&lt;設定!$B$10,SUMIFS(先々月データ!$Q:$Q,先々月データ!$K:$K,B$52,先々月データ!$A:$A,"&gt;="&amp;設定!$B$5,先々月データ!$A:$A,"&lt;="&amp;EOMONTH(設定!$B$5,0),先々月データ!$Z:$Z,$A59,先々月データ!$AA:$AA,1),SUMIFS(先々月データ!$Q:$Q,先々月データ!$K:$K,B$52,先々月データ!$A:$A,"&gt;="&amp;設定!$B$5,先々月データ!$A:$A,"&lt;="&amp;EOMONTH(設定!$B$5,0),先々月データ!$Z:$Z,$A59))/IF(B$52&lt;設定!$B$10,$G$44,$F$44)))/(設定!$B$15+設定!$B$16),IF(N(IF(B$52&lt;設定!$B$10,$C$44,$B$44))&gt;0,IF(OR(設定!$B$4="",IF(B$52&lt;設定!$B$10,$C$44,$B$44)=0),"",IF(B$52&lt;設定!$B$10,SUMIFS(先月データ!$Q:$Q,先月データ!$K:$K,B$52,先月データ!$A:$A,"&gt;="&amp;設定!$B$4,先月データ!$A:$A,"&lt;="&amp;EOMONTH(設定!$B$4,0),先月データ!$Z:$Z,$A59,先月データ!$AA:$AA,1),SUMIFS(先月データ!$Q:$Q,先月データ!$K:$K,B$52,先月データ!$A:$A,"&gt;="&amp;設定!$B$4,先月データ!$A:$A,"&lt;="&amp;EOMONTH(設定!$B$4,0),先月データ!$Z:$Z,$A59))/IF(B$52&lt;設定!$B$10,$C$44,$B$44)),IF(N(IF(B$52&lt;設定!$B$10,$G$44,$F$44))&gt;0,IF(OR(設定!$B$5="",IF(B$52&lt;設定!$B$10,$G$44,$F$44)=0),"",IF(B$52&lt;設定!$B$10,SUMIFS(先々月データ!$Q:$Q,先々月データ!$K:$K,B$52,先々月データ!$A:$A,"&gt;="&amp;設定!$B$5,先々月データ!$A:$A,"&lt;="&amp;EOMONTH(設定!$B$5,0),先々月データ!$Z:$Z,$A59,先々月データ!$AA:$AA,1),SUMIFS(先々月データ!$Q:$Q,先々月データ!$K:$K,B$52,先々月データ!$A:$A,"&gt;="&amp;設定!$B$5,先々月データ!$A:$A,"&lt;="&amp;EOMONTH(設定!$B$5,0),先々月データ!$Z:$Z,$A59))/IF(B$52&lt;設定!$B$10,$G$44,$F$44)),"")))</f>
        <v/>
      </c>
      <c r="C59" s="55" t="str">
        <f aca="false">IF(AND(N(IF(C$52&lt;設定!$B$10,$C$44,$B$44))&gt;0,N(IF(C$52&lt;設定!$B$10,$G$44,$F$44))&gt;0),(設定!$B$15*IF(OR(設定!$B$4="",IF(C$52&lt;設定!$B$10,$C$44,$B$44)=0),"",IF(C$52&lt;設定!$B$10,SUMIFS(先月データ!$Q:$Q,先月データ!$K:$K,C$52,先月データ!$A:$A,"&gt;="&amp;設定!$B$4,先月データ!$A:$A,"&lt;="&amp;EOMONTH(設定!$B$4,0),先月データ!$Z:$Z,$A59,先月データ!$AA:$AA,1),SUMIFS(先月データ!$Q:$Q,先月データ!$K:$K,C$52,先月データ!$A:$A,"&gt;="&amp;設定!$B$4,先月データ!$A:$A,"&lt;="&amp;EOMONTH(設定!$B$4,0),先月データ!$Z:$Z,$A59))/IF(C$52&lt;設定!$B$10,$C$44,$B$44))+設定!$B$16*IF(OR(設定!$B$5="",IF(C$52&lt;設定!$B$10,$G$44,$F$44)=0),"",IF(C$52&lt;設定!$B$10,SUMIFS(先々月データ!$Q:$Q,先々月データ!$K:$K,C$52,先々月データ!$A:$A,"&gt;="&amp;設定!$B$5,先々月データ!$A:$A,"&lt;="&amp;EOMONTH(設定!$B$5,0),先々月データ!$Z:$Z,$A59,先々月データ!$AA:$AA,1),SUMIFS(先々月データ!$Q:$Q,先々月データ!$K:$K,C$52,先々月データ!$A:$A,"&gt;="&amp;設定!$B$5,先々月データ!$A:$A,"&lt;="&amp;EOMONTH(設定!$B$5,0),先々月データ!$Z:$Z,$A59))/IF(C$52&lt;設定!$B$10,$G$44,$F$44)))/(設定!$B$15+設定!$B$16),IF(N(IF(C$52&lt;設定!$B$10,$C$44,$B$44))&gt;0,IF(OR(設定!$B$4="",IF(C$52&lt;設定!$B$10,$C$44,$B$44)=0),"",IF(C$52&lt;設定!$B$10,SUMIFS(先月データ!$Q:$Q,先月データ!$K:$K,C$52,先月データ!$A:$A,"&gt;="&amp;設定!$B$4,先月データ!$A:$A,"&lt;="&amp;EOMONTH(設定!$B$4,0),先月データ!$Z:$Z,$A59,先月データ!$AA:$AA,1),SUMIFS(先月データ!$Q:$Q,先月データ!$K:$K,C$52,先月データ!$A:$A,"&gt;="&amp;設定!$B$4,先月データ!$A:$A,"&lt;="&amp;EOMONTH(設定!$B$4,0),先月データ!$Z:$Z,$A59))/IF(C$52&lt;設定!$B$10,$C$44,$B$44)),IF(N(IF(C$52&lt;設定!$B$10,$G$44,$F$44))&gt;0,IF(OR(設定!$B$5="",IF(C$52&lt;設定!$B$10,$G$44,$F$44)=0),"",IF(C$52&lt;設定!$B$10,SUMIFS(先々月データ!$Q:$Q,先々月データ!$K:$K,C$52,先々月データ!$A:$A,"&gt;="&amp;設定!$B$5,先々月データ!$A:$A,"&lt;="&amp;EOMONTH(設定!$B$5,0),先々月データ!$Z:$Z,$A59,先々月データ!$AA:$AA,1),SUMIFS(先々月データ!$Q:$Q,先々月データ!$K:$K,C$52,先々月データ!$A:$A,"&gt;="&amp;設定!$B$5,先々月データ!$A:$A,"&lt;="&amp;EOMONTH(設定!$B$5,0),先々月データ!$Z:$Z,$A59))/IF(C$52&lt;設定!$B$10,$G$44,$F$44)),"")))</f>
        <v/>
      </c>
      <c r="D59" s="55" t="str">
        <f aca="false">IF(AND(N(IF(D$52&lt;設定!$B$10,$C$44,$B$44))&gt;0,N(IF(D$52&lt;設定!$B$10,$G$44,$F$44))&gt;0),(設定!$B$15*IF(OR(設定!$B$4="",IF(D$52&lt;設定!$B$10,$C$44,$B$44)=0),"",IF(D$52&lt;設定!$B$10,SUMIFS(先月データ!$Q:$Q,先月データ!$K:$K,D$52,先月データ!$A:$A,"&gt;="&amp;設定!$B$4,先月データ!$A:$A,"&lt;="&amp;EOMONTH(設定!$B$4,0),先月データ!$Z:$Z,$A59,先月データ!$AA:$AA,1),SUMIFS(先月データ!$Q:$Q,先月データ!$K:$K,D$52,先月データ!$A:$A,"&gt;="&amp;設定!$B$4,先月データ!$A:$A,"&lt;="&amp;EOMONTH(設定!$B$4,0),先月データ!$Z:$Z,$A59))/IF(D$52&lt;設定!$B$10,$C$44,$B$44))+設定!$B$16*IF(OR(設定!$B$5="",IF(D$52&lt;設定!$B$10,$G$44,$F$44)=0),"",IF(D$52&lt;設定!$B$10,SUMIFS(先々月データ!$Q:$Q,先々月データ!$K:$K,D$52,先々月データ!$A:$A,"&gt;="&amp;設定!$B$5,先々月データ!$A:$A,"&lt;="&amp;EOMONTH(設定!$B$5,0),先々月データ!$Z:$Z,$A59,先々月データ!$AA:$AA,1),SUMIFS(先々月データ!$Q:$Q,先々月データ!$K:$K,D$52,先々月データ!$A:$A,"&gt;="&amp;設定!$B$5,先々月データ!$A:$A,"&lt;="&amp;EOMONTH(設定!$B$5,0),先々月データ!$Z:$Z,$A59))/IF(D$52&lt;設定!$B$10,$G$44,$F$44)))/(設定!$B$15+設定!$B$16),IF(N(IF(D$52&lt;設定!$B$10,$C$44,$B$44))&gt;0,IF(OR(設定!$B$4="",IF(D$52&lt;設定!$B$10,$C$44,$B$44)=0),"",IF(D$52&lt;設定!$B$10,SUMIFS(先月データ!$Q:$Q,先月データ!$K:$K,D$52,先月データ!$A:$A,"&gt;="&amp;設定!$B$4,先月データ!$A:$A,"&lt;="&amp;EOMONTH(設定!$B$4,0),先月データ!$Z:$Z,$A59,先月データ!$AA:$AA,1),SUMIFS(先月データ!$Q:$Q,先月データ!$K:$K,D$52,先月データ!$A:$A,"&gt;="&amp;設定!$B$4,先月データ!$A:$A,"&lt;="&amp;EOMONTH(設定!$B$4,0),先月データ!$Z:$Z,$A59))/IF(D$52&lt;設定!$B$10,$C$44,$B$44)),IF(N(IF(D$52&lt;設定!$B$10,$G$44,$F$44))&gt;0,IF(OR(設定!$B$5="",IF(D$52&lt;設定!$B$10,$G$44,$F$44)=0),"",IF(D$52&lt;設定!$B$10,SUMIFS(先々月データ!$Q:$Q,先々月データ!$K:$K,D$52,先々月データ!$A:$A,"&gt;="&amp;設定!$B$5,先々月データ!$A:$A,"&lt;="&amp;EOMONTH(設定!$B$5,0),先々月データ!$Z:$Z,$A59,先々月データ!$AA:$AA,1),SUMIFS(先々月データ!$Q:$Q,先々月データ!$K:$K,D$52,先々月データ!$A:$A,"&gt;="&amp;設定!$B$5,先々月データ!$A:$A,"&lt;="&amp;EOMONTH(設定!$B$5,0),先々月データ!$Z:$Z,$A59))/IF(D$52&lt;設定!$B$10,$G$44,$F$44)),"")))</f>
        <v/>
      </c>
      <c r="E59" s="55" t="str">
        <f aca="false">IF(AND(N(IF(E$52&lt;設定!$B$10,$C$44,$B$44))&gt;0,N(IF(E$52&lt;設定!$B$10,$G$44,$F$44))&gt;0),(設定!$B$15*IF(OR(設定!$B$4="",IF(E$52&lt;設定!$B$10,$C$44,$B$44)=0),"",IF(E$52&lt;設定!$B$10,SUMIFS(先月データ!$Q:$Q,先月データ!$K:$K,E$52,先月データ!$A:$A,"&gt;="&amp;設定!$B$4,先月データ!$A:$A,"&lt;="&amp;EOMONTH(設定!$B$4,0),先月データ!$Z:$Z,$A59,先月データ!$AA:$AA,1),SUMIFS(先月データ!$Q:$Q,先月データ!$K:$K,E$52,先月データ!$A:$A,"&gt;="&amp;設定!$B$4,先月データ!$A:$A,"&lt;="&amp;EOMONTH(設定!$B$4,0),先月データ!$Z:$Z,$A59))/IF(E$52&lt;設定!$B$10,$C$44,$B$44))+設定!$B$16*IF(OR(設定!$B$5="",IF(E$52&lt;設定!$B$10,$G$44,$F$44)=0),"",IF(E$52&lt;設定!$B$10,SUMIFS(先々月データ!$Q:$Q,先々月データ!$K:$K,E$52,先々月データ!$A:$A,"&gt;="&amp;設定!$B$5,先々月データ!$A:$A,"&lt;="&amp;EOMONTH(設定!$B$5,0),先々月データ!$Z:$Z,$A59,先々月データ!$AA:$AA,1),SUMIFS(先々月データ!$Q:$Q,先々月データ!$K:$K,E$52,先々月データ!$A:$A,"&gt;="&amp;設定!$B$5,先々月データ!$A:$A,"&lt;="&amp;EOMONTH(設定!$B$5,0),先々月データ!$Z:$Z,$A59))/IF(E$52&lt;設定!$B$10,$G$44,$F$44)))/(設定!$B$15+設定!$B$16),IF(N(IF(E$52&lt;設定!$B$10,$C$44,$B$44))&gt;0,IF(OR(設定!$B$4="",IF(E$52&lt;設定!$B$10,$C$44,$B$44)=0),"",IF(E$52&lt;設定!$B$10,SUMIFS(先月データ!$Q:$Q,先月データ!$K:$K,E$52,先月データ!$A:$A,"&gt;="&amp;設定!$B$4,先月データ!$A:$A,"&lt;="&amp;EOMONTH(設定!$B$4,0),先月データ!$Z:$Z,$A59,先月データ!$AA:$AA,1),SUMIFS(先月データ!$Q:$Q,先月データ!$K:$K,E$52,先月データ!$A:$A,"&gt;="&amp;設定!$B$4,先月データ!$A:$A,"&lt;="&amp;EOMONTH(設定!$B$4,0),先月データ!$Z:$Z,$A59))/IF(E$52&lt;設定!$B$10,$C$44,$B$44)),IF(N(IF(E$52&lt;設定!$B$10,$G$44,$F$44))&gt;0,IF(OR(設定!$B$5="",IF(E$52&lt;設定!$B$10,$G$44,$F$44)=0),"",IF(E$52&lt;設定!$B$10,SUMIFS(先々月データ!$Q:$Q,先々月データ!$K:$K,E$52,先々月データ!$A:$A,"&gt;="&amp;設定!$B$5,先々月データ!$A:$A,"&lt;="&amp;EOMONTH(設定!$B$5,0),先々月データ!$Z:$Z,$A59,先々月データ!$AA:$AA,1),SUMIFS(先々月データ!$Q:$Q,先々月データ!$K:$K,E$52,先々月データ!$A:$A,"&gt;="&amp;設定!$B$5,先々月データ!$A:$A,"&lt;="&amp;EOMONTH(設定!$B$5,0),先々月データ!$Z:$Z,$A59))/IF(E$52&lt;設定!$B$10,$G$44,$F$44)),"")))</f>
        <v/>
      </c>
      <c r="F59" s="55" t="str">
        <f aca="false">IF(AND(N(IF(F$52&lt;設定!$B$10,$C$44,$B$44))&gt;0,N(IF(F$52&lt;設定!$B$10,$G$44,$F$44))&gt;0),(設定!$B$15*IF(OR(設定!$B$4="",IF(F$52&lt;設定!$B$10,$C$44,$B$44)=0),"",IF(F$52&lt;設定!$B$10,SUMIFS(先月データ!$Q:$Q,先月データ!$K:$K,F$52,先月データ!$A:$A,"&gt;="&amp;設定!$B$4,先月データ!$A:$A,"&lt;="&amp;EOMONTH(設定!$B$4,0),先月データ!$Z:$Z,$A59,先月データ!$AA:$AA,1),SUMIFS(先月データ!$Q:$Q,先月データ!$K:$K,F$52,先月データ!$A:$A,"&gt;="&amp;設定!$B$4,先月データ!$A:$A,"&lt;="&amp;EOMONTH(設定!$B$4,0),先月データ!$Z:$Z,$A59))/IF(F$52&lt;設定!$B$10,$C$44,$B$44))+設定!$B$16*IF(OR(設定!$B$5="",IF(F$52&lt;設定!$B$10,$G$44,$F$44)=0),"",IF(F$52&lt;設定!$B$10,SUMIFS(先々月データ!$Q:$Q,先々月データ!$K:$K,F$52,先々月データ!$A:$A,"&gt;="&amp;設定!$B$5,先々月データ!$A:$A,"&lt;="&amp;EOMONTH(設定!$B$5,0),先々月データ!$Z:$Z,$A59,先々月データ!$AA:$AA,1),SUMIFS(先々月データ!$Q:$Q,先々月データ!$K:$K,F$52,先々月データ!$A:$A,"&gt;="&amp;設定!$B$5,先々月データ!$A:$A,"&lt;="&amp;EOMONTH(設定!$B$5,0),先々月データ!$Z:$Z,$A59))/IF(F$52&lt;設定!$B$10,$G$44,$F$44)))/(設定!$B$15+設定!$B$16),IF(N(IF(F$52&lt;設定!$B$10,$C$44,$B$44))&gt;0,IF(OR(設定!$B$4="",IF(F$52&lt;設定!$B$10,$C$44,$B$44)=0),"",IF(F$52&lt;設定!$B$10,SUMIFS(先月データ!$Q:$Q,先月データ!$K:$K,F$52,先月データ!$A:$A,"&gt;="&amp;設定!$B$4,先月データ!$A:$A,"&lt;="&amp;EOMONTH(設定!$B$4,0),先月データ!$Z:$Z,$A59,先月データ!$AA:$AA,1),SUMIFS(先月データ!$Q:$Q,先月データ!$K:$K,F$52,先月データ!$A:$A,"&gt;="&amp;設定!$B$4,先月データ!$A:$A,"&lt;="&amp;EOMONTH(設定!$B$4,0),先月データ!$Z:$Z,$A59))/IF(F$52&lt;設定!$B$10,$C$44,$B$44)),IF(N(IF(F$52&lt;設定!$B$10,$G$44,$F$44))&gt;0,IF(OR(設定!$B$5="",IF(F$52&lt;設定!$B$10,$G$44,$F$44)=0),"",IF(F$52&lt;設定!$B$10,SUMIFS(先々月データ!$Q:$Q,先々月データ!$K:$K,F$52,先々月データ!$A:$A,"&gt;="&amp;設定!$B$5,先々月データ!$A:$A,"&lt;="&amp;EOMONTH(設定!$B$5,0),先々月データ!$Z:$Z,$A59,先々月データ!$AA:$AA,1),SUMIFS(先々月データ!$Q:$Q,先々月データ!$K:$K,F$52,先々月データ!$A:$A,"&gt;="&amp;設定!$B$5,先々月データ!$A:$A,"&lt;="&amp;EOMONTH(設定!$B$5,0),先々月データ!$Z:$Z,$A59))/IF(F$52&lt;設定!$B$10,$G$44,$F$44)),"")))</f>
        <v/>
      </c>
      <c r="G59" s="55" t="str">
        <f aca="false">IF(AND(N(IF(G$52&lt;設定!$B$10,$C$44,$B$44))&gt;0,N(IF(G$52&lt;設定!$B$10,$G$44,$F$44))&gt;0),(設定!$B$15*IF(OR(設定!$B$4="",IF(G$52&lt;設定!$B$10,$C$44,$B$44)=0),"",IF(G$52&lt;設定!$B$10,SUMIFS(先月データ!$Q:$Q,先月データ!$K:$K,G$52,先月データ!$A:$A,"&gt;="&amp;設定!$B$4,先月データ!$A:$A,"&lt;="&amp;EOMONTH(設定!$B$4,0),先月データ!$Z:$Z,$A59,先月データ!$AA:$AA,1),SUMIFS(先月データ!$Q:$Q,先月データ!$K:$K,G$52,先月データ!$A:$A,"&gt;="&amp;設定!$B$4,先月データ!$A:$A,"&lt;="&amp;EOMONTH(設定!$B$4,0),先月データ!$Z:$Z,$A59))/IF(G$52&lt;設定!$B$10,$C$44,$B$44))+設定!$B$16*IF(OR(設定!$B$5="",IF(G$52&lt;設定!$B$10,$G$44,$F$44)=0),"",IF(G$52&lt;設定!$B$10,SUMIFS(先々月データ!$Q:$Q,先々月データ!$K:$K,G$52,先々月データ!$A:$A,"&gt;="&amp;設定!$B$5,先々月データ!$A:$A,"&lt;="&amp;EOMONTH(設定!$B$5,0),先々月データ!$Z:$Z,$A59,先々月データ!$AA:$AA,1),SUMIFS(先々月データ!$Q:$Q,先々月データ!$K:$K,G$52,先々月データ!$A:$A,"&gt;="&amp;設定!$B$5,先々月データ!$A:$A,"&lt;="&amp;EOMONTH(設定!$B$5,0),先々月データ!$Z:$Z,$A59))/IF(G$52&lt;設定!$B$10,$G$44,$F$44)))/(設定!$B$15+設定!$B$16),IF(N(IF(G$52&lt;設定!$B$10,$C$44,$B$44))&gt;0,IF(OR(設定!$B$4="",IF(G$52&lt;設定!$B$10,$C$44,$B$44)=0),"",IF(G$52&lt;設定!$B$10,SUMIFS(先月データ!$Q:$Q,先月データ!$K:$K,G$52,先月データ!$A:$A,"&gt;="&amp;設定!$B$4,先月データ!$A:$A,"&lt;="&amp;EOMONTH(設定!$B$4,0),先月データ!$Z:$Z,$A59,先月データ!$AA:$AA,1),SUMIFS(先月データ!$Q:$Q,先月データ!$K:$K,G$52,先月データ!$A:$A,"&gt;="&amp;設定!$B$4,先月データ!$A:$A,"&lt;="&amp;EOMONTH(設定!$B$4,0),先月データ!$Z:$Z,$A59))/IF(G$52&lt;設定!$B$10,$C$44,$B$44)),IF(N(IF(G$52&lt;設定!$B$10,$G$44,$F$44))&gt;0,IF(OR(設定!$B$5="",IF(G$52&lt;設定!$B$10,$G$44,$F$44)=0),"",IF(G$52&lt;設定!$B$10,SUMIFS(先々月データ!$Q:$Q,先々月データ!$K:$K,G$52,先々月データ!$A:$A,"&gt;="&amp;設定!$B$5,先々月データ!$A:$A,"&lt;="&amp;EOMONTH(設定!$B$5,0),先々月データ!$Z:$Z,$A59,先々月データ!$AA:$AA,1),SUMIFS(先々月データ!$Q:$Q,先々月データ!$K:$K,G$52,先々月データ!$A:$A,"&gt;="&amp;設定!$B$5,先々月データ!$A:$A,"&lt;="&amp;EOMONTH(設定!$B$5,0),先々月データ!$Z:$Z,$A59))/IF(G$52&lt;設定!$B$10,$G$44,$F$44)),"")))</f>
        <v/>
      </c>
      <c r="H59" s="55" t="str">
        <f aca="false">IF(AND(N(IF(H$52&lt;設定!$B$10,$C$44,$B$44))&gt;0,N(IF(H$52&lt;設定!$B$10,$G$44,$F$44))&gt;0),(設定!$B$15*IF(OR(設定!$B$4="",IF(H$52&lt;設定!$B$10,$C$44,$B$44)=0),"",IF(H$52&lt;設定!$B$10,SUMIFS(先月データ!$Q:$Q,先月データ!$K:$K,H$52,先月データ!$A:$A,"&gt;="&amp;設定!$B$4,先月データ!$A:$A,"&lt;="&amp;EOMONTH(設定!$B$4,0),先月データ!$Z:$Z,$A59,先月データ!$AA:$AA,1),SUMIFS(先月データ!$Q:$Q,先月データ!$K:$K,H$52,先月データ!$A:$A,"&gt;="&amp;設定!$B$4,先月データ!$A:$A,"&lt;="&amp;EOMONTH(設定!$B$4,0),先月データ!$Z:$Z,$A59))/IF(H$52&lt;設定!$B$10,$C$44,$B$44))+設定!$B$16*IF(OR(設定!$B$5="",IF(H$52&lt;設定!$B$10,$G$44,$F$44)=0),"",IF(H$52&lt;設定!$B$10,SUMIFS(先々月データ!$Q:$Q,先々月データ!$K:$K,H$52,先々月データ!$A:$A,"&gt;="&amp;設定!$B$5,先々月データ!$A:$A,"&lt;="&amp;EOMONTH(設定!$B$5,0),先々月データ!$Z:$Z,$A59,先々月データ!$AA:$AA,1),SUMIFS(先々月データ!$Q:$Q,先々月データ!$K:$K,H$52,先々月データ!$A:$A,"&gt;="&amp;設定!$B$5,先々月データ!$A:$A,"&lt;="&amp;EOMONTH(設定!$B$5,0),先々月データ!$Z:$Z,$A59))/IF(H$52&lt;設定!$B$10,$G$44,$F$44)))/(設定!$B$15+設定!$B$16),IF(N(IF(H$52&lt;設定!$B$10,$C$44,$B$44))&gt;0,IF(OR(設定!$B$4="",IF(H$52&lt;設定!$B$10,$C$44,$B$44)=0),"",IF(H$52&lt;設定!$B$10,SUMIFS(先月データ!$Q:$Q,先月データ!$K:$K,H$52,先月データ!$A:$A,"&gt;="&amp;設定!$B$4,先月データ!$A:$A,"&lt;="&amp;EOMONTH(設定!$B$4,0),先月データ!$Z:$Z,$A59,先月データ!$AA:$AA,1),SUMIFS(先月データ!$Q:$Q,先月データ!$K:$K,H$52,先月データ!$A:$A,"&gt;="&amp;設定!$B$4,先月データ!$A:$A,"&lt;="&amp;EOMONTH(設定!$B$4,0),先月データ!$Z:$Z,$A59))/IF(H$52&lt;設定!$B$10,$C$44,$B$44)),IF(N(IF(H$52&lt;設定!$B$10,$G$44,$F$44))&gt;0,IF(OR(設定!$B$5="",IF(H$52&lt;設定!$B$10,$G$44,$F$44)=0),"",IF(H$52&lt;設定!$B$10,SUMIFS(先々月データ!$Q:$Q,先々月データ!$K:$K,H$52,先々月データ!$A:$A,"&gt;="&amp;設定!$B$5,先々月データ!$A:$A,"&lt;="&amp;EOMONTH(設定!$B$5,0),先々月データ!$Z:$Z,$A59,先々月データ!$AA:$AA,1),SUMIFS(先々月データ!$Q:$Q,先々月データ!$K:$K,H$52,先々月データ!$A:$A,"&gt;="&amp;設定!$B$5,先々月データ!$A:$A,"&lt;="&amp;EOMONTH(設定!$B$5,0),先々月データ!$Z:$Z,$A59))/IF(H$52&lt;設定!$B$10,$G$44,$F$44)),"")))</f>
        <v/>
      </c>
      <c r="I59" s="55" t="str">
        <f aca="false">IF(AND(N(IF(I$52&lt;設定!$B$10,$C$44,$B$44))&gt;0,N(IF(I$52&lt;設定!$B$10,$G$44,$F$44))&gt;0),(設定!$B$15*IF(OR(設定!$B$4="",IF(I$52&lt;設定!$B$10,$C$44,$B$44)=0),"",IF(I$52&lt;設定!$B$10,SUMIFS(先月データ!$Q:$Q,先月データ!$K:$K,I$52,先月データ!$A:$A,"&gt;="&amp;設定!$B$4,先月データ!$A:$A,"&lt;="&amp;EOMONTH(設定!$B$4,0),先月データ!$Z:$Z,$A59,先月データ!$AA:$AA,1),SUMIFS(先月データ!$Q:$Q,先月データ!$K:$K,I$52,先月データ!$A:$A,"&gt;="&amp;設定!$B$4,先月データ!$A:$A,"&lt;="&amp;EOMONTH(設定!$B$4,0),先月データ!$Z:$Z,$A59))/IF(I$52&lt;設定!$B$10,$C$44,$B$44))+設定!$B$16*IF(OR(設定!$B$5="",IF(I$52&lt;設定!$B$10,$G$44,$F$44)=0),"",IF(I$52&lt;設定!$B$10,SUMIFS(先々月データ!$Q:$Q,先々月データ!$K:$K,I$52,先々月データ!$A:$A,"&gt;="&amp;設定!$B$5,先々月データ!$A:$A,"&lt;="&amp;EOMONTH(設定!$B$5,0),先々月データ!$Z:$Z,$A59,先々月データ!$AA:$AA,1),SUMIFS(先々月データ!$Q:$Q,先々月データ!$K:$K,I$52,先々月データ!$A:$A,"&gt;="&amp;設定!$B$5,先々月データ!$A:$A,"&lt;="&amp;EOMONTH(設定!$B$5,0),先々月データ!$Z:$Z,$A59))/IF(I$52&lt;設定!$B$10,$G$44,$F$44)))/(設定!$B$15+設定!$B$16),IF(N(IF(I$52&lt;設定!$B$10,$C$44,$B$44))&gt;0,IF(OR(設定!$B$4="",IF(I$52&lt;設定!$B$10,$C$44,$B$44)=0),"",IF(I$52&lt;設定!$B$10,SUMIFS(先月データ!$Q:$Q,先月データ!$K:$K,I$52,先月データ!$A:$A,"&gt;="&amp;設定!$B$4,先月データ!$A:$A,"&lt;="&amp;EOMONTH(設定!$B$4,0),先月データ!$Z:$Z,$A59,先月データ!$AA:$AA,1),SUMIFS(先月データ!$Q:$Q,先月データ!$K:$K,I$52,先月データ!$A:$A,"&gt;="&amp;設定!$B$4,先月データ!$A:$A,"&lt;="&amp;EOMONTH(設定!$B$4,0),先月データ!$Z:$Z,$A59))/IF(I$52&lt;設定!$B$10,$C$44,$B$44)),IF(N(IF(I$52&lt;設定!$B$10,$G$44,$F$44))&gt;0,IF(OR(設定!$B$5="",IF(I$52&lt;設定!$B$10,$G$44,$F$44)=0),"",IF(I$52&lt;設定!$B$10,SUMIFS(先々月データ!$Q:$Q,先々月データ!$K:$K,I$52,先々月データ!$A:$A,"&gt;="&amp;設定!$B$5,先々月データ!$A:$A,"&lt;="&amp;EOMONTH(設定!$B$5,0),先々月データ!$Z:$Z,$A59,先々月データ!$AA:$AA,1),SUMIFS(先々月データ!$Q:$Q,先々月データ!$K:$K,I$52,先々月データ!$A:$A,"&gt;="&amp;設定!$B$5,先々月データ!$A:$A,"&lt;="&amp;EOMONTH(設定!$B$5,0),先々月データ!$Z:$Z,$A59))/IF(I$52&lt;設定!$B$10,$G$44,$F$44)),"")))</f>
        <v/>
      </c>
      <c r="J59" s="55" t="str">
        <f aca="false">IF(AND(N(IF(J$52&lt;設定!$B$10,$C$44,$B$44))&gt;0,N(IF(J$52&lt;設定!$B$10,$G$44,$F$44))&gt;0),(設定!$B$15*IF(OR(設定!$B$4="",IF(J$52&lt;設定!$B$10,$C$44,$B$44)=0),"",IF(J$52&lt;設定!$B$10,SUMIFS(先月データ!$Q:$Q,先月データ!$K:$K,J$52,先月データ!$A:$A,"&gt;="&amp;設定!$B$4,先月データ!$A:$A,"&lt;="&amp;EOMONTH(設定!$B$4,0),先月データ!$Z:$Z,$A59,先月データ!$AA:$AA,1),SUMIFS(先月データ!$Q:$Q,先月データ!$K:$K,J$52,先月データ!$A:$A,"&gt;="&amp;設定!$B$4,先月データ!$A:$A,"&lt;="&amp;EOMONTH(設定!$B$4,0),先月データ!$Z:$Z,$A59))/IF(J$52&lt;設定!$B$10,$C$44,$B$44))+設定!$B$16*IF(OR(設定!$B$5="",IF(J$52&lt;設定!$B$10,$G$44,$F$44)=0),"",IF(J$52&lt;設定!$B$10,SUMIFS(先々月データ!$Q:$Q,先々月データ!$K:$K,J$52,先々月データ!$A:$A,"&gt;="&amp;設定!$B$5,先々月データ!$A:$A,"&lt;="&amp;EOMONTH(設定!$B$5,0),先々月データ!$Z:$Z,$A59,先々月データ!$AA:$AA,1),SUMIFS(先々月データ!$Q:$Q,先々月データ!$K:$K,J$52,先々月データ!$A:$A,"&gt;="&amp;設定!$B$5,先々月データ!$A:$A,"&lt;="&amp;EOMONTH(設定!$B$5,0),先々月データ!$Z:$Z,$A59))/IF(J$52&lt;設定!$B$10,$G$44,$F$44)))/(設定!$B$15+設定!$B$16),IF(N(IF(J$52&lt;設定!$B$10,$C$44,$B$44))&gt;0,IF(OR(設定!$B$4="",IF(J$52&lt;設定!$B$10,$C$44,$B$44)=0),"",IF(J$52&lt;設定!$B$10,SUMIFS(先月データ!$Q:$Q,先月データ!$K:$K,J$52,先月データ!$A:$A,"&gt;="&amp;設定!$B$4,先月データ!$A:$A,"&lt;="&amp;EOMONTH(設定!$B$4,0),先月データ!$Z:$Z,$A59,先月データ!$AA:$AA,1),SUMIFS(先月データ!$Q:$Q,先月データ!$K:$K,J$52,先月データ!$A:$A,"&gt;="&amp;設定!$B$4,先月データ!$A:$A,"&lt;="&amp;EOMONTH(設定!$B$4,0),先月データ!$Z:$Z,$A59))/IF(J$52&lt;設定!$B$10,$C$44,$B$44)),IF(N(IF(J$52&lt;設定!$B$10,$G$44,$F$44))&gt;0,IF(OR(設定!$B$5="",IF(J$52&lt;設定!$B$10,$G$44,$F$44)=0),"",IF(J$52&lt;設定!$B$10,SUMIFS(先々月データ!$Q:$Q,先々月データ!$K:$K,J$52,先々月データ!$A:$A,"&gt;="&amp;設定!$B$5,先々月データ!$A:$A,"&lt;="&amp;EOMONTH(設定!$B$5,0),先々月データ!$Z:$Z,$A59,先々月データ!$AA:$AA,1),SUMIFS(先々月データ!$Q:$Q,先々月データ!$K:$K,J$52,先々月データ!$A:$A,"&gt;="&amp;設定!$B$5,先々月データ!$A:$A,"&lt;="&amp;EOMONTH(設定!$B$5,0),先々月データ!$Z:$Z,$A59))/IF(J$52&lt;設定!$B$10,$G$44,$F$44)),"")))</f>
        <v/>
      </c>
      <c r="K59" s="55" t="str">
        <f aca="false">IF(AND(N(IF(K$52&lt;設定!$B$10,$C$44,$B$44))&gt;0,N(IF(K$52&lt;設定!$B$10,$G$44,$F$44))&gt;0),(設定!$B$15*IF(OR(設定!$B$4="",IF(K$52&lt;設定!$B$10,$C$44,$B$44)=0),"",IF(K$52&lt;設定!$B$10,SUMIFS(先月データ!$Q:$Q,先月データ!$K:$K,K$52,先月データ!$A:$A,"&gt;="&amp;設定!$B$4,先月データ!$A:$A,"&lt;="&amp;EOMONTH(設定!$B$4,0),先月データ!$Z:$Z,$A59,先月データ!$AA:$AA,1),SUMIFS(先月データ!$Q:$Q,先月データ!$K:$K,K$52,先月データ!$A:$A,"&gt;="&amp;設定!$B$4,先月データ!$A:$A,"&lt;="&amp;EOMONTH(設定!$B$4,0),先月データ!$Z:$Z,$A59))/IF(K$52&lt;設定!$B$10,$C$44,$B$44))+設定!$B$16*IF(OR(設定!$B$5="",IF(K$52&lt;設定!$B$10,$G$44,$F$44)=0),"",IF(K$52&lt;設定!$B$10,SUMIFS(先々月データ!$Q:$Q,先々月データ!$K:$K,K$52,先々月データ!$A:$A,"&gt;="&amp;設定!$B$5,先々月データ!$A:$A,"&lt;="&amp;EOMONTH(設定!$B$5,0),先々月データ!$Z:$Z,$A59,先々月データ!$AA:$AA,1),SUMIFS(先々月データ!$Q:$Q,先々月データ!$K:$K,K$52,先々月データ!$A:$A,"&gt;="&amp;設定!$B$5,先々月データ!$A:$A,"&lt;="&amp;EOMONTH(設定!$B$5,0),先々月データ!$Z:$Z,$A59))/IF(K$52&lt;設定!$B$10,$G$44,$F$44)))/(設定!$B$15+設定!$B$16),IF(N(IF(K$52&lt;設定!$B$10,$C$44,$B$44))&gt;0,IF(OR(設定!$B$4="",IF(K$52&lt;設定!$B$10,$C$44,$B$44)=0),"",IF(K$52&lt;設定!$B$10,SUMIFS(先月データ!$Q:$Q,先月データ!$K:$K,K$52,先月データ!$A:$A,"&gt;="&amp;設定!$B$4,先月データ!$A:$A,"&lt;="&amp;EOMONTH(設定!$B$4,0),先月データ!$Z:$Z,$A59,先月データ!$AA:$AA,1),SUMIFS(先月データ!$Q:$Q,先月データ!$K:$K,K$52,先月データ!$A:$A,"&gt;="&amp;設定!$B$4,先月データ!$A:$A,"&lt;="&amp;EOMONTH(設定!$B$4,0),先月データ!$Z:$Z,$A59))/IF(K$52&lt;設定!$B$10,$C$44,$B$44)),IF(N(IF(K$52&lt;設定!$B$10,$G$44,$F$44))&gt;0,IF(OR(設定!$B$5="",IF(K$52&lt;設定!$B$10,$G$44,$F$44)=0),"",IF(K$52&lt;設定!$B$10,SUMIFS(先々月データ!$Q:$Q,先々月データ!$K:$K,K$52,先々月データ!$A:$A,"&gt;="&amp;設定!$B$5,先々月データ!$A:$A,"&lt;="&amp;EOMONTH(設定!$B$5,0),先々月データ!$Z:$Z,$A59,先々月データ!$AA:$AA,1),SUMIFS(先々月データ!$Q:$Q,先々月データ!$K:$K,K$52,先々月データ!$A:$A,"&gt;="&amp;設定!$B$5,先々月データ!$A:$A,"&lt;="&amp;EOMONTH(設定!$B$5,0),先々月データ!$Z:$Z,$A59))/IF(K$52&lt;設定!$B$10,$G$44,$F$44)),"")))</f>
        <v/>
      </c>
      <c r="L59" s="55" t="str">
        <f aca="false">IF(AND(N(IF(L$52&lt;設定!$B$10,$C$44,$B$44))&gt;0,N(IF(L$52&lt;設定!$B$10,$G$44,$F$44))&gt;0),(設定!$B$15*IF(OR(設定!$B$4="",IF(L$52&lt;設定!$B$10,$C$44,$B$44)=0),"",IF(L$52&lt;設定!$B$10,SUMIFS(先月データ!$Q:$Q,先月データ!$K:$K,L$52,先月データ!$A:$A,"&gt;="&amp;設定!$B$4,先月データ!$A:$A,"&lt;="&amp;EOMONTH(設定!$B$4,0),先月データ!$Z:$Z,$A59,先月データ!$AA:$AA,1),SUMIFS(先月データ!$Q:$Q,先月データ!$K:$K,L$52,先月データ!$A:$A,"&gt;="&amp;設定!$B$4,先月データ!$A:$A,"&lt;="&amp;EOMONTH(設定!$B$4,0),先月データ!$Z:$Z,$A59))/IF(L$52&lt;設定!$B$10,$C$44,$B$44))+設定!$B$16*IF(OR(設定!$B$5="",IF(L$52&lt;設定!$B$10,$G$44,$F$44)=0),"",IF(L$52&lt;設定!$B$10,SUMIFS(先々月データ!$Q:$Q,先々月データ!$K:$K,L$52,先々月データ!$A:$A,"&gt;="&amp;設定!$B$5,先々月データ!$A:$A,"&lt;="&amp;EOMONTH(設定!$B$5,0),先々月データ!$Z:$Z,$A59,先々月データ!$AA:$AA,1),SUMIFS(先々月データ!$Q:$Q,先々月データ!$K:$K,L$52,先々月データ!$A:$A,"&gt;="&amp;設定!$B$5,先々月データ!$A:$A,"&lt;="&amp;EOMONTH(設定!$B$5,0),先々月データ!$Z:$Z,$A59))/IF(L$52&lt;設定!$B$10,$G$44,$F$44)))/(設定!$B$15+設定!$B$16),IF(N(IF(L$52&lt;設定!$B$10,$C$44,$B$44))&gt;0,IF(OR(設定!$B$4="",IF(L$52&lt;設定!$B$10,$C$44,$B$44)=0),"",IF(L$52&lt;設定!$B$10,SUMIFS(先月データ!$Q:$Q,先月データ!$K:$K,L$52,先月データ!$A:$A,"&gt;="&amp;設定!$B$4,先月データ!$A:$A,"&lt;="&amp;EOMONTH(設定!$B$4,0),先月データ!$Z:$Z,$A59,先月データ!$AA:$AA,1),SUMIFS(先月データ!$Q:$Q,先月データ!$K:$K,L$52,先月データ!$A:$A,"&gt;="&amp;設定!$B$4,先月データ!$A:$A,"&lt;="&amp;EOMONTH(設定!$B$4,0),先月データ!$Z:$Z,$A59))/IF(L$52&lt;設定!$B$10,$C$44,$B$44)),IF(N(IF(L$52&lt;設定!$B$10,$G$44,$F$44))&gt;0,IF(OR(設定!$B$5="",IF(L$52&lt;設定!$B$10,$G$44,$F$44)=0),"",IF(L$52&lt;設定!$B$10,SUMIFS(先々月データ!$Q:$Q,先々月データ!$K:$K,L$52,先々月データ!$A:$A,"&gt;="&amp;設定!$B$5,先々月データ!$A:$A,"&lt;="&amp;EOMONTH(設定!$B$5,0),先々月データ!$Z:$Z,$A59,先々月データ!$AA:$AA,1),SUMIFS(先々月データ!$Q:$Q,先々月データ!$K:$K,L$52,先々月データ!$A:$A,"&gt;="&amp;設定!$B$5,先々月データ!$A:$A,"&lt;="&amp;EOMONTH(設定!$B$5,0),先々月データ!$Z:$Z,$A59))/IF(L$52&lt;設定!$B$10,$G$44,$F$44)),"")))</f>
        <v/>
      </c>
      <c r="M59" s="55" t="str">
        <f aca="false">IF(AND(N(IF(M$52&lt;設定!$B$10,$C$44,$B$44))&gt;0,N(IF(M$52&lt;設定!$B$10,$G$44,$F$44))&gt;0),(設定!$B$15*IF(OR(設定!$B$4="",IF(M$52&lt;設定!$B$10,$C$44,$B$44)=0),"",IF(M$52&lt;設定!$B$10,SUMIFS(先月データ!$Q:$Q,先月データ!$K:$K,M$52,先月データ!$A:$A,"&gt;="&amp;設定!$B$4,先月データ!$A:$A,"&lt;="&amp;EOMONTH(設定!$B$4,0),先月データ!$Z:$Z,$A59,先月データ!$AA:$AA,1),SUMIFS(先月データ!$Q:$Q,先月データ!$K:$K,M$52,先月データ!$A:$A,"&gt;="&amp;設定!$B$4,先月データ!$A:$A,"&lt;="&amp;EOMONTH(設定!$B$4,0),先月データ!$Z:$Z,$A59))/IF(M$52&lt;設定!$B$10,$C$44,$B$44))+設定!$B$16*IF(OR(設定!$B$5="",IF(M$52&lt;設定!$B$10,$G$44,$F$44)=0),"",IF(M$52&lt;設定!$B$10,SUMIFS(先々月データ!$Q:$Q,先々月データ!$K:$K,M$52,先々月データ!$A:$A,"&gt;="&amp;設定!$B$5,先々月データ!$A:$A,"&lt;="&amp;EOMONTH(設定!$B$5,0),先々月データ!$Z:$Z,$A59,先々月データ!$AA:$AA,1),SUMIFS(先々月データ!$Q:$Q,先々月データ!$K:$K,M$52,先々月データ!$A:$A,"&gt;="&amp;設定!$B$5,先々月データ!$A:$A,"&lt;="&amp;EOMONTH(設定!$B$5,0),先々月データ!$Z:$Z,$A59))/IF(M$52&lt;設定!$B$10,$G$44,$F$44)))/(設定!$B$15+設定!$B$16),IF(N(IF(M$52&lt;設定!$B$10,$C$44,$B$44))&gt;0,IF(OR(設定!$B$4="",IF(M$52&lt;設定!$B$10,$C$44,$B$44)=0),"",IF(M$52&lt;設定!$B$10,SUMIFS(先月データ!$Q:$Q,先月データ!$K:$K,M$52,先月データ!$A:$A,"&gt;="&amp;設定!$B$4,先月データ!$A:$A,"&lt;="&amp;EOMONTH(設定!$B$4,0),先月データ!$Z:$Z,$A59,先月データ!$AA:$AA,1),SUMIFS(先月データ!$Q:$Q,先月データ!$K:$K,M$52,先月データ!$A:$A,"&gt;="&amp;設定!$B$4,先月データ!$A:$A,"&lt;="&amp;EOMONTH(設定!$B$4,0),先月データ!$Z:$Z,$A59))/IF(M$52&lt;設定!$B$10,$C$44,$B$44)),IF(N(IF(M$52&lt;設定!$B$10,$G$44,$F$44))&gt;0,IF(OR(設定!$B$5="",IF(M$52&lt;設定!$B$10,$G$44,$F$44)=0),"",IF(M$52&lt;設定!$B$10,SUMIFS(先々月データ!$Q:$Q,先々月データ!$K:$K,M$52,先々月データ!$A:$A,"&gt;="&amp;設定!$B$5,先々月データ!$A:$A,"&lt;="&amp;EOMONTH(設定!$B$5,0),先々月データ!$Z:$Z,$A59,先々月データ!$AA:$AA,1),SUMIFS(先々月データ!$Q:$Q,先々月データ!$K:$K,M$52,先々月データ!$A:$A,"&gt;="&amp;設定!$B$5,先々月データ!$A:$A,"&lt;="&amp;EOMONTH(設定!$B$5,0),先々月データ!$Z:$Z,$A59))/IF(M$52&lt;設定!$B$10,$G$44,$F$44)),"")))</f>
        <v/>
      </c>
      <c r="N59" s="55" t="str">
        <f aca="false">IF(AND(N(IF(N$52&lt;設定!$B$10,$C$44,$B$44))&gt;0,N(IF(N$52&lt;設定!$B$10,$G$44,$F$44))&gt;0),(設定!$B$15*IF(OR(設定!$B$4="",IF(N$52&lt;設定!$B$10,$C$44,$B$44)=0),"",IF(N$52&lt;設定!$B$10,SUMIFS(先月データ!$Q:$Q,先月データ!$K:$K,N$52,先月データ!$A:$A,"&gt;="&amp;設定!$B$4,先月データ!$A:$A,"&lt;="&amp;EOMONTH(設定!$B$4,0),先月データ!$Z:$Z,$A59,先月データ!$AA:$AA,1),SUMIFS(先月データ!$Q:$Q,先月データ!$K:$K,N$52,先月データ!$A:$A,"&gt;="&amp;設定!$B$4,先月データ!$A:$A,"&lt;="&amp;EOMONTH(設定!$B$4,0),先月データ!$Z:$Z,$A59))/IF(N$52&lt;設定!$B$10,$C$44,$B$44))+設定!$B$16*IF(OR(設定!$B$5="",IF(N$52&lt;設定!$B$10,$G$44,$F$44)=0),"",IF(N$52&lt;設定!$B$10,SUMIFS(先々月データ!$Q:$Q,先々月データ!$K:$K,N$52,先々月データ!$A:$A,"&gt;="&amp;設定!$B$5,先々月データ!$A:$A,"&lt;="&amp;EOMONTH(設定!$B$5,0),先々月データ!$Z:$Z,$A59,先々月データ!$AA:$AA,1),SUMIFS(先々月データ!$Q:$Q,先々月データ!$K:$K,N$52,先々月データ!$A:$A,"&gt;="&amp;設定!$B$5,先々月データ!$A:$A,"&lt;="&amp;EOMONTH(設定!$B$5,0),先々月データ!$Z:$Z,$A59))/IF(N$52&lt;設定!$B$10,$G$44,$F$44)))/(設定!$B$15+設定!$B$16),IF(N(IF(N$52&lt;設定!$B$10,$C$44,$B$44))&gt;0,IF(OR(設定!$B$4="",IF(N$52&lt;設定!$B$10,$C$44,$B$44)=0),"",IF(N$52&lt;設定!$B$10,SUMIFS(先月データ!$Q:$Q,先月データ!$K:$K,N$52,先月データ!$A:$A,"&gt;="&amp;設定!$B$4,先月データ!$A:$A,"&lt;="&amp;EOMONTH(設定!$B$4,0),先月データ!$Z:$Z,$A59,先月データ!$AA:$AA,1),SUMIFS(先月データ!$Q:$Q,先月データ!$K:$K,N$52,先月データ!$A:$A,"&gt;="&amp;設定!$B$4,先月データ!$A:$A,"&lt;="&amp;EOMONTH(設定!$B$4,0),先月データ!$Z:$Z,$A59))/IF(N$52&lt;設定!$B$10,$C$44,$B$44)),IF(N(IF(N$52&lt;設定!$B$10,$G$44,$F$44))&gt;0,IF(OR(設定!$B$5="",IF(N$52&lt;設定!$B$10,$G$44,$F$44)=0),"",IF(N$52&lt;設定!$B$10,SUMIFS(先々月データ!$Q:$Q,先々月データ!$K:$K,N$52,先々月データ!$A:$A,"&gt;="&amp;設定!$B$5,先々月データ!$A:$A,"&lt;="&amp;EOMONTH(設定!$B$5,0),先々月データ!$Z:$Z,$A59,先々月データ!$AA:$AA,1),SUMIFS(先々月データ!$Q:$Q,先々月データ!$K:$K,N$52,先々月データ!$A:$A,"&gt;="&amp;設定!$B$5,先々月データ!$A:$A,"&lt;="&amp;EOMONTH(設定!$B$5,0),先々月データ!$Z:$Z,$A59))/IF(N$52&lt;設定!$B$10,$G$44,$F$44)),"")))</f>
        <v/>
      </c>
      <c r="O59" s="55" t="n">
        <f aca="false">SUMIF($B$52:$N$52,"&lt;"&amp;設定!$B$10,B59:N59)</f>
        <v>0</v>
      </c>
      <c r="P59" s="55" t="n">
        <f aca="false">SUMIF($B$52:$N$52,"&gt;="&amp;設定!$B$10,B59:N59)</f>
        <v>0</v>
      </c>
    </row>
    <row r="60" customFormat="false" ht="15" hidden="false" customHeight="false" outlineLevel="0" collapsed="false">
      <c r="A60" s="47" t="s">
        <v>212</v>
      </c>
      <c r="B60" s="55" t="str">
        <f aca="false">IF(AND(N(IF(B$52&lt;設定!$B$10,$C$45,$B$45))&gt;0,N(IF(B$52&lt;設定!$B$10,$G$45,$F$45))&gt;0),(設定!$B$15*IF(OR(設定!$B$4="",IF(B$52&lt;設定!$B$10,$C$45,$B$45)=0),"",IF(B$52&lt;設定!$B$10,SUMIFS(先月データ!$Q:$Q,先月データ!$K:$K,B$52,先月データ!$A:$A,"&gt;="&amp;設定!$B$4,先月データ!$A:$A,"&lt;="&amp;EOMONTH(設定!$B$4,0),先月データ!$Z:$Z,$A60,先月データ!$AA:$AA,1),SUMIFS(先月データ!$Q:$Q,先月データ!$K:$K,B$52,先月データ!$A:$A,"&gt;="&amp;設定!$B$4,先月データ!$A:$A,"&lt;="&amp;EOMONTH(設定!$B$4,0),先月データ!$Z:$Z,$A60))/IF(B$52&lt;設定!$B$10,$C$45,$B$45))+設定!$B$16*IF(OR(設定!$B$5="",IF(B$52&lt;設定!$B$10,$G$45,$F$45)=0),"",IF(B$52&lt;設定!$B$10,SUMIFS(先々月データ!$Q:$Q,先々月データ!$K:$K,B$52,先々月データ!$A:$A,"&gt;="&amp;設定!$B$5,先々月データ!$A:$A,"&lt;="&amp;EOMONTH(設定!$B$5,0),先々月データ!$Z:$Z,$A60,先々月データ!$AA:$AA,1),SUMIFS(先々月データ!$Q:$Q,先々月データ!$K:$K,B$52,先々月データ!$A:$A,"&gt;="&amp;設定!$B$5,先々月データ!$A:$A,"&lt;="&amp;EOMONTH(設定!$B$5,0),先々月データ!$Z:$Z,$A60))/IF(B$52&lt;設定!$B$10,$G$45,$F$45)))/(設定!$B$15+設定!$B$16),IF(N(IF(B$52&lt;設定!$B$10,$C$45,$B$45))&gt;0,IF(OR(設定!$B$4="",IF(B$52&lt;設定!$B$10,$C$45,$B$45)=0),"",IF(B$52&lt;設定!$B$10,SUMIFS(先月データ!$Q:$Q,先月データ!$K:$K,B$52,先月データ!$A:$A,"&gt;="&amp;設定!$B$4,先月データ!$A:$A,"&lt;="&amp;EOMONTH(設定!$B$4,0),先月データ!$Z:$Z,$A60,先月データ!$AA:$AA,1),SUMIFS(先月データ!$Q:$Q,先月データ!$K:$K,B$52,先月データ!$A:$A,"&gt;="&amp;設定!$B$4,先月データ!$A:$A,"&lt;="&amp;EOMONTH(設定!$B$4,0),先月データ!$Z:$Z,$A60))/IF(B$52&lt;設定!$B$10,$C$45,$B$45)),IF(N(IF(B$52&lt;設定!$B$10,$G$45,$F$45))&gt;0,IF(OR(設定!$B$5="",IF(B$52&lt;設定!$B$10,$G$45,$F$45)=0),"",IF(B$52&lt;設定!$B$10,SUMIFS(先々月データ!$Q:$Q,先々月データ!$K:$K,B$52,先々月データ!$A:$A,"&gt;="&amp;設定!$B$5,先々月データ!$A:$A,"&lt;="&amp;EOMONTH(設定!$B$5,0),先々月データ!$Z:$Z,$A60,先々月データ!$AA:$AA,1),SUMIFS(先々月データ!$Q:$Q,先々月データ!$K:$K,B$52,先々月データ!$A:$A,"&gt;="&amp;設定!$B$5,先々月データ!$A:$A,"&lt;="&amp;EOMONTH(設定!$B$5,0),先々月データ!$Z:$Z,$A60))/IF(B$52&lt;設定!$B$10,$G$45,$F$45)),"")))</f>
        <v/>
      </c>
      <c r="C60" s="55" t="str">
        <f aca="false">IF(AND(N(IF(C$52&lt;設定!$B$10,$C$45,$B$45))&gt;0,N(IF(C$52&lt;設定!$B$10,$G$45,$F$45))&gt;0),(設定!$B$15*IF(OR(設定!$B$4="",IF(C$52&lt;設定!$B$10,$C$45,$B$45)=0),"",IF(C$52&lt;設定!$B$10,SUMIFS(先月データ!$Q:$Q,先月データ!$K:$K,C$52,先月データ!$A:$A,"&gt;="&amp;設定!$B$4,先月データ!$A:$A,"&lt;="&amp;EOMONTH(設定!$B$4,0),先月データ!$Z:$Z,$A60,先月データ!$AA:$AA,1),SUMIFS(先月データ!$Q:$Q,先月データ!$K:$K,C$52,先月データ!$A:$A,"&gt;="&amp;設定!$B$4,先月データ!$A:$A,"&lt;="&amp;EOMONTH(設定!$B$4,0),先月データ!$Z:$Z,$A60))/IF(C$52&lt;設定!$B$10,$C$45,$B$45))+設定!$B$16*IF(OR(設定!$B$5="",IF(C$52&lt;設定!$B$10,$G$45,$F$45)=0),"",IF(C$52&lt;設定!$B$10,SUMIFS(先々月データ!$Q:$Q,先々月データ!$K:$K,C$52,先々月データ!$A:$A,"&gt;="&amp;設定!$B$5,先々月データ!$A:$A,"&lt;="&amp;EOMONTH(設定!$B$5,0),先々月データ!$Z:$Z,$A60,先々月データ!$AA:$AA,1),SUMIFS(先々月データ!$Q:$Q,先々月データ!$K:$K,C$52,先々月データ!$A:$A,"&gt;="&amp;設定!$B$5,先々月データ!$A:$A,"&lt;="&amp;EOMONTH(設定!$B$5,0),先々月データ!$Z:$Z,$A60))/IF(C$52&lt;設定!$B$10,$G$45,$F$45)))/(設定!$B$15+設定!$B$16),IF(N(IF(C$52&lt;設定!$B$10,$C$45,$B$45))&gt;0,IF(OR(設定!$B$4="",IF(C$52&lt;設定!$B$10,$C$45,$B$45)=0),"",IF(C$52&lt;設定!$B$10,SUMIFS(先月データ!$Q:$Q,先月データ!$K:$K,C$52,先月データ!$A:$A,"&gt;="&amp;設定!$B$4,先月データ!$A:$A,"&lt;="&amp;EOMONTH(設定!$B$4,0),先月データ!$Z:$Z,$A60,先月データ!$AA:$AA,1),SUMIFS(先月データ!$Q:$Q,先月データ!$K:$K,C$52,先月データ!$A:$A,"&gt;="&amp;設定!$B$4,先月データ!$A:$A,"&lt;="&amp;EOMONTH(設定!$B$4,0),先月データ!$Z:$Z,$A60))/IF(C$52&lt;設定!$B$10,$C$45,$B$45)),IF(N(IF(C$52&lt;設定!$B$10,$G$45,$F$45))&gt;0,IF(OR(設定!$B$5="",IF(C$52&lt;設定!$B$10,$G$45,$F$45)=0),"",IF(C$52&lt;設定!$B$10,SUMIFS(先々月データ!$Q:$Q,先々月データ!$K:$K,C$52,先々月データ!$A:$A,"&gt;="&amp;設定!$B$5,先々月データ!$A:$A,"&lt;="&amp;EOMONTH(設定!$B$5,0),先々月データ!$Z:$Z,$A60,先々月データ!$AA:$AA,1),SUMIFS(先々月データ!$Q:$Q,先々月データ!$K:$K,C$52,先々月データ!$A:$A,"&gt;="&amp;設定!$B$5,先々月データ!$A:$A,"&lt;="&amp;EOMONTH(設定!$B$5,0),先々月データ!$Z:$Z,$A60))/IF(C$52&lt;設定!$B$10,$G$45,$F$45)),"")))</f>
        <v/>
      </c>
      <c r="D60" s="55" t="str">
        <f aca="false">IF(AND(N(IF(D$52&lt;設定!$B$10,$C$45,$B$45))&gt;0,N(IF(D$52&lt;設定!$B$10,$G$45,$F$45))&gt;0),(設定!$B$15*IF(OR(設定!$B$4="",IF(D$52&lt;設定!$B$10,$C$45,$B$45)=0),"",IF(D$52&lt;設定!$B$10,SUMIFS(先月データ!$Q:$Q,先月データ!$K:$K,D$52,先月データ!$A:$A,"&gt;="&amp;設定!$B$4,先月データ!$A:$A,"&lt;="&amp;EOMONTH(設定!$B$4,0),先月データ!$Z:$Z,$A60,先月データ!$AA:$AA,1),SUMIFS(先月データ!$Q:$Q,先月データ!$K:$K,D$52,先月データ!$A:$A,"&gt;="&amp;設定!$B$4,先月データ!$A:$A,"&lt;="&amp;EOMONTH(設定!$B$4,0),先月データ!$Z:$Z,$A60))/IF(D$52&lt;設定!$B$10,$C$45,$B$45))+設定!$B$16*IF(OR(設定!$B$5="",IF(D$52&lt;設定!$B$10,$G$45,$F$45)=0),"",IF(D$52&lt;設定!$B$10,SUMIFS(先々月データ!$Q:$Q,先々月データ!$K:$K,D$52,先々月データ!$A:$A,"&gt;="&amp;設定!$B$5,先々月データ!$A:$A,"&lt;="&amp;EOMONTH(設定!$B$5,0),先々月データ!$Z:$Z,$A60,先々月データ!$AA:$AA,1),SUMIFS(先々月データ!$Q:$Q,先々月データ!$K:$K,D$52,先々月データ!$A:$A,"&gt;="&amp;設定!$B$5,先々月データ!$A:$A,"&lt;="&amp;EOMONTH(設定!$B$5,0),先々月データ!$Z:$Z,$A60))/IF(D$52&lt;設定!$B$10,$G$45,$F$45)))/(設定!$B$15+設定!$B$16),IF(N(IF(D$52&lt;設定!$B$10,$C$45,$B$45))&gt;0,IF(OR(設定!$B$4="",IF(D$52&lt;設定!$B$10,$C$45,$B$45)=0),"",IF(D$52&lt;設定!$B$10,SUMIFS(先月データ!$Q:$Q,先月データ!$K:$K,D$52,先月データ!$A:$A,"&gt;="&amp;設定!$B$4,先月データ!$A:$A,"&lt;="&amp;EOMONTH(設定!$B$4,0),先月データ!$Z:$Z,$A60,先月データ!$AA:$AA,1),SUMIFS(先月データ!$Q:$Q,先月データ!$K:$K,D$52,先月データ!$A:$A,"&gt;="&amp;設定!$B$4,先月データ!$A:$A,"&lt;="&amp;EOMONTH(設定!$B$4,0),先月データ!$Z:$Z,$A60))/IF(D$52&lt;設定!$B$10,$C$45,$B$45)),IF(N(IF(D$52&lt;設定!$B$10,$G$45,$F$45))&gt;0,IF(OR(設定!$B$5="",IF(D$52&lt;設定!$B$10,$G$45,$F$45)=0),"",IF(D$52&lt;設定!$B$10,SUMIFS(先々月データ!$Q:$Q,先々月データ!$K:$K,D$52,先々月データ!$A:$A,"&gt;="&amp;設定!$B$5,先々月データ!$A:$A,"&lt;="&amp;EOMONTH(設定!$B$5,0),先々月データ!$Z:$Z,$A60,先々月データ!$AA:$AA,1),SUMIFS(先々月データ!$Q:$Q,先々月データ!$K:$K,D$52,先々月データ!$A:$A,"&gt;="&amp;設定!$B$5,先々月データ!$A:$A,"&lt;="&amp;EOMONTH(設定!$B$5,0),先々月データ!$Z:$Z,$A60))/IF(D$52&lt;設定!$B$10,$G$45,$F$45)),"")))</f>
        <v/>
      </c>
      <c r="E60" s="55" t="str">
        <f aca="false">IF(AND(N(IF(E$52&lt;設定!$B$10,$C$45,$B$45))&gt;0,N(IF(E$52&lt;設定!$B$10,$G$45,$F$45))&gt;0),(設定!$B$15*IF(OR(設定!$B$4="",IF(E$52&lt;設定!$B$10,$C$45,$B$45)=0),"",IF(E$52&lt;設定!$B$10,SUMIFS(先月データ!$Q:$Q,先月データ!$K:$K,E$52,先月データ!$A:$A,"&gt;="&amp;設定!$B$4,先月データ!$A:$A,"&lt;="&amp;EOMONTH(設定!$B$4,0),先月データ!$Z:$Z,$A60,先月データ!$AA:$AA,1),SUMIFS(先月データ!$Q:$Q,先月データ!$K:$K,E$52,先月データ!$A:$A,"&gt;="&amp;設定!$B$4,先月データ!$A:$A,"&lt;="&amp;EOMONTH(設定!$B$4,0),先月データ!$Z:$Z,$A60))/IF(E$52&lt;設定!$B$10,$C$45,$B$45))+設定!$B$16*IF(OR(設定!$B$5="",IF(E$52&lt;設定!$B$10,$G$45,$F$45)=0),"",IF(E$52&lt;設定!$B$10,SUMIFS(先々月データ!$Q:$Q,先々月データ!$K:$K,E$52,先々月データ!$A:$A,"&gt;="&amp;設定!$B$5,先々月データ!$A:$A,"&lt;="&amp;EOMONTH(設定!$B$5,0),先々月データ!$Z:$Z,$A60,先々月データ!$AA:$AA,1),SUMIFS(先々月データ!$Q:$Q,先々月データ!$K:$K,E$52,先々月データ!$A:$A,"&gt;="&amp;設定!$B$5,先々月データ!$A:$A,"&lt;="&amp;EOMONTH(設定!$B$5,0),先々月データ!$Z:$Z,$A60))/IF(E$52&lt;設定!$B$10,$G$45,$F$45)))/(設定!$B$15+設定!$B$16),IF(N(IF(E$52&lt;設定!$B$10,$C$45,$B$45))&gt;0,IF(OR(設定!$B$4="",IF(E$52&lt;設定!$B$10,$C$45,$B$45)=0),"",IF(E$52&lt;設定!$B$10,SUMIFS(先月データ!$Q:$Q,先月データ!$K:$K,E$52,先月データ!$A:$A,"&gt;="&amp;設定!$B$4,先月データ!$A:$A,"&lt;="&amp;EOMONTH(設定!$B$4,0),先月データ!$Z:$Z,$A60,先月データ!$AA:$AA,1),SUMIFS(先月データ!$Q:$Q,先月データ!$K:$K,E$52,先月データ!$A:$A,"&gt;="&amp;設定!$B$4,先月データ!$A:$A,"&lt;="&amp;EOMONTH(設定!$B$4,0),先月データ!$Z:$Z,$A60))/IF(E$52&lt;設定!$B$10,$C$45,$B$45)),IF(N(IF(E$52&lt;設定!$B$10,$G$45,$F$45))&gt;0,IF(OR(設定!$B$5="",IF(E$52&lt;設定!$B$10,$G$45,$F$45)=0),"",IF(E$52&lt;設定!$B$10,SUMIFS(先々月データ!$Q:$Q,先々月データ!$K:$K,E$52,先々月データ!$A:$A,"&gt;="&amp;設定!$B$5,先々月データ!$A:$A,"&lt;="&amp;EOMONTH(設定!$B$5,0),先々月データ!$Z:$Z,$A60,先々月データ!$AA:$AA,1),SUMIFS(先々月データ!$Q:$Q,先々月データ!$K:$K,E$52,先々月データ!$A:$A,"&gt;="&amp;設定!$B$5,先々月データ!$A:$A,"&lt;="&amp;EOMONTH(設定!$B$5,0),先々月データ!$Z:$Z,$A60))/IF(E$52&lt;設定!$B$10,$G$45,$F$45)),"")))</f>
        <v/>
      </c>
      <c r="F60" s="55" t="str">
        <f aca="false">IF(AND(N(IF(F$52&lt;設定!$B$10,$C$45,$B$45))&gt;0,N(IF(F$52&lt;設定!$B$10,$G$45,$F$45))&gt;0),(設定!$B$15*IF(OR(設定!$B$4="",IF(F$52&lt;設定!$B$10,$C$45,$B$45)=0),"",IF(F$52&lt;設定!$B$10,SUMIFS(先月データ!$Q:$Q,先月データ!$K:$K,F$52,先月データ!$A:$A,"&gt;="&amp;設定!$B$4,先月データ!$A:$A,"&lt;="&amp;EOMONTH(設定!$B$4,0),先月データ!$Z:$Z,$A60,先月データ!$AA:$AA,1),SUMIFS(先月データ!$Q:$Q,先月データ!$K:$K,F$52,先月データ!$A:$A,"&gt;="&amp;設定!$B$4,先月データ!$A:$A,"&lt;="&amp;EOMONTH(設定!$B$4,0),先月データ!$Z:$Z,$A60))/IF(F$52&lt;設定!$B$10,$C$45,$B$45))+設定!$B$16*IF(OR(設定!$B$5="",IF(F$52&lt;設定!$B$10,$G$45,$F$45)=0),"",IF(F$52&lt;設定!$B$10,SUMIFS(先々月データ!$Q:$Q,先々月データ!$K:$K,F$52,先々月データ!$A:$A,"&gt;="&amp;設定!$B$5,先々月データ!$A:$A,"&lt;="&amp;EOMONTH(設定!$B$5,0),先々月データ!$Z:$Z,$A60,先々月データ!$AA:$AA,1),SUMIFS(先々月データ!$Q:$Q,先々月データ!$K:$K,F$52,先々月データ!$A:$A,"&gt;="&amp;設定!$B$5,先々月データ!$A:$A,"&lt;="&amp;EOMONTH(設定!$B$5,0),先々月データ!$Z:$Z,$A60))/IF(F$52&lt;設定!$B$10,$G$45,$F$45)))/(設定!$B$15+設定!$B$16),IF(N(IF(F$52&lt;設定!$B$10,$C$45,$B$45))&gt;0,IF(OR(設定!$B$4="",IF(F$52&lt;設定!$B$10,$C$45,$B$45)=0),"",IF(F$52&lt;設定!$B$10,SUMIFS(先月データ!$Q:$Q,先月データ!$K:$K,F$52,先月データ!$A:$A,"&gt;="&amp;設定!$B$4,先月データ!$A:$A,"&lt;="&amp;EOMONTH(設定!$B$4,0),先月データ!$Z:$Z,$A60,先月データ!$AA:$AA,1),SUMIFS(先月データ!$Q:$Q,先月データ!$K:$K,F$52,先月データ!$A:$A,"&gt;="&amp;設定!$B$4,先月データ!$A:$A,"&lt;="&amp;EOMONTH(設定!$B$4,0),先月データ!$Z:$Z,$A60))/IF(F$52&lt;設定!$B$10,$C$45,$B$45)),IF(N(IF(F$52&lt;設定!$B$10,$G$45,$F$45))&gt;0,IF(OR(設定!$B$5="",IF(F$52&lt;設定!$B$10,$G$45,$F$45)=0),"",IF(F$52&lt;設定!$B$10,SUMIFS(先々月データ!$Q:$Q,先々月データ!$K:$K,F$52,先々月データ!$A:$A,"&gt;="&amp;設定!$B$5,先々月データ!$A:$A,"&lt;="&amp;EOMONTH(設定!$B$5,0),先々月データ!$Z:$Z,$A60,先々月データ!$AA:$AA,1),SUMIFS(先々月データ!$Q:$Q,先々月データ!$K:$K,F$52,先々月データ!$A:$A,"&gt;="&amp;設定!$B$5,先々月データ!$A:$A,"&lt;="&amp;EOMONTH(設定!$B$5,0),先々月データ!$Z:$Z,$A60))/IF(F$52&lt;設定!$B$10,$G$45,$F$45)),"")))</f>
        <v/>
      </c>
      <c r="G60" s="55" t="str">
        <f aca="false">IF(AND(N(IF(G$52&lt;設定!$B$10,$C$45,$B$45))&gt;0,N(IF(G$52&lt;設定!$B$10,$G$45,$F$45))&gt;0),(設定!$B$15*IF(OR(設定!$B$4="",IF(G$52&lt;設定!$B$10,$C$45,$B$45)=0),"",IF(G$52&lt;設定!$B$10,SUMIFS(先月データ!$Q:$Q,先月データ!$K:$K,G$52,先月データ!$A:$A,"&gt;="&amp;設定!$B$4,先月データ!$A:$A,"&lt;="&amp;EOMONTH(設定!$B$4,0),先月データ!$Z:$Z,$A60,先月データ!$AA:$AA,1),SUMIFS(先月データ!$Q:$Q,先月データ!$K:$K,G$52,先月データ!$A:$A,"&gt;="&amp;設定!$B$4,先月データ!$A:$A,"&lt;="&amp;EOMONTH(設定!$B$4,0),先月データ!$Z:$Z,$A60))/IF(G$52&lt;設定!$B$10,$C$45,$B$45))+設定!$B$16*IF(OR(設定!$B$5="",IF(G$52&lt;設定!$B$10,$G$45,$F$45)=0),"",IF(G$52&lt;設定!$B$10,SUMIFS(先々月データ!$Q:$Q,先々月データ!$K:$K,G$52,先々月データ!$A:$A,"&gt;="&amp;設定!$B$5,先々月データ!$A:$A,"&lt;="&amp;EOMONTH(設定!$B$5,0),先々月データ!$Z:$Z,$A60,先々月データ!$AA:$AA,1),SUMIFS(先々月データ!$Q:$Q,先々月データ!$K:$K,G$52,先々月データ!$A:$A,"&gt;="&amp;設定!$B$5,先々月データ!$A:$A,"&lt;="&amp;EOMONTH(設定!$B$5,0),先々月データ!$Z:$Z,$A60))/IF(G$52&lt;設定!$B$10,$G$45,$F$45)))/(設定!$B$15+設定!$B$16),IF(N(IF(G$52&lt;設定!$B$10,$C$45,$B$45))&gt;0,IF(OR(設定!$B$4="",IF(G$52&lt;設定!$B$10,$C$45,$B$45)=0),"",IF(G$52&lt;設定!$B$10,SUMIFS(先月データ!$Q:$Q,先月データ!$K:$K,G$52,先月データ!$A:$A,"&gt;="&amp;設定!$B$4,先月データ!$A:$A,"&lt;="&amp;EOMONTH(設定!$B$4,0),先月データ!$Z:$Z,$A60,先月データ!$AA:$AA,1),SUMIFS(先月データ!$Q:$Q,先月データ!$K:$K,G$52,先月データ!$A:$A,"&gt;="&amp;設定!$B$4,先月データ!$A:$A,"&lt;="&amp;EOMONTH(設定!$B$4,0),先月データ!$Z:$Z,$A60))/IF(G$52&lt;設定!$B$10,$C$45,$B$45)),IF(N(IF(G$52&lt;設定!$B$10,$G$45,$F$45))&gt;0,IF(OR(設定!$B$5="",IF(G$52&lt;設定!$B$10,$G$45,$F$45)=0),"",IF(G$52&lt;設定!$B$10,SUMIFS(先々月データ!$Q:$Q,先々月データ!$K:$K,G$52,先々月データ!$A:$A,"&gt;="&amp;設定!$B$5,先々月データ!$A:$A,"&lt;="&amp;EOMONTH(設定!$B$5,0),先々月データ!$Z:$Z,$A60,先々月データ!$AA:$AA,1),SUMIFS(先々月データ!$Q:$Q,先々月データ!$K:$K,G$52,先々月データ!$A:$A,"&gt;="&amp;設定!$B$5,先々月データ!$A:$A,"&lt;="&amp;EOMONTH(設定!$B$5,0),先々月データ!$Z:$Z,$A60))/IF(G$52&lt;設定!$B$10,$G$45,$F$45)),"")))</f>
        <v/>
      </c>
      <c r="H60" s="55" t="str">
        <f aca="false">IF(AND(N(IF(H$52&lt;設定!$B$10,$C$45,$B$45))&gt;0,N(IF(H$52&lt;設定!$B$10,$G$45,$F$45))&gt;0),(設定!$B$15*IF(OR(設定!$B$4="",IF(H$52&lt;設定!$B$10,$C$45,$B$45)=0),"",IF(H$52&lt;設定!$B$10,SUMIFS(先月データ!$Q:$Q,先月データ!$K:$K,H$52,先月データ!$A:$A,"&gt;="&amp;設定!$B$4,先月データ!$A:$A,"&lt;="&amp;EOMONTH(設定!$B$4,0),先月データ!$Z:$Z,$A60,先月データ!$AA:$AA,1),SUMIFS(先月データ!$Q:$Q,先月データ!$K:$K,H$52,先月データ!$A:$A,"&gt;="&amp;設定!$B$4,先月データ!$A:$A,"&lt;="&amp;EOMONTH(設定!$B$4,0),先月データ!$Z:$Z,$A60))/IF(H$52&lt;設定!$B$10,$C$45,$B$45))+設定!$B$16*IF(OR(設定!$B$5="",IF(H$52&lt;設定!$B$10,$G$45,$F$45)=0),"",IF(H$52&lt;設定!$B$10,SUMIFS(先々月データ!$Q:$Q,先々月データ!$K:$K,H$52,先々月データ!$A:$A,"&gt;="&amp;設定!$B$5,先々月データ!$A:$A,"&lt;="&amp;EOMONTH(設定!$B$5,0),先々月データ!$Z:$Z,$A60,先々月データ!$AA:$AA,1),SUMIFS(先々月データ!$Q:$Q,先々月データ!$K:$K,H$52,先々月データ!$A:$A,"&gt;="&amp;設定!$B$5,先々月データ!$A:$A,"&lt;="&amp;EOMONTH(設定!$B$5,0),先々月データ!$Z:$Z,$A60))/IF(H$52&lt;設定!$B$10,$G$45,$F$45)))/(設定!$B$15+設定!$B$16),IF(N(IF(H$52&lt;設定!$B$10,$C$45,$B$45))&gt;0,IF(OR(設定!$B$4="",IF(H$52&lt;設定!$B$10,$C$45,$B$45)=0),"",IF(H$52&lt;設定!$B$10,SUMIFS(先月データ!$Q:$Q,先月データ!$K:$K,H$52,先月データ!$A:$A,"&gt;="&amp;設定!$B$4,先月データ!$A:$A,"&lt;="&amp;EOMONTH(設定!$B$4,0),先月データ!$Z:$Z,$A60,先月データ!$AA:$AA,1),SUMIFS(先月データ!$Q:$Q,先月データ!$K:$K,H$52,先月データ!$A:$A,"&gt;="&amp;設定!$B$4,先月データ!$A:$A,"&lt;="&amp;EOMONTH(設定!$B$4,0),先月データ!$Z:$Z,$A60))/IF(H$52&lt;設定!$B$10,$C$45,$B$45)),IF(N(IF(H$52&lt;設定!$B$10,$G$45,$F$45))&gt;0,IF(OR(設定!$B$5="",IF(H$52&lt;設定!$B$10,$G$45,$F$45)=0),"",IF(H$52&lt;設定!$B$10,SUMIFS(先々月データ!$Q:$Q,先々月データ!$K:$K,H$52,先々月データ!$A:$A,"&gt;="&amp;設定!$B$5,先々月データ!$A:$A,"&lt;="&amp;EOMONTH(設定!$B$5,0),先々月データ!$Z:$Z,$A60,先々月データ!$AA:$AA,1),SUMIFS(先々月データ!$Q:$Q,先々月データ!$K:$K,H$52,先々月データ!$A:$A,"&gt;="&amp;設定!$B$5,先々月データ!$A:$A,"&lt;="&amp;EOMONTH(設定!$B$5,0),先々月データ!$Z:$Z,$A60))/IF(H$52&lt;設定!$B$10,$G$45,$F$45)),"")))</f>
        <v/>
      </c>
      <c r="I60" s="55" t="str">
        <f aca="false">IF(AND(N(IF(I$52&lt;設定!$B$10,$C$45,$B$45))&gt;0,N(IF(I$52&lt;設定!$B$10,$G$45,$F$45))&gt;0),(設定!$B$15*IF(OR(設定!$B$4="",IF(I$52&lt;設定!$B$10,$C$45,$B$45)=0),"",IF(I$52&lt;設定!$B$10,SUMIFS(先月データ!$Q:$Q,先月データ!$K:$K,I$52,先月データ!$A:$A,"&gt;="&amp;設定!$B$4,先月データ!$A:$A,"&lt;="&amp;EOMONTH(設定!$B$4,0),先月データ!$Z:$Z,$A60,先月データ!$AA:$AA,1),SUMIFS(先月データ!$Q:$Q,先月データ!$K:$K,I$52,先月データ!$A:$A,"&gt;="&amp;設定!$B$4,先月データ!$A:$A,"&lt;="&amp;EOMONTH(設定!$B$4,0),先月データ!$Z:$Z,$A60))/IF(I$52&lt;設定!$B$10,$C$45,$B$45))+設定!$B$16*IF(OR(設定!$B$5="",IF(I$52&lt;設定!$B$10,$G$45,$F$45)=0),"",IF(I$52&lt;設定!$B$10,SUMIFS(先々月データ!$Q:$Q,先々月データ!$K:$K,I$52,先々月データ!$A:$A,"&gt;="&amp;設定!$B$5,先々月データ!$A:$A,"&lt;="&amp;EOMONTH(設定!$B$5,0),先々月データ!$Z:$Z,$A60,先々月データ!$AA:$AA,1),SUMIFS(先々月データ!$Q:$Q,先々月データ!$K:$K,I$52,先々月データ!$A:$A,"&gt;="&amp;設定!$B$5,先々月データ!$A:$A,"&lt;="&amp;EOMONTH(設定!$B$5,0),先々月データ!$Z:$Z,$A60))/IF(I$52&lt;設定!$B$10,$G$45,$F$45)))/(設定!$B$15+設定!$B$16),IF(N(IF(I$52&lt;設定!$B$10,$C$45,$B$45))&gt;0,IF(OR(設定!$B$4="",IF(I$52&lt;設定!$B$10,$C$45,$B$45)=0),"",IF(I$52&lt;設定!$B$10,SUMIFS(先月データ!$Q:$Q,先月データ!$K:$K,I$52,先月データ!$A:$A,"&gt;="&amp;設定!$B$4,先月データ!$A:$A,"&lt;="&amp;EOMONTH(設定!$B$4,0),先月データ!$Z:$Z,$A60,先月データ!$AA:$AA,1),SUMIFS(先月データ!$Q:$Q,先月データ!$K:$K,I$52,先月データ!$A:$A,"&gt;="&amp;設定!$B$4,先月データ!$A:$A,"&lt;="&amp;EOMONTH(設定!$B$4,0),先月データ!$Z:$Z,$A60))/IF(I$52&lt;設定!$B$10,$C$45,$B$45)),IF(N(IF(I$52&lt;設定!$B$10,$G$45,$F$45))&gt;0,IF(OR(設定!$B$5="",IF(I$52&lt;設定!$B$10,$G$45,$F$45)=0),"",IF(I$52&lt;設定!$B$10,SUMIFS(先々月データ!$Q:$Q,先々月データ!$K:$K,I$52,先々月データ!$A:$A,"&gt;="&amp;設定!$B$5,先々月データ!$A:$A,"&lt;="&amp;EOMONTH(設定!$B$5,0),先々月データ!$Z:$Z,$A60,先々月データ!$AA:$AA,1),SUMIFS(先々月データ!$Q:$Q,先々月データ!$K:$K,I$52,先々月データ!$A:$A,"&gt;="&amp;設定!$B$5,先々月データ!$A:$A,"&lt;="&amp;EOMONTH(設定!$B$5,0),先々月データ!$Z:$Z,$A60))/IF(I$52&lt;設定!$B$10,$G$45,$F$45)),"")))</f>
        <v/>
      </c>
      <c r="J60" s="55" t="str">
        <f aca="false">IF(AND(N(IF(J$52&lt;設定!$B$10,$C$45,$B$45))&gt;0,N(IF(J$52&lt;設定!$B$10,$G$45,$F$45))&gt;0),(設定!$B$15*IF(OR(設定!$B$4="",IF(J$52&lt;設定!$B$10,$C$45,$B$45)=0),"",IF(J$52&lt;設定!$B$10,SUMIFS(先月データ!$Q:$Q,先月データ!$K:$K,J$52,先月データ!$A:$A,"&gt;="&amp;設定!$B$4,先月データ!$A:$A,"&lt;="&amp;EOMONTH(設定!$B$4,0),先月データ!$Z:$Z,$A60,先月データ!$AA:$AA,1),SUMIFS(先月データ!$Q:$Q,先月データ!$K:$K,J$52,先月データ!$A:$A,"&gt;="&amp;設定!$B$4,先月データ!$A:$A,"&lt;="&amp;EOMONTH(設定!$B$4,0),先月データ!$Z:$Z,$A60))/IF(J$52&lt;設定!$B$10,$C$45,$B$45))+設定!$B$16*IF(OR(設定!$B$5="",IF(J$52&lt;設定!$B$10,$G$45,$F$45)=0),"",IF(J$52&lt;設定!$B$10,SUMIFS(先々月データ!$Q:$Q,先々月データ!$K:$K,J$52,先々月データ!$A:$A,"&gt;="&amp;設定!$B$5,先々月データ!$A:$A,"&lt;="&amp;EOMONTH(設定!$B$5,0),先々月データ!$Z:$Z,$A60,先々月データ!$AA:$AA,1),SUMIFS(先々月データ!$Q:$Q,先々月データ!$K:$K,J$52,先々月データ!$A:$A,"&gt;="&amp;設定!$B$5,先々月データ!$A:$A,"&lt;="&amp;EOMONTH(設定!$B$5,0),先々月データ!$Z:$Z,$A60))/IF(J$52&lt;設定!$B$10,$G$45,$F$45)))/(設定!$B$15+設定!$B$16),IF(N(IF(J$52&lt;設定!$B$10,$C$45,$B$45))&gt;0,IF(OR(設定!$B$4="",IF(J$52&lt;設定!$B$10,$C$45,$B$45)=0),"",IF(J$52&lt;設定!$B$10,SUMIFS(先月データ!$Q:$Q,先月データ!$K:$K,J$52,先月データ!$A:$A,"&gt;="&amp;設定!$B$4,先月データ!$A:$A,"&lt;="&amp;EOMONTH(設定!$B$4,0),先月データ!$Z:$Z,$A60,先月データ!$AA:$AA,1),SUMIFS(先月データ!$Q:$Q,先月データ!$K:$K,J$52,先月データ!$A:$A,"&gt;="&amp;設定!$B$4,先月データ!$A:$A,"&lt;="&amp;EOMONTH(設定!$B$4,0),先月データ!$Z:$Z,$A60))/IF(J$52&lt;設定!$B$10,$C$45,$B$45)),IF(N(IF(J$52&lt;設定!$B$10,$G$45,$F$45))&gt;0,IF(OR(設定!$B$5="",IF(J$52&lt;設定!$B$10,$G$45,$F$45)=0),"",IF(J$52&lt;設定!$B$10,SUMIFS(先々月データ!$Q:$Q,先々月データ!$K:$K,J$52,先々月データ!$A:$A,"&gt;="&amp;設定!$B$5,先々月データ!$A:$A,"&lt;="&amp;EOMONTH(設定!$B$5,0),先々月データ!$Z:$Z,$A60,先々月データ!$AA:$AA,1),SUMIFS(先々月データ!$Q:$Q,先々月データ!$K:$K,J$52,先々月データ!$A:$A,"&gt;="&amp;設定!$B$5,先々月データ!$A:$A,"&lt;="&amp;EOMONTH(設定!$B$5,0),先々月データ!$Z:$Z,$A60))/IF(J$52&lt;設定!$B$10,$G$45,$F$45)),"")))</f>
        <v/>
      </c>
      <c r="K60" s="55" t="str">
        <f aca="false">IF(AND(N(IF(K$52&lt;設定!$B$10,$C$45,$B$45))&gt;0,N(IF(K$52&lt;設定!$B$10,$G$45,$F$45))&gt;0),(設定!$B$15*IF(OR(設定!$B$4="",IF(K$52&lt;設定!$B$10,$C$45,$B$45)=0),"",IF(K$52&lt;設定!$B$10,SUMIFS(先月データ!$Q:$Q,先月データ!$K:$K,K$52,先月データ!$A:$A,"&gt;="&amp;設定!$B$4,先月データ!$A:$A,"&lt;="&amp;EOMONTH(設定!$B$4,0),先月データ!$Z:$Z,$A60,先月データ!$AA:$AA,1),SUMIFS(先月データ!$Q:$Q,先月データ!$K:$K,K$52,先月データ!$A:$A,"&gt;="&amp;設定!$B$4,先月データ!$A:$A,"&lt;="&amp;EOMONTH(設定!$B$4,0),先月データ!$Z:$Z,$A60))/IF(K$52&lt;設定!$B$10,$C$45,$B$45))+設定!$B$16*IF(OR(設定!$B$5="",IF(K$52&lt;設定!$B$10,$G$45,$F$45)=0),"",IF(K$52&lt;設定!$B$10,SUMIFS(先々月データ!$Q:$Q,先々月データ!$K:$K,K$52,先々月データ!$A:$A,"&gt;="&amp;設定!$B$5,先々月データ!$A:$A,"&lt;="&amp;EOMONTH(設定!$B$5,0),先々月データ!$Z:$Z,$A60,先々月データ!$AA:$AA,1),SUMIFS(先々月データ!$Q:$Q,先々月データ!$K:$K,K$52,先々月データ!$A:$A,"&gt;="&amp;設定!$B$5,先々月データ!$A:$A,"&lt;="&amp;EOMONTH(設定!$B$5,0),先々月データ!$Z:$Z,$A60))/IF(K$52&lt;設定!$B$10,$G$45,$F$45)))/(設定!$B$15+設定!$B$16),IF(N(IF(K$52&lt;設定!$B$10,$C$45,$B$45))&gt;0,IF(OR(設定!$B$4="",IF(K$52&lt;設定!$B$10,$C$45,$B$45)=0),"",IF(K$52&lt;設定!$B$10,SUMIFS(先月データ!$Q:$Q,先月データ!$K:$K,K$52,先月データ!$A:$A,"&gt;="&amp;設定!$B$4,先月データ!$A:$A,"&lt;="&amp;EOMONTH(設定!$B$4,0),先月データ!$Z:$Z,$A60,先月データ!$AA:$AA,1),SUMIFS(先月データ!$Q:$Q,先月データ!$K:$K,K$52,先月データ!$A:$A,"&gt;="&amp;設定!$B$4,先月データ!$A:$A,"&lt;="&amp;EOMONTH(設定!$B$4,0),先月データ!$Z:$Z,$A60))/IF(K$52&lt;設定!$B$10,$C$45,$B$45)),IF(N(IF(K$52&lt;設定!$B$10,$G$45,$F$45))&gt;0,IF(OR(設定!$B$5="",IF(K$52&lt;設定!$B$10,$G$45,$F$45)=0),"",IF(K$52&lt;設定!$B$10,SUMIFS(先々月データ!$Q:$Q,先々月データ!$K:$K,K$52,先々月データ!$A:$A,"&gt;="&amp;設定!$B$5,先々月データ!$A:$A,"&lt;="&amp;EOMONTH(設定!$B$5,0),先々月データ!$Z:$Z,$A60,先々月データ!$AA:$AA,1),SUMIFS(先々月データ!$Q:$Q,先々月データ!$K:$K,K$52,先々月データ!$A:$A,"&gt;="&amp;設定!$B$5,先々月データ!$A:$A,"&lt;="&amp;EOMONTH(設定!$B$5,0),先々月データ!$Z:$Z,$A60))/IF(K$52&lt;設定!$B$10,$G$45,$F$45)),"")))</f>
        <v/>
      </c>
      <c r="L60" s="55" t="str">
        <f aca="false">IF(AND(N(IF(L$52&lt;設定!$B$10,$C$45,$B$45))&gt;0,N(IF(L$52&lt;設定!$B$10,$G$45,$F$45))&gt;0),(設定!$B$15*IF(OR(設定!$B$4="",IF(L$52&lt;設定!$B$10,$C$45,$B$45)=0),"",IF(L$52&lt;設定!$B$10,SUMIFS(先月データ!$Q:$Q,先月データ!$K:$K,L$52,先月データ!$A:$A,"&gt;="&amp;設定!$B$4,先月データ!$A:$A,"&lt;="&amp;EOMONTH(設定!$B$4,0),先月データ!$Z:$Z,$A60,先月データ!$AA:$AA,1),SUMIFS(先月データ!$Q:$Q,先月データ!$K:$K,L$52,先月データ!$A:$A,"&gt;="&amp;設定!$B$4,先月データ!$A:$A,"&lt;="&amp;EOMONTH(設定!$B$4,0),先月データ!$Z:$Z,$A60))/IF(L$52&lt;設定!$B$10,$C$45,$B$45))+設定!$B$16*IF(OR(設定!$B$5="",IF(L$52&lt;設定!$B$10,$G$45,$F$45)=0),"",IF(L$52&lt;設定!$B$10,SUMIFS(先々月データ!$Q:$Q,先々月データ!$K:$K,L$52,先々月データ!$A:$A,"&gt;="&amp;設定!$B$5,先々月データ!$A:$A,"&lt;="&amp;EOMONTH(設定!$B$5,0),先々月データ!$Z:$Z,$A60,先々月データ!$AA:$AA,1),SUMIFS(先々月データ!$Q:$Q,先々月データ!$K:$K,L$52,先々月データ!$A:$A,"&gt;="&amp;設定!$B$5,先々月データ!$A:$A,"&lt;="&amp;EOMONTH(設定!$B$5,0),先々月データ!$Z:$Z,$A60))/IF(L$52&lt;設定!$B$10,$G$45,$F$45)))/(設定!$B$15+設定!$B$16),IF(N(IF(L$52&lt;設定!$B$10,$C$45,$B$45))&gt;0,IF(OR(設定!$B$4="",IF(L$52&lt;設定!$B$10,$C$45,$B$45)=0),"",IF(L$52&lt;設定!$B$10,SUMIFS(先月データ!$Q:$Q,先月データ!$K:$K,L$52,先月データ!$A:$A,"&gt;="&amp;設定!$B$4,先月データ!$A:$A,"&lt;="&amp;EOMONTH(設定!$B$4,0),先月データ!$Z:$Z,$A60,先月データ!$AA:$AA,1),SUMIFS(先月データ!$Q:$Q,先月データ!$K:$K,L$52,先月データ!$A:$A,"&gt;="&amp;設定!$B$4,先月データ!$A:$A,"&lt;="&amp;EOMONTH(設定!$B$4,0),先月データ!$Z:$Z,$A60))/IF(L$52&lt;設定!$B$10,$C$45,$B$45)),IF(N(IF(L$52&lt;設定!$B$10,$G$45,$F$45))&gt;0,IF(OR(設定!$B$5="",IF(L$52&lt;設定!$B$10,$G$45,$F$45)=0),"",IF(L$52&lt;設定!$B$10,SUMIFS(先々月データ!$Q:$Q,先々月データ!$K:$K,L$52,先々月データ!$A:$A,"&gt;="&amp;設定!$B$5,先々月データ!$A:$A,"&lt;="&amp;EOMONTH(設定!$B$5,0),先々月データ!$Z:$Z,$A60,先々月データ!$AA:$AA,1),SUMIFS(先々月データ!$Q:$Q,先々月データ!$K:$K,L$52,先々月データ!$A:$A,"&gt;="&amp;設定!$B$5,先々月データ!$A:$A,"&lt;="&amp;EOMONTH(設定!$B$5,0),先々月データ!$Z:$Z,$A60))/IF(L$52&lt;設定!$B$10,$G$45,$F$45)),"")))</f>
        <v/>
      </c>
      <c r="M60" s="55" t="str">
        <f aca="false">IF(AND(N(IF(M$52&lt;設定!$B$10,$C$45,$B$45))&gt;0,N(IF(M$52&lt;設定!$B$10,$G$45,$F$45))&gt;0),(設定!$B$15*IF(OR(設定!$B$4="",IF(M$52&lt;設定!$B$10,$C$45,$B$45)=0),"",IF(M$52&lt;設定!$B$10,SUMIFS(先月データ!$Q:$Q,先月データ!$K:$K,M$52,先月データ!$A:$A,"&gt;="&amp;設定!$B$4,先月データ!$A:$A,"&lt;="&amp;EOMONTH(設定!$B$4,0),先月データ!$Z:$Z,$A60,先月データ!$AA:$AA,1),SUMIFS(先月データ!$Q:$Q,先月データ!$K:$K,M$52,先月データ!$A:$A,"&gt;="&amp;設定!$B$4,先月データ!$A:$A,"&lt;="&amp;EOMONTH(設定!$B$4,0),先月データ!$Z:$Z,$A60))/IF(M$52&lt;設定!$B$10,$C$45,$B$45))+設定!$B$16*IF(OR(設定!$B$5="",IF(M$52&lt;設定!$B$10,$G$45,$F$45)=0),"",IF(M$52&lt;設定!$B$10,SUMIFS(先々月データ!$Q:$Q,先々月データ!$K:$K,M$52,先々月データ!$A:$A,"&gt;="&amp;設定!$B$5,先々月データ!$A:$A,"&lt;="&amp;EOMONTH(設定!$B$5,0),先々月データ!$Z:$Z,$A60,先々月データ!$AA:$AA,1),SUMIFS(先々月データ!$Q:$Q,先々月データ!$K:$K,M$52,先々月データ!$A:$A,"&gt;="&amp;設定!$B$5,先々月データ!$A:$A,"&lt;="&amp;EOMONTH(設定!$B$5,0),先々月データ!$Z:$Z,$A60))/IF(M$52&lt;設定!$B$10,$G$45,$F$45)))/(設定!$B$15+設定!$B$16),IF(N(IF(M$52&lt;設定!$B$10,$C$45,$B$45))&gt;0,IF(OR(設定!$B$4="",IF(M$52&lt;設定!$B$10,$C$45,$B$45)=0),"",IF(M$52&lt;設定!$B$10,SUMIFS(先月データ!$Q:$Q,先月データ!$K:$K,M$52,先月データ!$A:$A,"&gt;="&amp;設定!$B$4,先月データ!$A:$A,"&lt;="&amp;EOMONTH(設定!$B$4,0),先月データ!$Z:$Z,$A60,先月データ!$AA:$AA,1),SUMIFS(先月データ!$Q:$Q,先月データ!$K:$K,M$52,先月データ!$A:$A,"&gt;="&amp;設定!$B$4,先月データ!$A:$A,"&lt;="&amp;EOMONTH(設定!$B$4,0),先月データ!$Z:$Z,$A60))/IF(M$52&lt;設定!$B$10,$C$45,$B$45)),IF(N(IF(M$52&lt;設定!$B$10,$G$45,$F$45))&gt;0,IF(OR(設定!$B$5="",IF(M$52&lt;設定!$B$10,$G$45,$F$45)=0),"",IF(M$52&lt;設定!$B$10,SUMIFS(先々月データ!$Q:$Q,先々月データ!$K:$K,M$52,先々月データ!$A:$A,"&gt;="&amp;設定!$B$5,先々月データ!$A:$A,"&lt;="&amp;EOMONTH(設定!$B$5,0),先々月データ!$Z:$Z,$A60,先々月データ!$AA:$AA,1),SUMIFS(先々月データ!$Q:$Q,先々月データ!$K:$K,M$52,先々月データ!$A:$A,"&gt;="&amp;設定!$B$5,先々月データ!$A:$A,"&lt;="&amp;EOMONTH(設定!$B$5,0),先々月データ!$Z:$Z,$A60))/IF(M$52&lt;設定!$B$10,$G$45,$F$45)),"")))</f>
        <v/>
      </c>
      <c r="N60" s="55" t="str">
        <f aca="false">IF(AND(N(IF(N$52&lt;設定!$B$10,$C$45,$B$45))&gt;0,N(IF(N$52&lt;設定!$B$10,$G$45,$F$45))&gt;0),(設定!$B$15*IF(OR(設定!$B$4="",IF(N$52&lt;設定!$B$10,$C$45,$B$45)=0),"",IF(N$52&lt;設定!$B$10,SUMIFS(先月データ!$Q:$Q,先月データ!$K:$K,N$52,先月データ!$A:$A,"&gt;="&amp;設定!$B$4,先月データ!$A:$A,"&lt;="&amp;EOMONTH(設定!$B$4,0),先月データ!$Z:$Z,$A60,先月データ!$AA:$AA,1),SUMIFS(先月データ!$Q:$Q,先月データ!$K:$K,N$52,先月データ!$A:$A,"&gt;="&amp;設定!$B$4,先月データ!$A:$A,"&lt;="&amp;EOMONTH(設定!$B$4,0),先月データ!$Z:$Z,$A60))/IF(N$52&lt;設定!$B$10,$C$45,$B$45))+設定!$B$16*IF(OR(設定!$B$5="",IF(N$52&lt;設定!$B$10,$G$45,$F$45)=0),"",IF(N$52&lt;設定!$B$10,SUMIFS(先々月データ!$Q:$Q,先々月データ!$K:$K,N$52,先々月データ!$A:$A,"&gt;="&amp;設定!$B$5,先々月データ!$A:$A,"&lt;="&amp;EOMONTH(設定!$B$5,0),先々月データ!$Z:$Z,$A60,先々月データ!$AA:$AA,1),SUMIFS(先々月データ!$Q:$Q,先々月データ!$K:$K,N$52,先々月データ!$A:$A,"&gt;="&amp;設定!$B$5,先々月データ!$A:$A,"&lt;="&amp;EOMONTH(設定!$B$5,0),先々月データ!$Z:$Z,$A60))/IF(N$52&lt;設定!$B$10,$G$45,$F$45)))/(設定!$B$15+設定!$B$16),IF(N(IF(N$52&lt;設定!$B$10,$C$45,$B$45))&gt;0,IF(OR(設定!$B$4="",IF(N$52&lt;設定!$B$10,$C$45,$B$45)=0),"",IF(N$52&lt;設定!$B$10,SUMIFS(先月データ!$Q:$Q,先月データ!$K:$K,N$52,先月データ!$A:$A,"&gt;="&amp;設定!$B$4,先月データ!$A:$A,"&lt;="&amp;EOMONTH(設定!$B$4,0),先月データ!$Z:$Z,$A60,先月データ!$AA:$AA,1),SUMIFS(先月データ!$Q:$Q,先月データ!$K:$K,N$52,先月データ!$A:$A,"&gt;="&amp;設定!$B$4,先月データ!$A:$A,"&lt;="&amp;EOMONTH(設定!$B$4,0),先月データ!$Z:$Z,$A60))/IF(N$52&lt;設定!$B$10,$C$45,$B$45)),IF(N(IF(N$52&lt;設定!$B$10,$G$45,$F$45))&gt;0,IF(OR(設定!$B$5="",IF(N$52&lt;設定!$B$10,$G$45,$F$45)=0),"",IF(N$52&lt;設定!$B$10,SUMIFS(先々月データ!$Q:$Q,先々月データ!$K:$K,N$52,先々月データ!$A:$A,"&gt;="&amp;設定!$B$5,先々月データ!$A:$A,"&lt;="&amp;EOMONTH(設定!$B$5,0),先々月データ!$Z:$Z,$A60,先々月データ!$AA:$AA,1),SUMIFS(先々月データ!$Q:$Q,先々月データ!$K:$K,N$52,先々月データ!$A:$A,"&gt;="&amp;設定!$B$5,先々月データ!$A:$A,"&lt;="&amp;EOMONTH(設定!$B$5,0),先々月データ!$Z:$Z,$A60))/IF(N$52&lt;設定!$B$10,$G$45,$F$45)),"")))</f>
        <v/>
      </c>
      <c r="O60" s="55" t="n">
        <f aca="false">SUMIF($B$52:$N$52,"&lt;"&amp;設定!$B$10,B60:N60)</f>
        <v>0</v>
      </c>
      <c r="P60" s="55" t="n">
        <f aca="false">SUMIF($B$52:$N$52,"&gt;="&amp;設定!$B$10,B60:N60)</f>
        <v>0</v>
      </c>
    </row>
    <row r="61" customFormat="false" ht="15" hidden="false" customHeight="false" outlineLevel="0" collapsed="false">
      <c r="A61" s="56" t="s">
        <v>218</v>
      </c>
      <c r="B61" s="55" t="str">
        <f aca="false">IF(AND(N(IF(B$52&lt;設定!$B$10,COUNTIF(集計!$J$3:$J$33,1),COUNTIF(集計!$E$3:$E$33,"&gt;0")))&gt;0,N(IF(B$52&lt;設定!$B$10,COUNTIF(集計!$V$3:$V$33,1),COUNTIF(集計!$Q$3:$Q$33,"&gt;0")))&gt;0),(設定!$B$15*IF(OR(設定!$B$4="",IF(B$52&lt;設定!$B$10,COUNTIF(集計!$J$3:$J$33,1),COUNTIF(集計!$E$3:$E$33,"&gt;0"))=0),"",IF(B$52&lt;設定!$B$10,SUMIFS(先月データ!$Q:$Q,先月データ!$K:$K,B$52,先月データ!$A:$A,"&gt;="&amp;設定!$B$4,先月データ!$A:$A,"&lt;="&amp;EOMONTH(設定!$B$4,0),先月データ!$AA:$AA,1),SUMIFS(先月データ!$Q:$Q,先月データ!$K:$K,B$52,先月データ!$A:$A,"&gt;="&amp;設定!$B$4,先月データ!$A:$A,"&lt;="&amp;EOMONTH(設定!$B$4,0)))/IF(B$52&lt;設定!$B$10,COUNTIF(集計!$J$3:$J$33,1),COUNTIF(集計!$E$3:$E$33,"&gt;0")))+設定!$B$16*IF(OR(設定!$B$5="",IF(B$52&lt;設定!$B$10,COUNTIF(集計!$V$3:$V$33,1),COUNTIF(集計!$Q$3:$Q$33,"&gt;0"))=0),"",IF(B$52&lt;設定!$B$10,SUMIFS(先々月データ!$Q:$Q,先々月データ!$K:$K,B$52,先々月データ!$A:$A,"&gt;="&amp;設定!$B$5,先々月データ!$A:$A,"&lt;="&amp;EOMONTH(設定!$B$5,0),先々月データ!$AA:$AA,1),SUMIFS(先々月データ!$Q:$Q,先々月データ!$K:$K,B$52,先々月データ!$A:$A,"&gt;="&amp;設定!$B$5,先々月データ!$A:$A,"&lt;="&amp;EOMONTH(設定!$B$5,0)))/IF(B$52&lt;設定!$B$10,COUNTIF(集計!$V$3:$V$33,1),COUNTIF(集計!$Q$3:$Q$33,"&gt;0"))))/(設定!$B$15+設定!$B$16),IF(N(IF(B$52&lt;設定!$B$10,COUNTIF(集計!$J$3:$J$33,1),COUNTIF(集計!$E$3:$E$33,"&gt;0")))&gt;0,IF(OR(設定!$B$4="",IF(B$52&lt;設定!$B$10,COUNTIF(集計!$J$3:$J$33,1),COUNTIF(集計!$E$3:$E$33,"&gt;0"))=0),"",IF(B$52&lt;設定!$B$10,SUMIFS(先月データ!$Q:$Q,先月データ!$K:$K,B$52,先月データ!$A:$A,"&gt;="&amp;設定!$B$4,先月データ!$A:$A,"&lt;="&amp;EOMONTH(設定!$B$4,0),先月データ!$AA:$AA,1),SUMIFS(先月データ!$Q:$Q,先月データ!$K:$K,B$52,先月データ!$A:$A,"&gt;="&amp;設定!$B$4,先月データ!$A:$A,"&lt;="&amp;EOMONTH(設定!$B$4,0)))/IF(B$52&lt;設定!$B$10,COUNTIF(集計!$J$3:$J$33,1),COUNTIF(集計!$E$3:$E$33,"&gt;0"))),IF(N(IF(B$52&lt;設定!$B$10,COUNTIF(集計!$V$3:$V$33,1),COUNTIF(集計!$Q$3:$Q$33,"&gt;0")))&gt;0,IF(OR(設定!$B$5="",IF(B$52&lt;設定!$B$10,COUNTIF(集計!$V$3:$V$33,1),COUNTIF(集計!$Q$3:$Q$33,"&gt;0"))=0),"",IF(B$52&lt;設定!$B$10,SUMIFS(先々月データ!$Q:$Q,先々月データ!$K:$K,B$52,先々月データ!$A:$A,"&gt;="&amp;設定!$B$5,先々月データ!$A:$A,"&lt;="&amp;EOMONTH(設定!$B$5,0),先々月データ!$AA:$AA,1),SUMIFS(先々月データ!$Q:$Q,先々月データ!$K:$K,B$52,先々月データ!$A:$A,"&gt;="&amp;設定!$B$5,先々月データ!$A:$A,"&lt;="&amp;EOMONTH(設定!$B$5,0)))/IF(B$52&lt;設定!$B$10,COUNTIF(集計!$V$3:$V$33,1),COUNTIF(集計!$Q$3:$Q$33,"&gt;0"))),"")))</f>
        <v/>
      </c>
      <c r="C61" s="55" t="str">
        <f aca="false">IF(AND(N(IF(C$52&lt;設定!$B$10,COUNTIF(集計!$J$3:$J$33,1),COUNTIF(集計!$E$3:$E$33,"&gt;0")))&gt;0,N(IF(C$52&lt;設定!$B$10,COUNTIF(集計!$V$3:$V$33,1),COUNTIF(集計!$Q$3:$Q$33,"&gt;0")))&gt;0),(設定!$B$15*IF(OR(設定!$B$4="",IF(C$52&lt;設定!$B$10,COUNTIF(集計!$J$3:$J$33,1),COUNTIF(集計!$E$3:$E$33,"&gt;0"))=0),"",IF(C$52&lt;設定!$B$10,SUMIFS(先月データ!$Q:$Q,先月データ!$K:$K,C$52,先月データ!$A:$A,"&gt;="&amp;設定!$B$4,先月データ!$A:$A,"&lt;="&amp;EOMONTH(設定!$B$4,0),先月データ!$AA:$AA,1),SUMIFS(先月データ!$Q:$Q,先月データ!$K:$K,C$52,先月データ!$A:$A,"&gt;="&amp;設定!$B$4,先月データ!$A:$A,"&lt;="&amp;EOMONTH(設定!$B$4,0)))/IF(C$52&lt;設定!$B$10,COUNTIF(集計!$J$3:$J$33,1),COUNTIF(集計!$E$3:$E$33,"&gt;0")))+設定!$B$16*IF(OR(設定!$B$5="",IF(C$52&lt;設定!$B$10,COUNTIF(集計!$V$3:$V$33,1),COUNTIF(集計!$Q$3:$Q$33,"&gt;0"))=0),"",IF(C$52&lt;設定!$B$10,SUMIFS(先々月データ!$Q:$Q,先々月データ!$K:$K,C$52,先々月データ!$A:$A,"&gt;="&amp;設定!$B$5,先々月データ!$A:$A,"&lt;="&amp;EOMONTH(設定!$B$5,0),先々月データ!$AA:$AA,1),SUMIFS(先々月データ!$Q:$Q,先々月データ!$K:$K,C$52,先々月データ!$A:$A,"&gt;="&amp;設定!$B$5,先々月データ!$A:$A,"&lt;="&amp;EOMONTH(設定!$B$5,0)))/IF(C$52&lt;設定!$B$10,COUNTIF(集計!$V$3:$V$33,1),COUNTIF(集計!$Q$3:$Q$33,"&gt;0"))))/(設定!$B$15+設定!$B$16),IF(N(IF(C$52&lt;設定!$B$10,COUNTIF(集計!$J$3:$J$33,1),COUNTIF(集計!$E$3:$E$33,"&gt;0")))&gt;0,IF(OR(設定!$B$4="",IF(C$52&lt;設定!$B$10,COUNTIF(集計!$J$3:$J$33,1),COUNTIF(集計!$E$3:$E$33,"&gt;0"))=0),"",IF(C$52&lt;設定!$B$10,SUMIFS(先月データ!$Q:$Q,先月データ!$K:$K,C$52,先月データ!$A:$A,"&gt;="&amp;設定!$B$4,先月データ!$A:$A,"&lt;="&amp;EOMONTH(設定!$B$4,0),先月データ!$AA:$AA,1),SUMIFS(先月データ!$Q:$Q,先月データ!$K:$K,C$52,先月データ!$A:$A,"&gt;="&amp;設定!$B$4,先月データ!$A:$A,"&lt;="&amp;EOMONTH(設定!$B$4,0)))/IF(C$52&lt;設定!$B$10,COUNTIF(集計!$J$3:$J$33,1),COUNTIF(集計!$E$3:$E$33,"&gt;0"))),IF(N(IF(C$52&lt;設定!$B$10,COUNTIF(集計!$V$3:$V$33,1),COUNTIF(集計!$Q$3:$Q$33,"&gt;0")))&gt;0,IF(OR(設定!$B$5="",IF(C$52&lt;設定!$B$10,COUNTIF(集計!$V$3:$V$33,1),COUNTIF(集計!$Q$3:$Q$33,"&gt;0"))=0),"",IF(C$52&lt;設定!$B$10,SUMIFS(先々月データ!$Q:$Q,先々月データ!$K:$K,C$52,先々月データ!$A:$A,"&gt;="&amp;設定!$B$5,先々月データ!$A:$A,"&lt;="&amp;EOMONTH(設定!$B$5,0),先々月データ!$AA:$AA,1),SUMIFS(先々月データ!$Q:$Q,先々月データ!$K:$K,C$52,先々月データ!$A:$A,"&gt;="&amp;設定!$B$5,先々月データ!$A:$A,"&lt;="&amp;EOMONTH(設定!$B$5,0)))/IF(C$52&lt;設定!$B$10,COUNTIF(集計!$V$3:$V$33,1),COUNTIF(集計!$Q$3:$Q$33,"&gt;0"))),"")))</f>
        <v/>
      </c>
      <c r="D61" s="55" t="str">
        <f aca="false">IF(AND(N(IF(D$52&lt;設定!$B$10,COUNTIF(集計!$J$3:$J$33,1),COUNTIF(集計!$E$3:$E$33,"&gt;0")))&gt;0,N(IF(D$52&lt;設定!$B$10,COUNTIF(集計!$V$3:$V$33,1),COUNTIF(集計!$Q$3:$Q$33,"&gt;0")))&gt;0),(設定!$B$15*IF(OR(設定!$B$4="",IF(D$52&lt;設定!$B$10,COUNTIF(集計!$J$3:$J$33,1),COUNTIF(集計!$E$3:$E$33,"&gt;0"))=0),"",IF(D$52&lt;設定!$B$10,SUMIFS(先月データ!$Q:$Q,先月データ!$K:$K,D$52,先月データ!$A:$A,"&gt;="&amp;設定!$B$4,先月データ!$A:$A,"&lt;="&amp;EOMONTH(設定!$B$4,0),先月データ!$AA:$AA,1),SUMIFS(先月データ!$Q:$Q,先月データ!$K:$K,D$52,先月データ!$A:$A,"&gt;="&amp;設定!$B$4,先月データ!$A:$A,"&lt;="&amp;EOMONTH(設定!$B$4,0)))/IF(D$52&lt;設定!$B$10,COUNTIF(集計!$J$3:$J$33,1),COUNTIF(集計!$E$3:$E$33,"&gt;0")))+設定!$B$16*IF(OR(設定!$B$5="",IF(D$52&lt;設定!$B$10,COUNTIF(集計!$V$3:$V$33,1),COUNTIF(集計!$Q$3:$Q$33,"&gt;0"))=0),"",IF(D$52&lt;設定!$B$10,SUMIFS(先々月データ!$Q:$Q,先々月データ!$K:$K,D$52,先々月データ!$A:$A,"&gt;="&amp;設定!$B$5,先々月データ!$A:$A,"&lt;="&amp;EOMONTH(設定!$B$5,0),先々月データ!$AA:$AA,1),SUMIFS(先々月データ!$Q:$Q,先々月データ!$K:$K,D$52,先々月データ!$A:$A,"&gt;="&amp;設定!$B$5,先々月データ!$A:$A,"&lt;="&amp;EOMONTH(設定!$B$5,0)))/IF(D$52&lt;設定!$B$10,COUNTIF(集計!$V$3:$V$33,1),COUNTIF(集計!$Q$3:$Q$33,"&gt;0"))))/(設定!$B$15+設定!$B$16),IF(N(IF(D$52&lt;設定!$B$10,COUNTIF(集計!$J$3:$J$33,1),COUNTIF(集計!$E$3:$E$33,"&gt;0")))&gt;0,IF(OR(設定!$B$4="",IF(D$52&lt;設定!$B$10,COUNTIF(集計!$J$3:$J$33,1),COUNTIF(集計!$E$3:$E$33,"&gt;0"))=0),"",IF(D$52&lt;設定!$B$10,SUMIFS(先月データ!$Q:$Q,先月データ!$K:$K,D$52,先月データ!$A:$A,"&gt;="&amp;設定!$B$4,先月データ!$A:$A,"&lt;="&amp;EOMONTH(設定!$B$4,0),先月データ!$AA:$AA,1),SUMIFS(先月データ!$Q:$Q,先月データ!$K:$K,D$52,先月データ!$A:$A,"&gt;="&amp;設定!$B$4,先月データ!$A:$A,"&lt;="&amp;EOMONTH(設定!$B$4,0)))/IF(D$52&lt;設定!$B$10,COUNTIF(集計!$J$3:$J$33,1),COUNTIF(集計!$E$3:$E$33,"&gt;0"))),IF(N(IF(D$52&lt;設定!$B$10,COUNTIF(集計!$V$3:$V$33,1),COUNTIF(集計!$Q$3:$Q$33,"&gt;0")))&gt;0,IF(OR(設定!$B$5="",IF(D$52&lt;設定!$B$10,COUNTIF(集計!$V$3:$V$33,1),COUNTIF(集計!$Q$3:$Q$33,"&gt;0"))=0),"",IF(D$52&lt;設定!$B$10,SUMIFS(先々月データ!$Q:$Q,先々月データ!$K:$K,D$52,先々月データ!$A:$A,"&gt;="&amp;設定!$B$5,先々月データ!$A:$A,"&lt;="&amp;EOMONTH(設定!$B$5,0),先々月データ!$AA:$AA,1),SUMIFS(先々月データ!$Q:$Q,先々月データ!$K:$K,D$52,先々月データ!$A:$A,"&gt;="&amp;設定!$B$5,先々月データ!$A:$A,"&lt;="&amp;EOMONTH(設定!$B$5,0)))/IF(D$52&lt;設定!$B$10,COUNTIF(集計!$V$3:$V$33,1),COUNTIF(集計!$Q$3:$Q$33,"&gt;0"))),"")))</f>
        <v/>
      </c>
      <c r="E61" s="55" t="str">
        <f aca="false">IF(AND(N(IF(E$52&lt;設定!$B$10,COUNTIF(集計!$J$3:$J$33,1),COUNTIF(集計!$E$3:$E$33,"&gt;0")))&gt;0,N(IF(E$52&lt;設定!$B$10,COUNTIF(集計!$V$3:$V$33,1),COUNTIF(集計!$Q$3:$Q$33,"&gt;0")))&gt;0),(設定!$B$15*IF(OR(設定!$B$4="",IF(E$52&lt;設定!$B$10,COUNTIF(集計!$J$3:$J$33,1),COUNTIF(集計!$E$3:$E$33,"&gt;0"))=0),"",IF(E$52&lt;設定!$B$10,SUMIFS(先月データ!$Q:$Q,先月データ!$K:$K,E$52,先月データ!$A:$A,"&gt;="&amp;設定!$B$4,先月データ!$A:$A,"&lt;="&amp;EOMONTH(設定!$B$4,0),先月データ!$AA:$AA,1),SUMIFS(先月データ!$Q:$Q,先月データ!$K:$K,E$52,先月データ!$A:$A,"&gt;="&amp;設定!$B$4,先月データ!$A:$A,"&lt;="&amp;EOMONTH(設定!$B$4,0)))/IF(E$52&lt;設定!$B$10,COUNTIF(集計!$J$3:$J$33,1),COUNTIF(集計!$E$3:$E$33,"&gt;0")))+設定!$B$16*IF(OR(設定!$B$5="",IF(E$52&lt;設定!$B$10,COUNTIF(集計!$V$3:$V$33,1),COUNTIF(集計!$Q$3:$Q$33,"&gt;0"))=0),"",IF(E$52&lt;設定!$B$10,SUMIFS(先々月データ!$Q:$Q,先々月データ!$K:$K,E$52,先々月データ!$A:$A,"&gt;="&amp;設定!$B$5,先々月データ!$A:$A,"&lt;="&amp;EOMONTH(設定!$B$5,0),先々月データ!$AA:$AA,1),SUMIFS(先々月データ!$Q:$Q,先々月データ!$K:$K,E$52,先々月データ!$A:$A,"&gt;="&amp;設定!$B$5,先々月データ!$A:$A,"&lt;="&amp;EOMONTH(設定!$B$5,0)))/IF(E$52&lt;設定!$B$10,COUNTIF(集計!$V$3:$V$33,1),COUNTIF(集計!$Q$3:$Q$33,"&gt;0"))))/(設定!$B$15+設定!$B$16),IF(N(IF(E$52&lt;設定!$B$10,COUNTIF(集計!$J$3:$J$33,1),COUNTIF(集計!$E$3:$E$33,"&gt;0")))&gt;0,IF(OR(設定!$B$4="",IF(E$52&lt;設定!$B$10,COUNTIF(集計!$J$3:$J$33,1),COUNTIF(集計!$E$3:$E$33,"&gt;0"))=0),"",IF(E$52&lt;設定!$B$10,SUMIFS(先月データ!$Q:$Q,先月データ!$K:$K,E$52,先月データ!$A:$A,"&gt;="&amp;設定!$B$4,先月データ!$A:$A,"&lt;="&amp;EOMONTH(設定!$B$4,0),先月データ!$AA:$AA,1),SUMIFS(先月データ!$Q:$Q,先月データ!$K:$K,E$52,先月データ!$A:$A,"&gt;="&amp;設定!$B$4,先月データ!$A:$A,"&lt;="&amp;EOMONTH(設定!$B$4,0)))/IF(E$52&lt;設定!$B$10,COUNTIF(集計!$J$3:$J$33,1),COUNTIF(集計!$E$3:$E$33,"&gt;0"))),IF(N(IF(E$52&lt;設定!$B$10,COUNTIF(集計!$V$3:$V$33,1),COUNTIF(集計!$Q$3:$Q$33,"&gt;0")))&gt;0,IF(OR(設定!$B$5="",IF(E$52&lt;設定!$B$10,COUNTIF(集計!$V$3:$V$33,1),COUNTIF(集計!$Q$3:$Q$33,"&gt;0"))=0),"",IF(E$52&lt;設定!$B$10,SUMIFS(先々月データ!$Q:$Q,先々月データ!$K:$K,E$52,先々月データ!$A:$A,"&gt;="&amp;設定!$B$5,先々月データ!$A:$A,"&lt;="&amp;EOMONTH(設定!$B$5,0),先々月データ!$AA:$AA,1),SUMIFS(先々月データ!$Q:$Q,先々月データ!$K:$K,E$52,先々月データ!$A:$A,"&gt;="&amp;設定!$B$5,先々月データ!$A:$A,"&lt;="&amp;EOMONTH(設定!$B$5,0)))/IF(E$52&lt;設定!$B$10,COUNTIF(集計!$V$3:$V$33,1),COUNTIF(集計!$Q$3:$Q$33,"&gt;0"))),"")))</f>
        <v/>
      </c>
      <c r="F61" s="55" t="str">
        <f aca="false">IF(AND(N(IF(F$52&lt;設定!$B$10,COUNTIF(集計!$J$3:$J$33,1),COUNTIF(集計!$E$3:$E$33,"&gt;0")))&gt;0,N(IF(F$52&lt;設定!$B$10,COUNTIF(集計!$V$3:$V$33,1),COUNTIF(集計!$Q$3:$Q$33,"&gt;0")))&gt;0),(設定!$B$15*IF(OR(設定!$B$4="",IF(F$52&lt;設定!$B$10,COUNTIF(集計!$J$3:$J$33,1),COUNTIF(集計!$E$3:$E$33,"&gt;0"))=0),"",IF(F$52&lt;設定!$B$10,SUMIFS(先月データ!$Q:$Q,先月データ!$K:$K,F$52,先月データ!$A:$A,"&gt;="&amp;設定!$B$4,先月データ!$A:$A,"&lt;="&amp;EOMONTH(設定!$B$4,0),先月データ!$AA:$AA,1),SUMIFS(先月データ!$Q:$Q,先月データ!$K:$K,F$52,先月データ!$A:$A,"&gt;="&amp;設定!$B$4,先月データ!$A:$A,"&lt;="&amp;EOMONTH(設定!$B$4,0)))/IF(F$52&lt;設定!$B$10,COUNTIF(集計!$J$3:$J$33,1),COUNTIF(集計!$E$3:$E$33,"&gt;0")))+設定!$B$16*IF(OR(設定!$B$5="",IF(F$52&lt;設定!$B$10,COUNTIF(集計!$V$3:$V$33,1),COUNTIF(集計!$Q$3:$Q$33,"&gt;0"))=0),"",IF(F$52&lt;設定!$B$10,SUMIFS(先々月データ!$Q:$Q,先々月データ!$K:$K,F$52,先々月データ!$A:$A,"&gt;="&amp;設定!$B$5,先々月データ!$A:$A,"&lt;="&amp;EOMONTH(設定!$B$5,0),先々月データ!$AA:$AA,1),SUMIFS(先々月データ!$Q:$Q,先々月データ!$K:$K,F$52,先々月データ!$A:$A,"&gt;="&amp;設定!$B$5,先々月データ!$A:$A,"&lt;="&amp;EOMONTH(設定!$B$5,0)))/IF(F$52&lt;設定!$B$10,COUNTIF(集計!$V$3:$V$33,1),COUNTIF(集計!$Q$3:$Q$33,"&gt;0"))))/(設定!$B$15+設定!$B$16),IF(N(IF(F$52&lt;設定!$B$10,COUNTIF(集計!$J$3:$J$33,1),COUNTIF(集計!$E$3:$E$33,"&gt;0")))&gt;0,IF(OR(設定!$B$4="",IF(F$52&lt;設定!$B$10,COUNTIF(集計!$J$3:$J$33,1),COUNTIF(集計!$E$3:$E$33,"&gt;0"))=0),"",IF(F$52&lt;設定!$B$10,SUMIFS(先月データ!$Q:$Q,先月データ!$K:$K,F$52,先月データ!$A:$A,"&gt;="&amp;設定!$B$4,先月データ!$A:$A,"&lt;="&amp;EOMONTH(設定!$B$4,0),先月データ!$AA:$AA,1),SUMIFS(先月データ!$Q:$Q,先月データ!$K:$K,F$52,先月データ!$A:$A,"&gt;="&amp;設定!$B$4,先月データ!$A:$A,"&lt;="&amp;EOMONTH(設定!$B$4,0)))/IF(F$52&lt;設定!$B$10,COUNTIF(集計!$J$3:$J$33,1),COUNTIF(集計!$E$3:$E$33,"&gt;0"))),IF(N(IF(F$52&lt;設定!$B$10,COUNTIF(集計!$V$3:$V$33,1),COUNTIF(集計!$Q$3:$Q$33,"&gt;0")))&gt;0,IF(OR(設定!$B$5="",IF(F$52&lt;設定!$B$10,COUNTIF(集計!$V$3:$V$33,1),COUNTIF(集計!$Q$3:$Q$33,"&gt;0"))=0),"",IF(F$52&lt;設定!$B$10,SUMIFS(先々月データ!$Q:$Q,先々月データ!$K:$K,F$52,先々月データ!$A:$A,"&gt;="&amp;設定!$B$5,先々月データ!$A:$A,"&lt;="&amp;EOMONTH(設定!$B$5,0),先々月データ!$AA:$AA,1),SUMIFS(先々月データ!$Q:$Q,先々月データ!$K:$K,F$52,先々月データ!$A:$A,"&gt;="&amp;設定!$B$5,先々月データ!$A:$A,"&lt;="&amp;EOMONTH(設定!$B$5,0)))/IF(F$52&lt;設定!$B$10,COUNTIF(集計!$V$3:$V$33,1),COUNTIF(集計!$Q$3:$Q$33,"&gt;0"))),"")))</f>
        <v/>
      </c>
      <c r="G61" s="55" t="str">
        <f aca="false">IF(AND(N(IF(G$52&lt;設定!$B$10,COUNTIF(集計!$J$3:$J$33,1),COUNTIF(集計!$E$3:$E$33,"&gt;0")))&gt;0,N(IF(G$52&lt;設定!$B$10,COUNTIF(集計!$V$3:$V$33,1),COUNTIF(集計!$Q$3:$Q$33,"&gt;0")))&gt;0),(設定!$B$15*IF(OR(設定!$B$4="",IF(G$52&lt;設定!$B$10,COUNTIF(集計!$J$3:$J$33,1),COUNTIF(集計!$E$3:$E$33,"&gt;0"))=0),"",IF(G$52&lt;設定!$B$10,SUMIFS(先月データ!$Q:$Q,先月データ!$K:$K,G$52,先月データ!$A:$A,"&gt;="&amp;設定!$B$4,先月データ!$A:$A,"&lt;="&amp;EOMONTH(設定!$B$4,0),先月データ!$AA:$AA,1),SUMIFS(先月データ!$Q:$Q,先月データ!$K:$K,G$52,先月データ!$A:$A,"&gt;="&amp;設定!$B$4,先月データ!$A:$A,"&lt;="&amp;EOMONTH(設定!$B$4,0)))/IF(G$52&lt;設定!$B$10,COUNTIF(集計!$J$3:$J$33,1),COUNTIF(集計!$E$3:$E$33,"&gt;0")))+設定!$B$16*IF(OR(設定!$B$5="",IF(G$52&lt;設定!$B$10,COUNTIF(集計!$V$3:$V$33,1),COUNTIF(集計!$Q$3:$Q$33,"&gt;0"))=0),"",IF(G$52&lt;設定!$B$10,SUMIFS(先々月データ!$Q:$Q,先々月データ!$K:$K,G$52,先々月データ!$A:$A,"&gt;="&amp;設定!$B$5,先々月データ!$A:$A,"&lt;="&amp;EOMONTH(設定!$B$5,0),先々月データ!$AA:$AA,1),SUMIFS(先々月データ!$Q:$Q,先々月データ!$K:$K,G$52,先々月データ!$A:$A,"&gt;="&amp;設定!$B$5,先々月データ!$A:$A,"&lt;="&amp;EOMONTH(設定!$B$5,0)))/IF(G$52&lt;設定!$B$10,COUNTIF(集計!$V$3:$V$33,1),COUNTIF(集計!$Q$3:$Q$33,"&gt;0"))))/(設定!$B$15+設定!$B$16),IF(N(IF(G$52&lt;設定!$B$10,COUNTIF(集計!$J$3:$J$33,1),COUNTIF(集計!$E$3:$E$33,"&gt;0")))&gt;0,IF(OR(設定!$B$4="",IF(G$52&lt;設定!$B$10,COUNTIF(集計!$J$3:$J$33,1),COUNTIF(集計!$E$3:$E$33,"&gt;0"))=0),"",IF(G$52&lt;設定!$B$10,SUMIFS(先月データ!$Q:$Q,先月データ!$K:$K,G$52,先月データ!$A:$A,"&gt;="&amp;設定!$B$4,先月データ!$A:$A,"&lt;="&amp;EOMONTH(設定!$B$4,0),先月データ!$AA:$AA,1),SUMIFS(先月データ!$Q:$Q,先月データ!$K:$K,G$52,先月データ!$A:$A,"&gt;="&amp;設定!$B$4,先月データ!$A:$A,"&lt;="&amp;EOMONTH(設定!$B$4,0)))/IF(G$52&lt;設定!$B$10,COUNTIF(集計!$J$3:$J$33,1),COUNTIF(集計!$E$3:$E$33,"&gt;0"))),IF(N(IF(G$52&lt;設定!$B$10,COUNTIF(集計!$V$3:$V$33,1),COUNTIF(集計!$Q$3:$Q$33,"&gt;0")))&gt;0,IF(OR(設定!$B$5="",IF(G$52&lt;設定!$B$10,COUNTIF(集計!$V$3:$V$33,1),COUNTIF(集計!$Q$3:$Q$33,"&gt;0"))=0),"",IF(G$52&lt;設定!$B$10,SUMIFS(先々月データ!$Q:$Q,先々月データ!$K:$K,G$52,先々月データ!$A:$A,"&gt;="&amp;設定!$B$5,先々月データ!$A:$A,"&lt;="&amp;EOMONTH(設定!$B$5,0),先々月データ!$AA:$AA,1),SUMIFS(先々月データ!$Q:$Q,先々月データ!$K:$K,G$52,先々月データ!$A:$A,"&gt;="&amp;設定!$B$5,先々月データ!$A:$A,"&lt;="&amp;EOMONTH(設定!$B$5,0)))/IF(G$52&lt;設定!$B$10,COUNTIF(集計!$V$3:$V$33,1),COUNTIF(集計!$Q$3:$Q$33,"&gt;0"))),"")))</f>
        <v/>
      </c>
      <c r="H61" s="55" t="str">
        <f aca="false">IF(AND(N(IF(H$52&lt;設定!$B$10,COUNTIF(集計!$J$3:$J$33,1),COUNTIF(集計!$E$3:$E$33,"&gt;0")))&gt;0,N(IF(H$52&lt;設定!$B$10,COUNTIF(集計!$V$3:$V$33,1),COUNTIF(集計!$Q$3:$Q$33,"&gt;0")))&gt;0),(設定!$B$15*IF(OR(設定!$B$4="",IF(H$52&lt;設定!$B$10,COUNTIF(集計!$J$3:$J$33,1),COUNTIF(集計!$E$3:$E$33,"&gt;0"))=0),"",IF(H$52&lt;設定!$B$10,SUMIFS(先月データ!$Q:$Q,先月データ!$K:$K,H$52,先月データ!$A:$A,"&gt;="&amp;設定!$B$4,先月データ!$A:$A,"&lt;="&amp;EOMONTH(設定!$B$4,0),先月データ!$AA:$AA,1),SUMIFS(先月データ!$Q:$Q,先月データ!$K:$K,H$52,先月データ!$A:$A,"&gt;="&amp;設定!$B$4,先月データ!$A:$A,"&lt;="&amp;EOMONTH(設定!$B$4,0)))/IF(H$52&lt;設定!$B$10,COUNTIF(集計!$J$3:$J$33,1),COUNTIF(集計!$E$3:$E$33,"&gt;0")))+設定!$B$16*IF(OR(設定!$B$5="",IF(H$52&lt;設定!$B$10,COUNTIF(集計!$V$3:$V$33,1),COUNTIF(集計!$Q$3:$Q$33,"&gt;0"))=0),"",IF(H$52&lt;設定!$B$10,SUMIFS(先々月データ!$Q:$Q,先々月データ!$K:$K,H$52,先々月データ!$A:$A,"&gt;="&amp;設定!$B$5,先々月データ!$A:$A,"&lt;="&amp;EOMONTH(設定!$B$5,0),先々月データ!$AA:$AA,1),SUMIFS(先々月データ!$Q:$Q,先々月データ!$K:$K,H$52,先々月データ!$A:$A,"&gt;="&amp;設定!$B$5,先々月データ!$A:$A,"&lt;="&amp;EOMONTH(設定!$B$5,0)))/IF(H$52&lt;設定!$B$10,COUNTIF(集計!$V$3:$V$33,1),COUNTIF(集計!$Q$3:$Q$33,"&gt;0"))))/(設定!$B$15+設定!$B$16),IF(N(IF(H$52&lt;設定!$B$10,COUNTIF(集計!$J$3:$J$33,1),COUNTIF(集計!$E$3:$E$33,"&gt;0")))&gt;0,IF(OR(設定!$B$4="",IF(H$52&lt;設定!$B$10,COUNTIF(集計!$J$3:$J$33,1),COUNTIF(集計!$E$3:$E$33,"&gt;0"))=0),"",IF(H$52&lt;設定!$B$10,SUMIFS(先月データ!$Q:$Q,先月データ!$K:$K,H$52,先月データ!$A:$A,"&gt;="&amp;設定!$B$4,先月データ!$A:$A,"&lt;="&amp;EOMONTH(設定!$B$4,0),先月データ!$AA:$AA,1),SUMIFS(先月データ!$Q:$Q,先月データ!$K:$K,H$52,先月データ!$A:$A,"&gt;="&amp;設定!$B$4,先月データ!$A:$A,"&lt;="&amp;EOMONTH(設定!$B$4,0)))/IF(H$52&lt;設定!$B$10,COUNTIF(集計!$J$3:$J$33,1),COUNTIF(集計!$E$3:$E$33,"&gt;0"))),IF(N(IF(H$52&lt;設定!$B$10,COUNTIF(集計!$V$3:$V$33,1),COUNTIF(集計!$Q$3:$Q$33,"&gt;0")))&gt;0,IF(OR(設定!$B$5="",IF(H$52&lt;設定!$B$10,COUNTIF(集計!$V$3:$V$33,1),COUNTIF(集計!$Q$3:$Q$33,"&gt;0"))=0),"",IF(H$52&lt;設定!$B$10,SUMIFS(先々月データ!$Q:$Q,先々月データ!$K:$K,H$52,先々月データ!$A:$A,"&gt;="&amp;設定!$B$5,先々月データ!$A:$A,"&lt;="&amp;EOMONTH(設定!$B$5,0),先々月データ!$AA:$AA,1),SUMIFS(先々月データ!$Q:$Q,先々月データ!$K:$K,H$52,先々月データ!$A:$A,"&gt;="&amp;設定!$B$5,先々月データ!$A:$A,"&lt;="&amp;EOMONTH(設定!$B$5,0)))/IF(H$52&lt;設定!$B$10,COUNTIF(集計!$V$3:$V$33,1),COUNTIF(集計!$Q$3:$Q$33,"&gt;0"))),"")))</f>
        <v/>
      </c>
      <c r="I61" s="55" t="str">
        <f aca="false">IF(AND(N(IF(I$52&lt;設定!$B$10,COUNTIF(集計!$J$3:$J$33,1),COUNTIF(集計!$E$3:$E$33,"&gt;0")))&gt;0,N(IF(I$52&lt;設定!$B$10,COUNTIF(集計!$V$3:$V$33,1),COUNTIF(集計!$Q$3:$Q$33,"&gt;0")))&gt;0),(設定!$B$15*IF(OR(設定!$B$4="",IF(I$52&lt;設定!$B$10,COUNTIF(集計!$J$3:$J$33,1),COUNTIF(集計!$E$3:$E$33,"&gt;0"))=0),"",IF(I$52&lt;設定!$B$10,SUMIFS(先月データ!$Q:$Q,先月データ!$K:$K,I$52,先月データ!$A:$A,"&gt;="&amp;設定!$B$4,先月データ!$A:$A,"&lt;="&amp;EOMONTH(設定!$B$4,0),先月データ!$AA:$AA,1),SUMIFS(先月データ!$Q:$Q,先月データ!$K:$K,I$52,先月データ!$A:$A,"&gt;="&amp;設定!$B$4,先月データ!$A:$A,"&lt;="&amp;EOMONTH(設定!$B$4,0)))/IF(I$52&lt;設定!$B$10,COUNTIF(集計!$J$3:$J$33,1),COUNTIF(集計!$E$3:$E$33,"&gt;0")))+設定!$B$16*IF(OR(設定!$B$5="",IF(I$52&lt;設定!$B$10,COUNTIF(集計!$V$3:$V$33,1),COUNTIF(集計!$Q$3:$Q$33,"&gt;0"))=0),"",IF(I$52&lt;設定!$B$10,SUMIFS(先々月データ!$Q:$Q,先々月データ!$K:$K,I$52,先々月データ!$A:$A,"&gt;="&amp;設定!$B$5,先々月データ!$A:$A,"&lt;="&amp;EOMONTH(設定!$B$5,0),先々月データ!$AA:$AA,1),SUMIFS(先々月データ!$Q:$Q,先々月データ!$K:$K,I$52,先々月データ!$A:$A,"&gt;="&amp;設定!$B$5,先々月データ!$A:$A,"&lt;="&amp;EOMONTH(設定!$B$5,0)))/IF(I$52&lt;設定!$B$10,COUNTIF(集計!$V$3:$V$33,1),COUNTIF(集計!$Q$3:$Q$33,"&gt;0"))))/(設定!$B$15+設定!$B$16),IF(N(IF(I$52&lt;設定!$B$10,COUNTIF(集計!$J$3:$J$33,1),COUNTIF(集計!$E$3:$E$33,"&gt;0")))&gt;0,IF(OR(設定!$B$4="",IF(I$52&lt;設定!$B$10,COUNTIF(集計!$J$3:$J$33,1),COUNTIF(集計!$E$3:$E$33,"&gt;0"))=0),"",IF(I$52&lt;設定!$B$10,SUMIFS(先月データ!$Q:$Q,先月データ!$K:$K,I$52,先月データ!$A:$A,"&gt;="&amp;設定!$B$4,先月データ!$A:$A,"&lt;="&amp;EOMONTH(設定!$B$4,0),先月データ!$AA:$AA,1),SUMIFS(先月データ!$Q:$Q,先月データ!$K:$K,I$52,先月データ!$A:$A,"&gt;="&amp;設定!$B$4,先月データ!$A:$A,"&lt;="&amp;EOMONTH(設定!$B$4,0)))/IF(I$52&lt;設定!$B$10,COUNTIF(集計!$J$3:$J$33,1),COUNTIF(集計!$E$3:$E$33,"&gt;0"))),IF(N(IF(I$52&lt;設定!$B$10,COUNTIF(集計!$V$3:$V$33,1),COUNTIF(集計!$Q$3:$Q$33,"&gt;0")))&gt;0,IF(OR(設定!$B$5="",IF(I$52&lt;設定!$B$10,COUNTIF(集計!$V$3:$V$33,1),COUNTIF(集計!$Q$3:$Q$33,"&gt;0"))=0),"",IF(I$52&lt;設定!$B$10,SUMIFS(先々月データ!$Q:$Q,先々月データ!$K:$K,I$52,先々月データ!$A:$A,"&gt;="&amp;設定!$B$5,先々月データ!$A:$A,"&lt;="&amp;EOMONTH(設定!$B$5,0),先々月データ!$AA:$AA,1),SUMIFS(先々月データ!$Q:$Q,先々月データ!$K:$K,I$52,先々月データ!$A:$A,"&gt;="&amp;設定!$B$5,先々月データ!$A:$A,"&lt;="&amp;EOMONTH(設定!$B$5,0)))/IF(I$52&lt;設定!$B$10,COUNTIF(集計!$V$3:$V$33,1),COUNTIF(集計!$Q$3:$Q$33,"&gt;0"))),"")))</f>
        <v/>
      </c>
      <c r="J61" s="55" t="str">
        <f aca="false">IF(AND(N(IF(J$52&lt;設定!$B$10,COUNTIF(集計!$J$3:$J$33,1),COUNTIF(集計!$E$3:$E$33,"&gt;0")))&gt;0,N(IF(J$52&lt;設定!$B$10,COUNTIF(集計!$V$3:$V$33,1),COUNTIF(集計!$Q$3:$Q$33,"&gt;0")))&gt;0),(設定!$B$15*IF(OR(設定!$B$4="",IF(J$52&lt;設定!$B$10,COUNTIF(集計!$J$3:$J$33,1),COUNTIF(集計!$E$3:$E$33,"&gt;0"))=0),"",IF(J$52&lt;設定!$B$10,SUMIFS(先月データ!$Q:$Q,先月データ!$K:$K,J$52,先月データ!$A:$A,"&gt;="&amp;設定!$B$4,先月データ!$A:$A,"&lt;="&amp;EOMONTH(設定!$B$4,0),先月データ!$AA:$AA,1),SUMIFS(先月データ!$Q:$Q,先月データ!$K:$K,J$52,先月データ!$A:$A,"&gt;="&amp;設定!$B$4,先月データ!$A:$A,"&lt;="&amp;EOMONTH(設定!$B$4,0)))/IF(J$52&lt;設定!$B$10,COUNTIF(集計!$J$3:$J$33,1),COUNTIF(集計!$E$3:$E$33,"&gt;0")))+設定!$B$16*IF(OR(設定!$B$5="",IF(J$52&lt;設定!$B$10,COUNTIF(集計!$V$3:$V$33,1),COUNTIF(集計!$Q$3:$Q$33,"&gt;0"))=0),"",IF(J$52&lt;設定!$B$10,SUMIFS(先々月データ!$Q:$Q,先々月データ!$K:$K,J$52,先々月データ!$A:$A,"&gt;="&amp;設定!$B$5,先々月データ!$A:$A,"&lt;="&amp;EOMONTH(設定!$B$5,0),先々月データ!$AA:$AA,1),SUMIFS(先々月データ!$Q:$Q,先々月データ!$K:$K,J$52,先々月データ!$A:$A,"&gt;="&amp;設定!$B$5,先々月データ!$A:$A,"&lt;="&amp;EOMONTH(設定!$B$5,0)))/IF(J$52&lt;設定!$B$10,COUNTIF(集計!$V$3:$V$33,1),COUNTIF(集計!$Q$3:$Q$33,"&gt;0"))))/(設定!$B$15+設定!$B$16),IF(N(IF(J$52&lt;設定!$B$10,COUNTIF(集計!$J$3:$J$33,1),COUNTIF(集計!$E$3:$E$33,"&gt;0")))&gt;0,IF(OR(設定!$B$4="",IF(J$52&lt;設定!$B$10,COUNTIF(集計!$J$3:$J$33,1),COUNTIF(集計!$E$3:$E$33,"&gt;0"))=0),"",IF(J$52&lt;設定!$B$10,SUMIFS(先月データ!$Q:$Q,先月データ!$K:$K,J$52,先月データ!$A:$A,"&gt;="&amp;設定!$B$4,先月データ!$A:$A,"&lt;="&amp;EOMONTH(設定!$B$4,0),先月データ!$AA:$AA,1),SUMIFS(先月データ!$Q:$Q,先月データ!$K:$K,J$52,先月データ!$A:$A,"&gt;="&amp;設定!$B$4,先月データ!$A:$A,"&lt;="&amp;EOMONTH(設定!$B$4,0)))/IF(J$52&lt;設定!$B$10,COUNTIF(集計!$J$3:$J$33,1),COUNTIF(集計!$E$3:$E$33,"&gt;0"))),IF(N(IF(J$52&lt;設定!$B$10,COUNTIF(集計!$V$3:$V$33,1),COUNTIF(集計!$Q$3:$Q$33,"&gt;0")))&gt;0,IF(OR(設定!$B$5="",IF(J$52&lt;設定!$B$10,COUNTIF(集計!$V$3:$V$33,1),COUNTIF(集計!$Q$3:$Q$33,"&gt;0"))=0),"",IF(J$52&lt;設定!$B$10,SUMIFS(先々月データ!$Q:$Q,先々月データ!$K:$K,J$52,先々月データ!$A:$A,"&gt;="&amp;設定!$B$5,先々月データ!$A:$A,"&lt;="&amp;EOMONTH(設定!$B$5,0),先々月データ!$AA:$AA,1),SUMIFS(先々月データ!$Q:$Q,先々月データ!$K:$K,J$52,先々月データ!$A:$A,"&gt;="&amp;設定!$B$5,先々月データ!$A:$A,"&lt;="&amp;EOMONTH(設定!$B$5,0)))/IF(J$52&lt;設定!$B$10,COUNTIF(集計!$V$3:$V$33,1),COUNTIF(集計!$Q$3:$Q$33,"&gt;0"))),"")))</f>
        <v/>
      </c>
      <c r="K61" s="55" t="str">
        <f aca="false">IF(AND(N(IF(K$52&lt;設定!$B$10,COUNTIF(集計!$J$3:$J$33,1),COUNTIF(集計!$E$3:$E$33,"&gt;0")))&gt;0,N(IF(K$52&lt;設定!$B$10,COUNTIF(集計!$V$3:$V$33,1),COUNTIF(集計!$Q$3:$Q$33,"&gt;0")))&gt;0),(設定!$B$15*IF(OR(設定!$B$4="",IF(K$52&lt;設定!$B$10,COUNTIF(集計!$J$3:$J$33,1),COUNTIF(集計!$E$3:$E$33,"&gt;0"))=0),"",IF(K$52&lt;設定!$B$10,SUMIFS(先月データ!$Q:$Q,先月データ!$K:$K,K$52,先月データ!$A:$A,"&gt;="&amp;設定!$B$4,先月データ!$A:$A,"&lt;="&amp;EOMONTH(設定!$B$4,0),先月データ!$AA:$AA,1),SUMIFS(先月データ!$Q:$Q,先月データ!$K:$K,K$52,先月データ!$A:$A,"&gt;="&amp;設定!$B$4,先月データ!$A:$A,"&lt;="&amp;EOMONTH(設定!$B$4,0)))/IF(K$52&lt;設定!$B$10,COUNTIF(集計!$J$3:$J$33,1),COUNTIF(集計!$E$3:$E$33,"&gt;0")))+設定!$B$16*IF(OR(設定!$B$5="",IF(K$52&lt;設定!$B$10,COUNTIF(集計!$V$3:$V$33,1),COUNTIF(集計!$Q$3:$Q$33,"&gt;0"))=0),"",IF(K$52&lt;設定!$B$10,SUMIFS(先々月データ!$Q:$Q,先々月データ!$K:$K,K$52,先々月データ!$A:$A,"&gt;="&amp;設定!$B$5,先々月データ!$A:$A,"&lt;="&amp;EOMONTH(設定!$B$5,0),先々月データ!$AA:$AA,1),SUMIFS(先々月データ!$Q:$Q,先々月データ!$K:$K,K$52,先々月データ!$A:$A,"&gt;="&amp;設定!$B$5,先々月データ!$A:$A,"&lt;="&amp;EOMONTH(設定!$B$5,0)))/IF(K$52&lt;設定!$B$10,COUNTIF(集計!$V$3:$V$33,1),COUNTIF(集計!$Q$3:$Q$33,"&gt;0"))))/(設定!$B$15+設定!$B$16),IF(N(IF(K$52&lt;設定!$B$10,COUNTIF(集計!$J$3:$J$33,1),COUNTIF(集計!$E$3:$E$33,"&gt;0")))&gt;0,IF(OR(設定!$B$4="",IF(K$52&lt;設定!$B$10,COUNTIF(集計!$J$3:$J$33,1),COUNTIF(集計!$E$3:$E$33,"&gt;0"))=0),"",IF(K$52&lt;設定!$B$10,SUMIFS(先月データ!$Q:$Q,先月データ!$K:$K,K$52,先月データ!$A:$A,"&gt;="&amp;設定!$B$4,先月データ!$A:$A,"&lt;="&amp;EOMONTH(設定!$B$4,0),先月データ!$AA:$AA,1),SUMIFS(先月データ!$Q:$Q,先月データ!$K:$K,K$52,先月データ!$A:$A,"&gt;="&amp;設定!$B$4,先月データ!$A:$A,"&lt;="&amp;EOMONTH(設定!$B$4,0)))/IF(K$52&lt;設定!$B$10,COUNTIF(集計!$J$3:$J$33,1),COUNTIF(集計!$E$3:$E$33,"&gt;0"))),IF(N(IF(K$52&lt;設定!$B$10,COUNTIF(集計!$V$3:$V$33,1),COUNTIF(集計!$Q$3:$Q$33,"&gt;0")))&gt;0,IF(OR(設定!$B$5="",IF(K$52&lt;設定!$B$10,COUNTIF(集計!$V$3:$V$33,1),COUNTIF(集計!$Q$3:$Q$33,"&gt;0"))=0),"",IF(K$52&lt;設定!$B$10,SUMIFS(先々月データ!$Q:$Q,先々月データ!$K:$K,K$52,先々月データ!$A:$A,"&gt;="&amp;設定!$B$5,先々月データ!$A:$A,"&lt;="&amp;EOMONTH(設定!$B$5,0),先々月データ!$AA:$AA,1),SUMIFS(先々月データ!$Q:$Q,先々月データ!$K:$K,K$52,先々月データ!$A:$A,"&gt;="&amp;設定!$B$5,先々月データ!$A:$A,"&lt;="&amp;EOMONTH(設定!$B$5,0)))/IF(K$52&lt;設定!$B$10,COUNTIF(集計!$V$3:$V$33,1),COUNTIF(集計!$Q$3:$Q$33,"&gt;0"))),"")))</f>
        <v/>
      </c>
      <c r="L61" s="55" t="str">
        <f aca="false">IF(AND(N(IF(L$52&lt;設定!$B$10,COUNTIF(集計!$J$3:$J$33,1),COUNTIF(集計!$E$3:$E$33,"&gt;0")))&gt;0,N(IF(L$52&lt;設定!$B$10,COUNTIF(集計!$V$3:$V$33,1),COUNTIF(集計!$Q$3:$Q$33,"&gt;0")))&gt;0),(設定!$B$15*IF(OR(設定!$B$4="",IF(L$52&lt;設定!$B$10,COUNTIF(集計!$J$3:$J$33,1),COUNTIF(集計!$E$3:$E$33,"&gt;0"))=0),"",IF(L$52&lt;設定!$B$10,SUMIFS(先月データ!$Q:$Q,先月データ!$K:$K,L$52,先月データ!$A:$A,"&gt;="&amp;設定!$B$4,先月データ!$A:$A,"&lt;="&amp;EOMONTH(設定!$B$4,0),先月データ!$AA:$AA,1),SUMIFS(先月データ!$Q:$Q,先月データ!$K:$K,L$52,先月データ!$A:$A,"&gt;="&amp;設定!$B$4,先月データ!$A:$A,"&lt;="&amp;EOMONTH(設定!$B$4,0)))/IF(L$52&lt;設定!$B$10,COUNTIF(集計!$J$3:$J$33,1),COUNTIF(集計!$E$3:$E$33,"&gt;0")))+設定!$B$16*IF(OR(設定!$B$5="",IF(L$52&lt;設定!$B$10,COUNTIF(集計!$V$3:$V$33,1),COUNTIF(集計!$Q$3:$Q$33,"&gt;0"))=0),"",IF(L$52&lt;設定!$B$10,SUMIFS(先々月データ!$Q:$Q,先々月データ!$K:$K,L$52,先々月データ!$A:$A,"&gt;="&amp;設定!$B$5,先々月データ!$A:$A,"&lt;="&amp;EOMONTH(設定!$B$5,0),先々月データ!$AA:$AA,1),SUMIFS(先々月データ!$Q:$Q,先々月データ!$K:$K,L$52,先々月データ!$A:$A,"&gt;="&amp;設定!$B$5,先々月データ!$A:$A,"&lt;="&amp;EOMONTH(設定!$B$5,0)))/IF(L$52&lt;設定!$B$10,COUNTIF(集計!$V$3:$V$33,1),COUNTIF(集計!$Q$3:$Q$33,"&gt;0"))))/(設定!$B$15+設定!$B$16),IF(N(IF(L$52&lt;設定!$B$10,COUNTIF(集計!$J$3:$J$33,1),COUNTIF(集計!$E$3:$E$33,"&gt;0")))&gt;0,IF(OR(設定!$B$4="",IF(L$52&lt;設定!$B$10,COUNTIF(集計!$J$3:$J$33,1),COUNTIF(集計!$E$3:$E$33,"&gt;0"))=0),"",IF(L$52&lt;設定!$B$10,SUMIFS(先月データ!$Q:$Q,先月データ!$K:$K,L$52,先月データ!$A:$A,"&gt;="&amp;設定!$B$4,先月データ!$A:$A,"&lt;="&amp;EOMONTH(設定!$B$4,0),先月データ!$AA:$AA,1),SUMIFS(先月データ!$Q:$Q,先月データ!$K:$K,L$52,先月データ!$A:$A,"&gt;="&amp;設定!$B$4,先月データ!$A:$A,"&lt;="&amp;EOMONTH(設定!$B$4,0)))/IF(L$52&lt;設定!$B$10,COUNTIF(集計!$J$3:$J$33,1),COUNTIF(集計!$E$3:$E$33,"&gt;0"))),IF(N(IF(L$52&lt;設定!$B$10,COUNTIF(集計!$V$3:$V$33,1),COUNTIF(集計!$Q$3:$Q$33,"&gt;0")))&gt;0,IF(OR(設定!$B$5="",IF(L$52&lt;設定!$B$10,COUNTIF(集計!$V$3:$V$33,1),COUNTIF(集計!$Q$3:$Q$33,"&gt;0"))=0),"",IF(L$52&lt;設定!$B$10,SUMIFS(先々月データ!$Q:$Q,先々月データ!$K:$K,L$52,先々月データ!$A:$A,"&gt;="&amp;設定!$B$5,先々月データ!$A:$A,"&lt;="&amp;EOMONTH(設定!$B$5,0),先々月データ!$AA:$AA,1),SUMIFS(先々月データ!$Q:$Q,先々月データ!$K:$K,L$52,先々月データ!$A:$A,"&gt;="&amp;設定!$B$5,先々月データ!$A:$A,"&lt;="&amp;EOMONTH(設定!$B$5,0)))/IF(L$52&lt;設定!$B$10,COUNTIF(集計!$V$3:$V$33,1),COUNTIF(集計!$Q$3:$Q$33,"&gt;0"))),"")))</f>
        <v/>
      </c>
      <c r="M61" s="55" t="str">
        <f aca="false">IF(AND(N(IF(M$52&lt;設定!$B$10,COUNTIF(集計!$J$3:$J$33,1),COUNTIF(集計!$E$3:$E$33,"&gt;0")))&gt;0,N(IF(M$52&lt;設定!$B$10,COUNTIF(集計!$V$3:$V$33,1),COUNTIF(集計!$Q$3:$Q$33,"&gt;0")))&gt;0),(設定!$B$15*IF(OR(設定!$B$4="",IF(M$52&lt;設定!$B$10,COUNTIF(集計!$J$3:$J$33,1),COUNTIF(集計!$E$3:$E$33,"&gt;0"))=0),"",IF(M$52&lt;設定!$B$10,SUMIFS(先月データ!$Q:$Q,先月データ!$K:$K,M$52,先月データ!$A:$A,"&gt;="&amp;設定!$B$4,先月データ!$A:$A,"&lt;="&amp;EOMONTH(設定!$B$4,0),先月データ!$AA:$AA,1),SUMIFS(先月データ!$Q:$Q,先月データ!$K:$K,M$52,先月データ!$A:$A,"&gt;="&amp;設定!$B$4,先月データ!$A:$A,"&lt;="&amp;EOMONTH(設定!$B$4,0)))/IF(M$52&lt;設定!$B$10,COUNTIF(集計!$J$3:$J$33,1),COUNTIF(集計!$E$3:$E$33,"&gt;0")))+設定!$B$16*IF(OR(設定!$B$5="",IF(M$52&lt;設定!$B$10,COUNTIF(集計!$V$3:$V$33,1),COUNTIF(集計!$Q$3:$Q$33,"&gt;0"))=0),"",IF(M$52&lt;設定!$B$10,SUMIFS(先々月データ!$Q:$Q,先々月データ!$K:$K,M$52,先々月データ!$A:$A,"&gt;="&amp;設定!$B$5,先々月データ!$A:$A,"&lt;="&amp;EOMONTH(設定!$B$5,0),先々月データ!$AA:$AA,1),SUMIFS(先々月データ!$Q:$Q,先々月データ!$K:$K,M$52,先々月データ!$A:$A,"&gt;="&amp;設定!$B$5,先々月データ!$A:$A,"&lt;="&amp;EOMONTH(設定!$B$5,0)))/IF(M$52&lt;設定!$B$10,COUNTIF(集計!$V$3:$V$33,1),COUNTIF(集計!$Q$3:$Q$33,"&gt;0"))))/(設定!$B$15+設定!$B$16),IF(N(IF(M$52&lt;設定!$B$10,COUNTIF(集計!$J$3:$J$33,1),COUNTIF(集計!$E$3:$E$33,"&gt;0")))&gt;0,IF(OR(設定!$B$4="",IF(M$52&lt;設定!$B$10,COUNTIF(集計!$J$3:$J$33,1),COUNTIF(集計!$E$3:$E$33,"&gt;0"))=0),"",IF(M$52&lt;設定!$B$10,SUMIFS(先月データ!$Q:$Q,先月データ!$K:$K,M$52,先月データ!$A:$A,"&gt;="&amp;設定!$B$4,先月データ!$A:$A,"&lt;="&amp;EOMONTH(設定!$B$4,0),先月データ!$AA:$AA,1),SUMIFS(先月データ!$Q:$Q,先月データ!$K:$K,M$52,先月データ!$A:$A,"&gt;="&amp;設定!$B$4,先月データ!$A:$A,"&lt;="&amp;EOMONTH(設定!$B$4,0)))/IF(M$52&lt;設定!$B$10,COUNTIF(集計!$J$3:$J$33,1),COUNTIF(集計!$E$3:$E$33,"&gt;0"))),IF(N(IF(M$52&lt;設定!$B$10,COUNTIF(集計!$V$3:$V$33,1),COUNTIF(集計!$Q$3:$Q$33,"&gt;0")))&gt;0,IF(OR(設定!$B$5="",IF(M$52&lt;設定!$B$10,COUNTIF(集計!$V$3:$V$33,1),COUNTIF(集計!$Q$3:$Q$33,"&gt;0"))=0),"",IF(M$52&lt;設定!$B$10,SUMIFS(先々月データ!$Q:$Q,先々月データ!$K:$K,M$52,先々月データ!$A:$A,"&gt;="&amp;設定!$B$5,先々月データ!$A:$A,"&lt;="&amp;EOMONTH(設定!$B$5,0),先々月データ!$AA:$AA,1),SUMIFS(先々月データ!$Q:$Q,先々月データ!$K:$K,M$52,先々月データ!$A:$A,"&gt;="&amp;設定!$B$5,先々月データ!$A:$A,"&lt;="&amp;EOMONTH(設定!$B$5,0)))/IF(M$52&lt;設定!$B$10,COUNTIF(集計!$V$3:$V$33,1),COUNTIF(集計!$Q$3:$Q$33,"&gt;0"))),"")))</f>
        <v/>
      </c>
      <c r="N61" s="55" t="str">
        <f aca="false">IF(AND(N(IF(N$52&lt;設定!$B$10,COUNTIF(集計!$J$3:$J$33,1),COUNTIF(集計!$E$3:$E$33,"&gt;0")))&gt;0,N(IF(N$52&lt;設定!$B$10,COUNTIF(集計!$V$3:$V$33,1),COUNTIF(集計!$Q$3:$Q$33,"&gt;0")))&gt;0),(設定!$B$15*IF(OR(設定!$B$4="",IF(N$52&lt;設定!$B$10,COUNTIF(集計!$J$3:$J$33,1),COUNTIF(集計!$E$3:$E$33,"&gt;0"))=0),"",IF(N$52&lt;設定!$B$10,SUMIFS(先月データ!$Q:$Q,先月データ!$K:$K,N$52,先月データ!$A:$A,"&gt;="&amp;設定!$B$4,先月データ!$A:$A,"&lt;="&amp;EOMONTH(設定!$B$4,0),先月データ!$AA:$AA,1),SUMIFS(先月データ!$Q:$Q,先月データ!$K:$K,N$52,先月データ!$A:$A,"&gt;="&amp;設定!$B$4,先月データ!$A:$A,"&lt;="&amp;EOMONTH(設定!$B$4,0)))/IF(N$52&lt;設定!$B$10,COUNTIF(集計!$J$3:$J$33,1),COUNTIF(集計!$E$3:$E$33,"&gt;0")))+設定!$B$16*IF(OR(設定!$B$5="",IF(N$52&lt;設定!$B$10,COUNTIF(集計!$V$3:$V$33,1),COUNTIF(集計!$Q$3:$Q$33,"&gt;0"))=0),"",IF(N$52&lt;設定!$B$10,SUMIFS(先々月データ!$Q:$Q,先々月データ!$K:$K,N$52,先々月データ!$A:$A,"&gt;="&amp;設定!$B$5,先々月データ!$A:$A,"&lt;="&amp;EOMONTH(設定!$B$5,0),先々月データ!$AA:$AA,1),SUMIFS(先々月データ!$Q:$Q,先々月データ!$K:$K,N$52,先々月データ!$A:$A,"&gt;="&amp;設定!$B$5,先々月データ!$A:$A,"&lt;="&amp;EOMONTH(設定!$B$5,0)))/IF(N$52&lt;設定!$B$10,COUNTIF(集計!$V$3:$V$33,1),COUNTIF(集計!$Q$3:$Q$33,"&gt;0"))))/(設定!$B$15+設定!$B$16),IF(N(IF(N$52&lt;設定!$B$10,COUNTIF(集計!$J$3:$J$33,1),COUNTIF(集計!$E$3:$E$33,"&gt;0")))&gt;0,IF(OR(設定!$B$4="",IF(N$52&lt;設定!$B$10,COUNTIF(集計!$J$3:$J$33,1),COUNTIF(集計!$E$3:$E$33,"&gt;0"))=0),"",IF(N$52&lt;設定!$B$10,SUMIFS(先月データ!$Q:$Q,先月データ!$K:$K,N$52,先月データ!$A:$A,"&gt;="&amp;設定!$B$4,先月データ!$A:$A,"&lt;="&amp;EOMONTH(設定!$B$4,0),先月データ!$AA:$AA,1),SUMIFS(先月データ!$Q:$Q,先月データ!$K:$K,N$52,先月データ!$A:$A,"&gt;="&amp;設定!$B$4,先月データ!$A:$A,"&lt;="&amp;EOMONTH(設定!$B$4,0)))/IF(N$52&lt;設定!$B$10,COUNTIF(集計!$J$3:$J$33,1),COUNTIF(集計!$E$3:$E$33,"&gt;0"))),IF(N(IF(N$52&lt;設定!$B$10,COUNTIF(集計!$V$3:$V$33,1),COUNTIF(集計!$Q$3:$Q$33,"&gt;0")))&gt;0,IF(OR(設定!$B$5="",IF(N$52&lt;設定!$B$10,COUNTIF(集計!$V$3:$V$33,1),COUNTIF(集計!$Q$3:$Q$33,"&gt;0"))=0),"",IF(N$52&lt;設定!$B$10,SUMIFS(先々月データ!$Q:$Q,先々月データ!$K:$K,N$52,先々月データ!$A:$A,"&gt;="&amp;設定!$B$5,先々月データ!$A:$A,"&lt;="&amp;EOMONTH(設定!$B$5,0),先々月データ!$AA:$AA,1),SUMIFS(先々月データ!$Q:$Q,先々月データ!$K:$K,N$52,先々月データ!$A:$A,"&gt;="&amp;設定!$B$5,先々月データ!$A:$A,"&lt;="&amp;EOMONTH(設定!$B$5,0)))/IF(N$52&lt;設定!$B$10,COUNTIF(集計!$V$3:$V$33,1),COUNTIF(集計!$Q$3:$Q$33,"&gt;0"))),"")))</f>
        <v/>
      </c>
      <c r="O61" s="55" t="n">
        <f aca="false">SUMIF($B$52:$N$52,"&lt;"&amp;設定!$B$10,B61:N61)</f>
        <v>0</v>
      </c>
      <c r="P61" s="55" t="n">
        <f aca="false">SUMIF($B$52:$N$52,"&gt;="&amp;設定!$B$10,B61:N61)</f>
        <v>0</v>
      </c>
    </row>
    <row r="62" customFormat="false" ht="15" hidden="false" customHeight="false" outlineLevel="0" collapsed="false">
      <c r="A62" s="32" t="s">
        <v>219</v>
      </c>
    </row>
    <row r="63" customFormat="false" ht="15" hidden="false" customHeight="false" outlineLevel="0" collapsed="false">
      <c r="A63" s="30" t="s">
        <v>64</v>
      </c>
      <c r="B63" s="27" t="n">
        <f aca="false">B52</f>
        <v>11</v>
      </c>
      <c r="C63" s="27" t="n">
        <f aca="false">C52</f>
        <v>12</v>
      </c>
      <c r="D63" s="27" t="n">
        <f aca="false">D52</f>
        <v>13</v>
      </c>
      <c r="E63" s="27" t="n">
        <f aca="false">E52</f>
        <v>14</v>
      </c>
      <c r="F63" s="27" t="n">
        <f aca="false">F52</f>
        <v>15</v>
      </c>
      <c r="G63" s="27" t="n">
        <f aca="false">G52</f>
        <v>16</v>
      </c>
      <c r="H63" s="27" t="n">
        <f aca="false">H52</f>
        <v>17</v>
      </c>
      <c r="I63" s="27" t="n">
        <f aca="false">I52</f>
        <v>18</v>
      </c>
      <c r="J63" s="27" t="n">
        <f aca="false">J52</f>
        <v>19</v>
      </c>
      <c r="K63" s="27" t="n">
        <f aca="false">K52</f>
        <v>20</v>
      </c>
      <c r="L63" s="27" t="n">
        <f aca="false">L52</f>
        <v>21</v>
      </c>
      <c r="M63" s="27" t="n">
        <f aca="false">M52</f>
        <v>22</v>
      </c>
      <c r="N63" s="27" t="n">
        <f aca="false">N52</f>
        <v>23</v>
      </c>
    </row>
    <row r="64" customFormat="false" ht="15" hidden="false" customHeight="false" outlineLevel="0" collapsed="false">
      <c r="A64" s="47" t="s">
        <v>206</v>
      </c>
      <c r="B64" s="57" t="n">
        <f aca="false">IF(B$52&lt;設定!$B$10,IF(N($O53)&gt;0,N(B53)/$O53,IF(N($O$61)&gt;0,N(B$61)/$O$61,0)),IF(N($P53)&gt;0,N(B53)/$P53,IF(AND($A64="祝",N($P$59)&gt;0),N(B$59)/$P$59,IF(N($P$61)&gt;0,N(B$61)/$P$61,0))))</f>
        <v>0</v>
      </c>
      <c r="C64" s="57" t="n">
        <f aca="false">IF(C$52&lt;設定!$B$10,IF(N($O53)&gt;0,N(C53)/$O53,IF(N($O$61)&gt;0,N(C$61)/$O$61,0)),IF(N($P53)&gt;0,N(C53)/$P53,IF(AND($A64="祝",N($P$59)&gt;0),N(C$59)/$P$59,IF(N($P$61)&gt;0,N(C$61)/$P$61,0))))</f>
        <v>0</v>
      </c>
      <c r="D64" s="57" t="n">
        <f aca="false">IF(D$52&lt;設定!$B$10,IF(N($O53)&gt;0,N(D53)/$O53,IF(N($O$61)&gt;0,N(D$61)/$O$61,0)),IF(N($P53)&gt;0,N(D53)/$P53,IF(AND($A64="祝",N($P$59)&gt;0),N(D$59)/$P$59,IF(N($P$61)&gt;0,N(D$61)/$P$61,0))))</f>
        <v>0</v>
      </c>
      <c r="E64" s="57" t="n">
        <f aca="false">IF(E$52&lt;設定!$B$10,IF(N($O53)&gt;0,N(E53)/$O53,IF(N($O$61)&gt;0,N(E$61)/$O$61,0)),IF(N($P53)&gt;0,N(E53)/$P53,IF(AND($A64="祝",N($P$59)&gt;0),N(E$59)/$P$59,IF(N($P$61)&gt;0,N(E$61)/$P$61,0))))</f>
        <v>0</v>
      </c>
      <c r="F64" s="57" t="n">
        <f aca="false">IF(F$52&lt;設定!$B$10,IF(N($O53)&gt;0,N(F53)/$O53,IF(N($O$61)&gt;0,N(F$61)/$O$61,0)),IF(N($P53)&gt;0,N(F53)/$P53,IF(AND($A64="祝",N($P$59)&gt;0),N(F$59)/$P$59,IF(N($P$61)&gt;0,N(F$61)/$P$61,0))))</f>
        <v>0</v>
      </c>
      <c r="G64" s="57" t="n">
        <f aca="false">IF(G$52&lt;設定!$B$10,IF(N($O53)&gt;0,N(G53)/$O53,IF(N($O$61)&gt;0,N(G$61)/$O$61,0)),IF(N($P53)&gt;0,N(G53)/$P53,IF(AND($A64="祝",N($P$59)&gt;0),N(G$59)/$P$59,IF(N($P$61)&gt;0,N(G$61)/$P$61,0))))</f>
        <v>0</v>
      </c>
      <c r="H64" s="57" t="n">
        <f aca="false">IF(H$52&lt;設定!$B$10,IF(N($O53)&gt;0,N(H53)/$O53,IF(N($O$61)&gt;0,N(H$61)/$O$61,0)),IF(N($P53)&gt;0,N(H53)/$P53,IF(AND($A64="祝",N($P$59)&gt;0),N(H$59)/$P$59,IF(N($P$61)&gt;0,N(H$61)/$P$61,0))))</f>
        <v>0</v>
      </c>
      <c r="I64" s="57" t="n">
        <f aca="false">IF(I$52&lt;設定!$B$10,IF(N($O53)&gt;0,N(I53)/$O53,IF(N($O$61)&gt;0,N(I$61)/$O$61,0)),IF(N($P53)&gt;0,N(I53)/$P53,IF(AND($A64="祝",N($P$59)&gt;0),N(I$59)/$P$59,IF(N($P$61)&gt;0,N(I$61)/$P$61,0))))</f>
        <v>0</v>
      </c>
      <c r="J64" s="57" t="n">
        <f aca="false">IF(J$52&lt;設定!$B$10,IF(N($O53)&gt;0,N(J53)/$O53,IF(N($O$61)&gt;0,N(J$61)/$O$61,0)),IF(N($P53)&gt;0,N(J53)/$P53,IF(AND($A64="祝",N($P$59)&gt;0),N(J$59)/$P$59,IF(N($P$61)&gt;0,N(J$61)/$P$61,0))))</f>
        <v>0</v>
      </c>
      <c r="K64" s="57" t="n">
        <f aca="false">IF(K$52&lt;設定!$B$10,IF(N($O53)&gt;0,N(K53)/$O53,IF(N($O$61)&gt;0,N(K$61)/$O$61,0)),IF(N($P53)&gt;0,N(K53)/$P53,IF(AND($A64="祝",N($P$59)&gt;0),N(K$59)/$P$59,IF(N($P$61)&gt;0,N(K$61)/$P$61,0))))</f>
        <v>0</v>
      </c>
      <c r="L64" s="57" t="n">
        <f aca="false">IF(L$52&lt;設定!$B$10,IF(N($O53)&gt;0,N(L53)/$O53,IF(N($O$61)&gt;0,N(L$61)/$O$61,0)),IF(N($P53)&gt;0,N(L53)/$P53,IF(AND($A64="祝",N($P$59)&gt;0),N(L$59)/$P$59,IF(N($P$61)&gt;0,N(L$61)/$P$61,0))))</f>
        <v>0</v>
      </c>
      <c r="M64" s="57" t="n">
        <f aca="false">IF(M$52&lt;設定!$B$10,IF(N($O53)&gt;0,N(M53)/$O53,IF(N($O$61)&gt;0,N(M$61)/$O$61,0)),IF(N($P53)&gt;0,N(M53)/$P53,IF(AND($A64="祝",N($P$59)&gt;0),N(M$59)/$P$59,IF(N($P$61)&gt;0,N(M$61)/$P$61,0))))</f>
        <v>0</v>
      </c>
      <c r="N64" s="57" t="n">
        <f aca="false">IF(N$52&lt;設定!$B$10,IF(N($O53)&gt;0,N(N53)/$O53,IF(N($O$61)&gt;0,N(N$61)/$O$61,0)),IF(N($P53)&gt;0,N(N53)/$P53,IF(AND($A64="祝",N($P$59)&gt;0),N(N$59)/$P$59,IF(N($P$61)&gt;0,N(N$61)/$P$61,0))))</f>
        <v>0</v>
      </c>
    </row>
    <row r="65" customFormat="false" ht="15" hidden="false" customHeight="false" outlineLevel="0" collapsed="false">
      <c r="A65" s="47" t="s">
        <v>207</v>
      </c>
      <c r="B65" s="57" t="n">
        <f aca="false">IF(B$52&lt;設定!$B$10,IF(N($O54)&gt;0,N(B54)/$O54,IF(N($O$61)&gt;0,N(B$61)/$O$61,0)),IF(N($P54)&gt;0,N(B54)/$P54,IF(AND($A65="祝",N($P$59)&gt;0),N(B$59)/$P$59,IF(N($P$61)&gt;0,N(B$61)/$P$61,0))))</f>
        <v>0</v>
      </c>
      <c r="C65" s="57" t="n">
        <f aca="false">IF(C$52&lt;設定!$B$10,IF(N($O54)&gt;0,N(C54)/$O54,IF(N($O$61)&gt;0,N(C$61)/$O$61,0)),IF(N($P54)&gt;0,N(C54)/$P54,IF(AND($A65="祝",N($P$59)&gt;0),N(C$59)/$P$59,IF(N($P$61)&gt;0,N(C$61)/$P$61,0))))</f>
        <v>0</v>
      </c>
      <c r="D65" s="57" t="n">
        <f aca="false">IF(D$52&lt;設定!$B$10,IF(N($O54)&gt;0,N(D54)/$O54,IF(N($O$61)&gt;0,N(D$61)/$O$61,0)),IF(N($P54)&gt;0,N(D54)/$P54,IF(AND($A65="祝",N($P$59)&gt;0),N(D$59)/$P$59,IF(N($P$61)&gt;0,N(D$61)/$P$61,0))))</f>
        <v>0</v>
      </c>
      <c r="E65" s="57" t="n">
        <f aca="false">IF(E$52&lt;設定!$B$10,IF(N($O54)&gt;0,N(E54)/$O54,IF(N($O$61)&gt;0,N(E$61)/$O$61,0)),IF(N($P54)&gt;0,N(E54)/$P54,IF(AND($A65="祝",N($P$59)&gt;0),N(E$59)/$P$59,IF(N($P$61)&gt;0,N(E$61)/$P$61,0))))</f>
        <v>0</v>
      </c>
      <c r="F65" s="57" t="n">
        <f aca="false">IF(F$52&lt;設定!$B$10,IF(N($O54)&gt;0,N(F54)/$O54,IF(N($O$61)&gt;0,N(F$61)/$O$61,0)),IF(N($P54)&gt;0,N(F54)/$P54,IF(AND($A65="祝",N($P$59)&gt;0),N(F$59)/$P$59,IF(N($P$61)&gt;0,N(F$61)/$P$61,0))))</f>
        <v>0</v>
      </c>
      <c r="G65" s="57" t="n">
        <f aca="false">IF(G$52&lt;設定!$B$10,IF(N($O54)&gt;0,N(G54)/$O54,IF(N($O$61)&gt;0,N(G$61)/$O$61,0)),IF(N($P54)&gt;0,N(G54)/$P54,IF(AND($A65="祝",N($P$59)&gt;0),N(G$59)/$P$59,IF(N($P$61)&gt;0,N(G$61)/$P$61,0))))</f>
        <v>0</v>
      </c>
      <c r="H65" s="57" t="n">
        <f aca="false">IF(H$52&lt;設定!$B$10,IF(N($O54)&gt;0,N(H54)/$O54,IF(N($O$61)&gt;0,N(H$61)/$O$61,0)),IF(N($P54)&gt;0,N(H54)/$P54,IF(AND($A65="祝",N($P$59)&gt;0),N(H$59)/$P$59,IF(N($P$61)&gt;0,N(H$61)/$P$61,0))))</f>
        <v>0</v>
      </c>
      <c r="I65" s="57" t="n">
        <f aca="false">IF(I$52&lt;設定!$B$10,IF(N($O54)&gt;0,N(I54)/$O54,IF(N($O$61)&gt;0,N(I$61)/$O$61,0)),IF(N($P54)&gt;0,N(I54)/$P54,IF(AND($A65="祝",N($P$59)&gt;0),N(I$59)/$P$59,IF(N($P$61)&gt;0,N(I$61)/$P$61,0))))</f>
        <v>0</v>
      </c>
      <c r="J65" s="57" t="n">
        <f aca="false">IF(J$52&lt;設定!$B$10,IF(N($O54)&gt;0,N(J54)/$O54,IF(N($O$61)&gt;0,N(J$61)/$O$61,0)),IF(N($P54)&gt;0,N(J54)/$P54,IF(AND($A65="祝",N($P$59)&gt;0),N(J$59)/$P$59,IF(N($P$61)&gt;0,N(J$61)/$P$61,0))))</f>
        <v>0</v>
      </c>
      <c r="K65" s="57" t="n">
        <f aca="false">IF(K$52&lt;設定!$B$10,IF(N($O54)&gt;0,N(K54)/$O54,IF(N($O$61)&gt;0,N(K$61)/$O$61,0)),IF(N($P54)&gt;0,N(K54)/$P54,IF(AND($A65="祝",N($P$59)&gt;0),N(K$59)/$P$59,IF(N($P$61)&gt;0,N(K$61)/$P$61,0))))</f>
        <v>0</v>
      </c>
      <c r="L65" s="57" t="n">
        <f aca="false">IF(L$52&lt;設定!$B$10,IF(N($O54)&gt;0,N(L54)/$O54,IF(N($O$61)&gt;0,N(L$61)/$O$61,0)),IF(N($P54)&gt;0,N(L54)/$P54,IF(AND($A65="祝",N($P$59)&gt;0),N(L$59)/$P$59,IF(N($P$61)&gt;0,N(L$61)/$P$61,0))))</f>
        <v>0</v>
      </c>
      <c r="M65" s="57" t="n">
        <f aca="false">IF(M$52&lt;設定!$B$10,IF(N($O54)&gt;0,N(M54)/$O54,IF(N($O$61)&gt;0,N(M$61)/$O$61,0)),IF(N($P54)&gt;0,N(M54)/$P54,IF(AND($A65="祝",N($P$59)&gt;0),N(M$59)/$P$59,IF(N($P$61)&gt;0,N(M$61)/$P$61,0))))</f>
        <v>0</v>
      </c>
      <c r="N65" s="57" t="n">
        <f aca="false">IF(N$52&lt;設定!$B$10,IF(N($O54)&gt;0,N(N54)/$O54,IF(N($O$61)&gt;0,N(N$61)/$O$61,0)),IF(N($P54)&gt;0,N(N54)/$P54,IF(AND($A65="祝",N($P$59)&gt;0),N(N$59)/$P$59,IF(N($P$61)&gt;0,N(N$61)/$P$61,0))))</f>
        <v>0</v>
      </c>
    </row>
    <row r="66" customFormat="false" ht="15" hidden="false" customHeight="false" outlineLevel="0" collapsed="false">
      <c r="A66" s="47" t="s">
        <v>208</v>
      </c>
      <c r="B66" s="57" t="n">
        <f aca="false">IF(B$52&lt;設定!$B$10,IF(N($O55)&gt;0,N(B55)/$O55,IF(N($O$61)&gt;0,N(B$61)/$O$61,0)),IF(N($P55)&gt;0,N(B55)/$P55,IF(AND($A66="祝",N($P$59)&gt;0),N(B$59)/$P$59,IF(N($P$61)&gt;0,N(B$61)/$P$61,0))))</f>
        <v>0</v>
      </c>
      <c r="C66" s="57" t="n">
        <f aca="false">IF(C$52&lt;設定!$B$10,IF(N($O55)&gt;0,N(C55)/$O55,IF(N($O$61)&gt;0,N(C$61)/$O$61,0)),IF(N($P55)&gt;0,N(C55)/$P55,IF(AND($A66="祝",N($P$59)&gt;0),N(C$59)/$P$59,IF(N($P$61)&gt;0,N(C$61)/$P$61,0))))</f>
        <v>0</v>
      </c>
      <c r="D66" s="57" t="n">
        <f aca="false">IF(D$52&lt;設定!$B$10,IF(N($O55)&gt;0,N(D55)/$O55,IF(N($O$61)&gt;0,N(D$61)/$O$61,0)),IF(N($P55)&gt;0,N(D55)/$P55,IF(AND($A66="祝",N($P$59)&gt;0),N(D$59)/$P$59,IF(N($P$61)&gt;0,N(D$61)/$P$61,0))))</f>
        <v>0</v>
      </c>
      <c r="E66" s="57" t="n">
        <f aca="false">IF(E$52&lt;設定!$B$10,IF(N($O55)&gt;0,N(E55)/$O55,IF(N($O$61)&gt;0,N(E$61)/$O$61,0)),IF(N($P55)&gt;0,N(E55)/$P55,IF(AND($A66="祝",N($P$59)&gt;0),N(E$59)/$P$59,IF(N($P$61)&gt;0,N(E$61)/$P$61,0))))</f>
        <v>0</v>
      </c>
      <c r="F66" s="57" t="n">
        <f aca="false">IF(F$52&lt;設定!$B$10,IF(N($O55)&gt;0,N(F55)/$O55,IF(N($O$61)&gt;0,N(F$61)/$O$61,0)),IF(N($P55)&gt;0,N(F55)/$P55,IF(AND($A66="祝",N($P$59)&gt;0),N(F$59)/$P$59,IF(N($P$61)&gt;0,N(F$61)/$P$61,0))))</f>
        <v>0</v>
      </c>
      <c r="G66" s="57" t="n">
        <f aca="false">IF(G$52&lt;設定!$B$10,IF(N($O55)&gt;0,N(G55)/$O55,IF(N($O$61)&gt;0,N(G$61)/$O$61,0)),IF(N($P55)&gt;0,N(G55)/$P55,IF(AND($A66="祝",N($P$59)&gt;0),N(G$59)/$P$59,IF(N($P$61)&gt;0,N(G$61)/$P$61,0))))</f>
        <v>0</v>
      </c>
      <c r="H66" s="57" t="n">
        <f aca="false">IF(H$52&lt;設定!$B$10,IF(N($O55)&gt;0,N(H55)/$O55,IF(N($O$61)&gt;0,N(H$61)/$O$61,0)),IF(N($P55)&gt;0,N(H55)/$P55,IF(AND($A66="祝",N($P$59)&gt;0),N(H$59)/$P$59,IF(N($P$61)&gt;0,N(H$61)/$P$61,0))))</f>
        <v>0</v>
      </c>
      <c r="I66" s="57" t="n">
        <f aca="false">IF(I$52&lt;設定!$B$10,IF(N($O55)&gt;0,N(I55)/$O55,IF(N($O$61)&gt;0,N(I$61)/$O$61,0)),IF(N($P55)&gt;0,N(I55)/$P55,IF(AND($A66="祝",N($P$59)&gt;0),N(I$59)/$P$59,IF(N($P$61)&gt;0,N(I$61)/$P$61,0))))</f>
        <v>0</v>
      </c>
      <c r="J66" s="57" t="n">
        <f aca="false">IF(J$52&lt;設定!$B$10,IF(N($O55)&gt;0,N(J55)/$O55,IF(N($O$61)&gt;0,N(J$61)/$O$61,0)),IF(N($P55)&gt;0,N(J55)/$P55,IF(AND($A66="祝",N($P$59)&gt;0),N(J$59)/$P$59,IF(N($P$61)&gt;0,N(J$61)/$P$61,0))))</f>
        <v>0</v>
      </c>
      <c r="K66" s="57" t="n">
        <f aca="false">IF(K$52&lt;設定!$B$10,IF(N($O55)&gt;0,N(K55)/$O55,IF(N($O$61)&gt;0,N(K$61)/$O$61,0)),IF(N($P55)&gt;0,N(K55)/$P55,IF(AND($A66="祝",N($P$59)&gt;0),N(K$59)/$P$59,IF(N($P$61)&gt;0,N(K$61)/$P$61,0))))</f>
        <v>0</v>
      </c>
      <c r="L66" s="57" t="n">
        <f aca="false">IF(L$52&lt;設定!$B$10,IF(N($O55)&gt;0,N(L55)/$O55,IF(N($O$61)&gt;0,N(L$61)/$O$61,0)),IF(N($P55)&gt;0,N(L55)/$P55,IF(AND($A66="祝",N($P$59)&gt;0),N(L$59)/$P$59,IF(N($P$61)&gt;0,N(L$61)/$P$61,0))))</f>
        <v>0</v>
      </c>
      <c r="M66" s="57" t="n">
        <f aca="false">IF(M$52&lt;設定!$B$10,IF(N($O55)&gt;0,N(M55)/$O55,IF(N($O$61)&gt;0,N(M$61)/$O$61,0)),IF(N($P55)&gt;0,N(M55)/$P55,IF(AND($A66="祝",N($P$59)&gt;0),N(M$59)/$P$59,IF(N($P$61)&gt;0,N(M$61)/$P$61,0))))</f>
        <v>0</v>
      </c>
      <c r="N66" s="57" t="n">
        <f aca="false">IF(N$52&lt;設定!$B$10,IF(N($O55)&gt;0,N(N55)/$O55,IF(N($O$61)&gt;0,N(N$61)/$O$61,0)),IF(N($P55)&gt;0,N(N55)/$P55,IF(AND($A66="祝",N($P$59)&gt;0),N(N$59)/$P$59,IF(N($P$61)&gt;0,N(N$61)/$P$61,0))))</f>
        <v>0</v>
      </c>
    </row>
    <row r="67" customFormat="false" ht="15" hidden="false" customHeight="false" outlineLevel="0" collapsed="false">
      <c r="A67" s="47" t="s">
        <v>209</v>
      </c>
      <c r="B67" s="57" t="n">
        <f aca="false">IF(B$52&lt;設定!$B$10,IF(N($O56)&gt;0,N(B56)/$O56,IF(N($O$61)&gt;0,N(B$61)/$O$61,0)),IF(N($P56)&gt;0,N(B56)/$P56,IF(AND($A67="祝",N($P$59)&gt;0),N(B$59)/$P$59,IF(N($P$61)&gt;0,N(B$61)/$P$61,0))))</f>
        <v>0</v>
      </c>
      <c r="C67" s="57" t="n">
        <f aca="false">IF(C$52&lt;設定!$B$10,IF(N($O56)&gt;0,N(C56)/$O56,IF(N($O$61)&gt;0,N(C$61)/$O$61,0)),IF(N($P56)&gt;0,N(C56)/$P56,IF(AND($A67="祝",N($P$59)&gt;0),N(C$59)/$P$59,IF(N($P$61)&gt;0,N(C$61)/$P$61,0))))</f>
        <v>0</v>
      </c>
      <c r="D67" s="57" t="n">
        <f aca="false">IF(D$52&lt;設定!$B$10,IF(N($O56)&gt;0,N(D56)/$O56,IF(N($O$61)&gt;0,N(D$61)/$O$61,0)),IF(N($P56)&gt;0,N(D56)/$P56,IF(AND($A67="祝",N($P$59)&gt;0),N(D$59)/$P$59,IF(N($P$61)&gt;0,N(D$61)/$P$61,0))))</f>
        <v>0</v>
      </c>
      <c r="E67" s="57" t="n">
        <f aca="false">IF(E$52&lt;設定!$B$10,IF(N($O56)&gt;0,N(E56)/$O56,IF(N($O$61)&gt;0,N(E$61)/$O$61,0)),IF(N($P56)&gt;0,N(E56)/$P56,IF(AND($A67="祝",N($P$59)&gt;0),N(E$59)/$P$59,IF(N($P$61)&gt;0,N(E$61)/$P$61,0))))</f>
        <v>0</v>
      </c>
      <c r="F67" s="57" t="n">
        <f aca="false">IF(F$52&lt;設定!$B$10,IF(N($O56)&gt;0,N(F56)/$O56,IF(N($O$61)&gt;0,N(F$61)/$O$61,0)),IF(N($P56)&gt;0,N(F56)/$P56,IF(AND($A67="祝",N($P$59)&gt;0),N(F$59)/$P$59,IF(N($P$61)&gt;0,N(F$61)/$P$61,0))))</f>
        <v>0</v>
      </c>
      <c r="G67" s="57" t="n">
        <f aca="false">IF(G$52&lt;設定!$B$10,IF(N($O56)&gt;0,N(G56)/$O56,IF(N($O$61)&gt;0,N(G$61)/$O$61,0)),IF(N($P56)&gt;0,N(G56)/$P56,IF(AND($A67="祝",N($P$59)&gt;0),N(G$59)/$P$59,IF(N($P$61)&gt;0,N(G$61)/$P$61,0))))</f>
        <v>0</v>
      </c>
      <c r="H67" s="57" t="n">
        <f aca="false">IF(H$52&lt;設定!$B$10,IF(N($O56)&gt;0,N(H56)/$O56,IF(N($O$61)&gt;0,N(H$61)/$O$61,0)),IF(N($P56)&gt;0,N(H56)/$P56,IF(AND($A67="祝",N($P$59)&gt;0),N(H$59)/$P$59,IF(N($P$61)&gt;0,N(H$61)/$P$61,0))))</f>
        <v>0</v>
      </c>
      <c r="I67" s="57" t="n">
        <f aca="false">IF(I$52&lt;設定!$B$10,IF(N($O56)&gt;0,N(I56)/$O56,IF(N($O$61)&gt;0,N(I$61)/$O$61,0)),IF(N($P56)&gt;0,N(I56)/$P56,IF(AND($A67="祝",N($P$59)&gt;0),N(I$59)/$P$59,IF(N($P$61)&gt;0,N(I$61)/$P$61,0))))</f>
        <v>0</v>
      </c>
      <c r="J67" s="57" t="n">
        <f aca="false">IF(J$52&lt;設定!$B$10,IF(N($O56)&gt;0,N(J56)/$O56,IF(N($O$61)&gt;0,N(J$61)/$O$61,0)),IF(N($P56)&gt;0,N(J56)/$P56,IF(AND($A67="祝",N($P$59)&gt;0),N(J$59)/$P$59,IF(N($P$61)&gt;0,N(J$61)/$P$61,0))))</f>
        <v>0</v>
      </c>
      <c r="K67" s="57" t="n">
        <f aca="false">IF(K$52&lt;設定!$B$10,IF(N($O56)&gt;0,N(K56)/$O56,IF(N($O$61)&gt;0,N(K$61)/$O$61,0)),IF(N($P56)&gt;0,N(K56)/$P56,IF(AND($A67="祝",N($P$59)&gt;0),N(K$59)/$P$59,IF(N($P$61)&gt;0,N(K$61)/$P$61,0))))</f>
        <v>0</v>
      </c>
      <c r="L67" s="57" t="n">
        <f aca="false">IF(L$52&lt;設定!$B$10,IF(N($O56)&gt;0,N(L56)/$O56,IF(N($O$61)&gt;0,N(L$61)/$O$61,0)),IF(N($P56)&gt;0,N(L56)/$P56,IF(AND($A67="祝",N($P$59)&gt;0),N(L$59)/$P$59,IF(N($P$61)&gt;0,N(L$61)/$P$61,0))))</f>
        <v>0</v>
      </c>
      <c r="M67" s="57" t="n">
        <f aca="false">IF(M$52&lt;設定!$B$10,IF(N($O56)&gt;0,N(M56)/$O56,IF(N($O$61)&gt;0,N(M$61)/$O$61,0)),IF(N($P56)&gt;0,N(M56)/$P56,IF(AND($A67="祝",N($P$59)&gt;0),N(M$59)/$P$59,IF(N($P$61)&gt;0,N(M$61)/$P$61,0))))</f>
        <v>0</v>
      </c>
      <c r="N67" s="57" t="n">
        <f aca="false">IF(N$52&lt;設定!$B$10,IF(N($O56)&gt;0,N(N56)/$O56,IF(N($O$61)&gt;0,N(N$61)/$O$61,0)),IF(N($P56)&gt;0,N(N56)/$P56,IF(AND($A67="祝",N($P$59)&gt;0),N(N$59)/$P$59,IF(N($P$61)&gt;0,N(N$61)/$P$61,0))))</f>
        <v>0</v>
      </c>
    </row>
    <row r="68" customFormat="false" ht="15" hidden="false" customHeight="false" outlineLevel="0" collapsed="false">
      <c r="A68" s="47" t="s">
        <v>210</v>
      </c>
      <c r="B68" s="57" t="n">
        <f aca="false">IF(B$52&lt;設定!$B$10,IF(N($O57)&gt;0,N(B57)/$O57,IF(N($O$61)&gt;0,N(B$61)/$O$61,0)),IF(N($P57)&gt;0,N(B57)/$P57,IF(AND($A68="祝",N($P$59)&gt;0),N(B$59)/$P$59,IF(N($P$61)&gt;0,N(B$61)/$P$61,0))))</f>
        <v>0</v>
      </c>
      <c r="C68" s="57" t="n">
        <f aca="false">IF(C$52&lt;設定!$B$10,IF(N($O57)&gt;0,N(C57)/$O57,IF(N($O$61)&gt;0,N(C$61)/$O$61,0)),IF(N($P57)&gt;0,N(C57)/$P57,IF(AND($A68="祝",N($P$59)&gt;0),N(C$59)/$P$59,IF(N($P$61)&gt;0,N(C$61)/$P$61,0))))</f>
        <v>0</v>
      </c>
      <c r="D68" s="57" t="n">
        <f aca="false">IF(D$52&lt;設定!$B$10,IF(N($O57)&gt;0,N(D57)/$O57,IF(N($O$61)&gt;0,N(D$61)/$O$61,0)),IF(N($P57)&gt;0,N(D57)/$P57,IF(AND($A68="祝",N($P$59)&gt;0),N(D$59)/$P$59,IF(N($P$61)&gt;0,N(D$61)/$P$61,0))))</f>
        <v>0</v>
      </c>
      <c r="E68" s="57" t="n">
        <f aca="false">IF(E$52&lt;設定!$B$10,IF(N($O57)&gt;0,N(E57)/$O57,IF(N($O$61)&gt;0,N(E$61)/$O$61,0)),IF(N($P57)&gt;0,N(E57)/$P57,IF(AND($A68="祝",N($P$59)&gt;0),N(E$59)/$P$59,IF(N($P$61)&gt;0,N(E$61)/$P$61,0))))</f>
        <v>0</v>
      </c>
      <c r="F68" s="57" t="n">
        <f aca="false">IF(F$52&lt;設定!$B$10,IF(N($O57)&gt;0,N(F57)/$O57,IF(N($O$61)&gt;0,N(F$61)/$O$61,0)),IF(N($P57)&gt;0,N(F57)/$P57,IF(AND($A68="祝",N($P$59)&gt;0),N(F$59)/$P$59,IF(N($P$61)&gt;0,N(F$61)/$P$61,0))))</f>
        <v>0</v>
      </c>
      <c r="G68" s="57" t="n">
        <f aca="false">IF(G$52&lt;設定!$B$10,IF(N($O57)&gt;0,N(G57)/$O57,IF(N($O$61)&gt;0,N(G$61)/$O$61,0)),IF(N($P57)&gt;0,N(G57)/$P57,IF(AND($A68="祝",N($P$59)&gt;0),N(G$59)/$P$59,IF(N($P$61)&gt;0,N(G$61)/$P$61,0))))</f>
        <v>0</v>
      </c>
      <c r="H68" s="57" t="n">
        <f aca="false">IF(H$52&lt;設定!$B$10,IF(N($O57)&gt;0,N(H57)/$O57,IF(N($O$61)&gt;0,N(H$61)/$O$61,0)),IF(N($P57)&gt;0,N(H57)/$P57,IF(AND($A68="祝",N($P$59)&gt;0),N(H$59)/$P$59,IF(N($P$61)&gt;0,N(H$61)/$P$61,0))))</f>
        <v>0</v>
      </c>
      <c r="I68" s="57" t="n">
        <f aca="false">IF(I$52&lt;設定!$B$10,IF(N($O57)&gt;0,N(I57)/$O57,IF(N($O$61)&gt;0,N(I$61)/$O$61,0)),IF(N($P57)&gt;0,N(I57)/$P57,IF(AND($A68="祝",N($P$59)&gt;0),N(I$59)/$P$59,IF(N($P$61)&gt;0,N(I$61)/$P$61,0))))</f>
        <v>0</v>
      </c>
      <c r="J68" s="57" t="n">
        <f aca="false">IF(J$52&lt;設定!$B$10,IF(N($O57)&gt;0,N(J57)/$O57,IF(N($O$61)&gt;0,N(J$61)/$O$61,0)),IF(N($P57)&gt;0,N(J57)/$P57,IF(AND($A68="祝",N($P$59)&gt;0),N(J$59)/$P$59,IF(N($P$61)&gt;0,N(J$61)/$P$61,0))))</f>
        <v>0</v>
      </c>
      <c r="K68" s="57" t="n">
        <f aca="false">IF(K$52&lt;設定!$B$10,IF(N($O57)&gt;0,N(K57)/$O57,IF(N($O$61)&gt;0,N(K$61)/$O$61,0)),IF(N($P57)&gt;0,N(K57)/$P57,IF(AND($A68="祝",N($P$59)&gt;0),N(K$59)/$P$59,IF(N($P$61)&gt;0,N(K$61)/$P$61,0))))</f>
        <v>0</v>
      </c>
      <c r="L68" s="57" t="n">
        <f aca="false">IF(L$52&lt;設定!$B$10,IF(N($O57)&gt;0,N(L57)/$O57,IF(N($O$61)&gt;0,N(L$61)/$O$61,0)),IF(N($P57)&gt;0,N(L57)/$P57,IF(AND($A68="祝",N($P$59)&gt;0),N(L$59)/$P$59,IF(N($P$61)&gt;0,N(L$61)/$P$61,0))))</f>
        <v>0</v>
      </c>
      <c r="M68" s="57" t="n">
        <f aca="false">IF(M$52&lt;設定!$B$10,IF(N($O57)&gt;0,N(M57)/$O57,IF(N($O$61)&gt;0,N(M$61)/$O$61,0)),IF(N($P57)&gt;0,N(M57)/$P57,IF(AND($A68="祝",N($P$59)&gt;0),N(M$59)/$P$59,IF(N($P$61)&gt;0,N(M$61)/$P$61,0))))</f>
        <v>0</v>
      </c>
      <c r="N68" s="57" t="n">
        <f aca="false">IF(N$52&lt;設定!$B$10,IF(N($O57)&gt;0,N(N57)/$O57,IF(N($O$61)&gt;0,N(N$61)/$O$61,0)),IF(N($P57)&gt;0,N(N57)/$P57,IF(AND($A68="祝",N($P$59)&gt;0),N(N$59)/$P$59,IF(N($P$61)&gt;0,N(N$61)/$P$61,0))))</f>
        <v>0</v>
      </c>
    </row>
    <row r="69" customFormat="false" ht="15" hidden="false" customHeight="false" outlineLevel="0" collapsed="false">
      <c r="A69" s="47" t="s">
        <v>211</v>
      </c>
      <c r="B69" s="57" t="n">
        <f aca="false">IF(B$52&lt;設定!$B$10,IF(N($O58)&gt;0,N(B58)/$O58,IF(N($O$61)&gt;0,N(B$61)/$O$61,0)),IF(N($P58)&gt;0,N(B58)/$P58,IF(AND($A69="祝",N($P$59)&gt;0),N(B$59)/$P$59,IF(N($P$61)&gt;0,N(B$61)/$P$61,0))))</f>
        <v>0</v>
      </c>
      <c r="C69" s="57" t="n">
        <f aca="false">IF(C$52&lt;設定!$B$10,IF(N($O58)&gt;0,N(C58)/$O58,IF(N($O$61)&gt;0,N(C$61)/$O$61,0)),IF(N($P58)&gt;0,N(C58)/$P58,IF(AND($A69="祝",N($P$59)&gt;0),N(C$59)/$P$59,IF(N($P$61)&gt;0,N(C$61)/$P$61,0))))</f>
        <v>0</v>
      </c>
      <c r="D69" s="57" t="n">
        <f aca="false">IF(D$52&lt;設定!$B$10,IF(N($O58)&gt;0,N(D58)/$O58,IF(N($O$61)&gt;0,N(D$61)/$O$61,0)),IF(N($P58)&gt;0,N(D58)/$P58,IF(AND($A69="祝",N($P$59)&gt;0),N(D$59)/$P$59,IF(N($P$61)&gt;0,N(D$61)/$P$61,0))))</f>
        <v>0</v>
      </c>
      <c r="E69" s="57" t="n">
        <f aca="false">IF(E$52&lt;設定!$B$10,IF(N($O58)&gt;0,N(E58)/$O58,IF(N($O$61)&gt;0,N(E$61)/$O$61,0)),IF(N($P58)&gt;0,N(E58)/$P58,IF(AND($A69="祝",N($P$59)&gt;0),N(E$59)/$P$59,IF(N($P$61)&gt;0,N(E$61)/$P$61,0))))</f>
        <v>0</v>
      </c>
      <c r="F69" s="57" t="n">
        <f aca="false">IF(F$52&lt;設定!$B$10,IF(N($O58)&gt;0,N(F58)/$O58,IF(N($O$61)&gt;0,N(F$61)/$O$61,0)),IF(N($P58)&gt;0,N(F58)/$P58,IF(AND($A69="祝",N($P$59)&gt;0),N(F$59)/$P$59,IF(N($P$61)&gt;0,N(F$61)/$P$61,0))))</f>
        <v>0</v>
      </c>
      <c r="G69" s="57" t="n">
        <f aca="false">IF(G$52&lt;設定!$B$10,IF(N($O58)&gt;0,N(G58)/$O58,IF(N($O$61)&gt;0,N(G$61)/$O$61,0)),IF(N($P58)&gt;0,N(G58)/$P58,IF(AND($A69="祝",N($P$59)&gt;0),N(G$59)/$P$59,IF(N($P$61)&gt;0,N(G$61)/$P$61,0))))</f>
        <v>0</v>
      </c>
      <c r="H69" s="57" t="n">
        <f aca="false">IF(H$52&lt;設定!$B$10,IF(N($O58)&gt;0,N(H58)/$O58,IF(N($O$61)&gt;0,N(H$61)/$O$61,0)),IF(N($P58)&gt;0,N(H58)/$P58,IF(AND($A69="祝",N($P$59)&gt;0),N(H$59)/$P$59,IF(N($P$61)&gt;0,N(H$61)/$P$61,0))))</f>
        <v>0</v>
      </c>
      <c r="I69" s="57" t="n">
        <f aca="false">IF(I$52&lt;設定!$B$10,IF(N($O58)&gt;0,N(I58)/$O58,IF(N($O$61)&gt;0,N(I$61)/$O$61,0)),IF(N($P58)&gt;0,N(I58)/$P58,IF(AND($A69="祝",N($P$59)&gt;0),N(I$59)/$P$59,IF(N($P$61)&gt;0,N(I$61)/$P$61,0))))</f>
        <v>0</v>
      </c>
      <c r="J69" s="57" t="n">
        <f aca="false">IF(J$52&lt;設定!$B$10,IF(N($O58)&gt;0,N(J58)/$O58,IF(N($O$61)&gt;0,N(J$61)/$O$61,0)),IF(N($P58)&gt;0,N(J58)/$P58,IF(AND($A69="祝",N($P$59)&gt;0),N(J$59)/$P$59,IF(N($P$61)&gt;0,N(J$61)/$P$61,0))))</f>
        <v>0</v>
      </c>
      <c r="K69" s="57" t="n">
        <f aca="false">IF(K$52&lt;設定!$B$10,IF(N($O58)&gt;0,N(K58)/$O58,IF(N($O$61)&gt;0,N(K$61)/$O$61,0)),IF(N($P58)&gt;0,N(K58)/$P58,IF(AND($A69="祝",N($P$59)&gt;0),N(K$59)/$P$59,IF(N($P$61)&gt;0,N(K$61)/$P$61,0))))</f>
        <v>0</v>
      </c>
      <c r="L69" s="57" t="n">
        <f aca="false">IF(L$52&lt;設定!$B$10,IF(N($O58)&gt;0,N(L58)/$O58,IF(N($O$61)&gt;0,N(L$61)/$O$61,0)),IF(N($P58)&gt;0,N(L58)/$P58,IF(AND($A69="祝",N($P$59)&gt;0),N(L$59)/$P$59,IF(N($P$61)&gt;0,N(L$61)/$P$61,0))))</f>
        <v>0</v>
      </c>
      <c r="M69" s="57" t="n">
        <f aca="false">IF(M$52&lt;設定!$B$10,IF(N($O58)&gt;0,N(M58)/$O58,IF(N($O$61)&gt;0,N(M$61)/$O$61,0)),IF(N($P58)&gt;0,N(M58)/$P58,IF(AND($A69="祝",N($P$59)&gt;0),N(M$59)/$P$59,IF(N($P$61)&gt;0,N(M$61)/$P$61,0))))</f>
        <v>0</v>
      </c>
      <c r="N69" s="57" t="n">
        <f aca="false">IF(N$52&lt;設定!$B$10,IF(N($O58)&gt;0,N(N58)/$O58,IF(N($O$61)&gt;0,N(N$61)/$O$61,0)),IF(N($P58)&gt;0,N(N58)/$P58,IF(AND($A69="祝",N($P$59)&gt;0),N(N$59)/$P$59,IF(N($P$61)&gt;0,N(N$61)/$P$61,0))))</f>
        <v>0</v>
      </c>
    </row>
    <row r="70" customFormat="false" ht="15" hidden="false" customHeight="false" outlineLevel="0" collapsed="false">
      <c r="A70" s="47" t="s">
        <v>67</v>
      </c>
      <c r="B70" s="57" t="n">
        <f aca="false">IF(B$52&lt;設定!$B$10,IF(N($O59)&gt;0,N(B59)/$O59,IF(N($O$61)&gt;0,N(B$61)/$O$61,0)),IF(N($P59)&gt;0,N(B59)/$P59,IF(AND($A70="祝",N($P$59)&gt;0),N(B$59)/$P$59,IF(N($P$61)&gt;0,N(B$61)/$P$61,0))))</f>
        <v>0</v>
      </c>
      <c r="C70" s="57" t="n">
        <f aca="false">IF(C$52&lt;設定!$B$10,IF(N($O59)&gt;0,N(C59)/$O59,IF(N($O$61)&gt;0,N(C$61)/$O$61,0)),IF(N($P59)&gt;0,N(C59)/$P59,IF(AND($A70="祝",N($P$59)&gt;0),N(C$59)/$P$59,IF(N($P$61)&gt;0,N(C$61)/$P$61,0))))</f>
        <v>0</v>
      </c>
      <c r="D70" s="57" t="n">
        <f aca="false">IF(D$52&lt;設定!$B$10,IF(N($O59)&gt;0,N(D59)/$O59,IF(N($O$61)&gt;0,N(D$61)/$O$61,0)),IF(N($P59)&gt;0,N(D59)/$P59,IF(AND($A70="祝",N($P$59)&gt;0),N(D$59)/$P$59,IF(N($P$61)&gt;0,N(D$61)/$P$61,0))))</f>
        <v>0</v>
      </c>
      <c r="E70" s="57" t="n">
        <f aca="false">IF(E$52&lt;設定!$B$10,IF(N($O59)&gt;0,N(E59)/$O59,IF(N($O$61)&gt;0,N(E$61)/$O$61,0)),IF(N($P59)&gt;0,N(E59)/$P59,IF(AND($A70="祝",N($P$59)&gt;0),N(E$59)/$P$59,IF(N($P$61)&gt;0,N(E$61)/$P$61,0))))</f>
        <v>0</v>
      </c>
      <c r="F70" s="57" t="n">
        <f aca="false">IF(F$52&lt;設定!$B$10,IF(N($O59)&gt;0,N(F59)/$O59,IF(N($O$61)&gt;0,N(F$61)/$O$61,0)),IF(N($P59)&gt;0,N(F59)/$P59,IF(AND($A70="祝",N($P$59)&gt;0),N(F$59)/$P$59,IF(N($P$61)&gt;0,N(F$61)/$P$61,0))))</f>
        <v>0</v>
      </c>
      <c r="G70" s="57" t="n">
        <f aca="false">IF(G$52&lt;設定!$B$10,IF(N($O59)&gt;0,N(G59)/$O59,IF(N($O$61)&gt;0,N(G$61)/$O$61,0)),IF(N($P59)&gt;0,N(G59)/$P59,IF(AND($A70="祝",N($P$59)&gt;0),N(G$59)/$P$59,IF(N($P$61)&gt;0,N(G$61)/$P$61,0))))</f>
        <v>0</v>
      </c>
      <c r="H70" s="57" t="n">
        <f aca="false">IF(H$52&lt;設定!$B$10,IF(N($O59)&gt;0,N(H59)/$O59,IF(N($O$61)&gt;0,N(H$61)/$O$61,0)),IF(N($P59)&gt;0,N(H59)/$P59,IF(AND($A70="祝",N($P$59)&gt;0),N(H$59)/$P$59,IF(N($P$61)&gt;0,N(H$61)/$P$61,0))))</f>
        <v>0</v>
      </c>
      <c r="I70" s="57" t="n">
        <f aca="false">IF(I$52&lt;設定!$B$10,IF(N($O59)&gt;0,N(I59)/$O59,IF(N($O$61)&gt;0,N(I$61)/$O$61,0)),IF(N($P59)&gt;0,N(I59)/$P59,IF(AND($A70="祝",N($P$59)&gt;0),N(I$59)/$P$59,IF(N($P$61)&gt;0,N(I$61)/$P$61,0))))</f>
        <v>0</v>
      </c>
      <c r="J70" s="57" t="n">
        <f aca="false">IF(J$52&lt;設定!$B$10,IF(N($O59)&gt;0,N(J59)/$O59,IF(N($O$61)&gt;0,N(J$61)/$O$61,0)),IF(N($P59)&gt;0,N(J59)/$P59,IF(AND($A70="祝",N($P$59)&gt;0),N(J$59)/$P$59,IF(N($P$61)&gt;0,N(J$61)/$P$61,0))))</f>
        <v>0</v>
      </c>
      <c r="K70" s="57" t="n">
        <f aca="false">IF(K$52&lt;設定!$B$10,IF(N($O59)&gt;0,N(K59)/$O59,IF(N($O$61)&gt;0,N(K$61)/$O$61,0)),IF(N($P59)&gt;0,N(K59)/$P59,IF(AND($A70="祝",N($P$59)&gt;0),N(K$59)/$P$59,IF(N($P$61)&gt;0,N(K$61)/$P$61,0))))</f>
        <v>0</v>
      </c>
      <c r="L70" s="57" t="n">
        <f aca="false">IF(L$52&lt;設定!$B$10,IF(N($O59)&gt;0,N(L59)/$O59,IF(N($O$61)&gt;0,N(L$61)/$O$61,0)),IF(N($P59)&gt;0,N(L59)/$P59,IF(AND($A70="祝",N($P$59)&gt;0),N(L$59)/$P$59,IF(N($P$61)&gt;0,N(L$61)/$P$61,0))))</f>
        <v>0</v>
      </c>
      <c r="M70" s="57" t="n">
        <f aca="false">IF(M$52&lt;設定!$B$10,IF(N($O59)&gt;0,N(M59)/$O59,IF(N($O$61)&gt;0,N(M$61)/$O$61,0)),IF(N($P59)&gt;0,N(M59)/$P59,IF(AND($A70="祝",N($P$59)&gt;0),N(M$59)/$P$59,IF(N($P$61)&gt;0,N(M$61)/$P$61,0))))</f>
        <v>0</v>
      </c>
      <c r="N70" s="57" t="n">
        <f aca="false">IF(N$52&lt;設定!$B$10,IF(N($O59)&gt;0,N(N59)/$O59,IF(N($O$61)&gt;0,N(N$61)/$O$61,0)),IF(N($P59)&gt;0,N(N59)/$P59,IF(AND($A70="祝",N($P$59)&gt;0),N(N$59)/$P$59,IF(N($P$61)&gt;0,N(N$61)/$P$61,0))))</f>
        <v>0</v>
      </c>
    </row>
    <row r="71" customFormat="false" ht="15" hidden="false" customHeight="false" outlineLevel="0" collapsed="false">
      <c r="A71" s="47" t="s">
        <v>212</v>
      </c>
      <c r="B71" s="57" t="n">
        <f aca="false">IF(B$52&lt;設定!$B$10,IF(N($O60)&gt;0,N(B60)/$O60,IF(N($O$61)&gt;0,N(B$61)/$O$61,0)),IF(N($P60)&gt;0,N(B60)/$P60,IF(AND($A71="祝",N($P$59)&gt;0),N(B$59)/$P$59,IF(N($P$61)&gt;0,N(B$61)/$P$61,0))))</f>
        <v>0</v>
      </c>
      <c r="C71" s="57" t="n">
        <f aca="false">IF(C$52&lt;設定!$B$10,IF(N($O60)&gt;0,N(C60)/$O60,IF(N($O$61)&gt;0,N(C$61)/$O$61,0)),IF(N($P60)&gt;0,N(C60)/$P60,IF(AND($A71="祝",N($P$59)&gt;0),N(C$59)/$P$59,IF(N($P$61)&gt;0,N(C$61)/$P$61,0))))</f>
        <v>0</v>
      </c>
      <c r="D71" s="57" t="n">
        <f aca="false">IF(D$52&lt;設定!$B$10,IF(N($O60)&gt;0,N(D60)/$O60,IF(N($O$61)&gt;0,N(D$61)/$O$61,0)),IF(N($P60)&gt;0,N(D60)/$P60,IF(AND($A71="祝",N($P$59)&gt;0),N(D$59)/$P$59,IF(N($P$61)&gt;0,N(D$61)/$P$61,0))))</f>
        <v>0</v>
      </c>
      <c r="E71" s="57" t="n">
        <f aca="false">IF(E$52&lt;設定!$B$10,IF(N($O60)&gt;0,N(E60)/$O60,IF(N($O$61)&gt;0,N(E$61)/$O$61,0)),IF(N($P60)&gt;0,N(E60)/$P60,IF(AND($A71="祝",N($P$59)&gt;0),N(E$59)/$P$59,IF(N($P$61)&gt;0,N(E$61)/$P$61,0))))</f>
        <v>0</v>
      </c>
      <c r="F71" s="57" t="n">
        <f aca="false">IF(F$52&lt;設定!$B$10,IF(N($O60)&gt;0,N(F60)/$O60,IF(N($O$61)&gt;0,N(F$61)/$O$61,0)),IF(N($P60)&gt;0,N(F60)/$P60,IF(AND($A71="祝",N($P$59)&gt;0),N(F$59)/$P$59,IF(N($P$61)&gt;0,N(F$61)/$P$61,0))))</f>
        <v>0</v>
      </c>
      <c r="G71" s="57" t="n">
        <f aca="false">IF(G$52&lt;設定!$B$10,IF(N($O60)&gt;0,N(G60)/$O60,IF(N($O$61)&gt;0,N(G$61)/$O$61,0)),IF(N($P60)&gt;0,N(G60)/$P60,IF(AND($A71="祝",N($P$59)&gt;0),N(G$59)/$P$59,IF(N($P$61)&gt;0,N(G$61)/$P$61,0))))</f>
        <v>0</v>
      </c>
      <c r="H71" s="57" t="n">
        <f aca="false">IF(H$52&lt;設定!$B$10,IF(N($O60)&gt;0,N(H60)/$O60,IF(N($O$61)&gt;0,N(H$61)/$O$61,0)),IF(N($P60)&gt;0,N(H60)/$P60,IF(AND($A71="祝",N($P$59)&gt;0),N(H$59)/$P$59,IF(N($P$61)&gt;0,N(H$61)/$P$61,0))))</f>
        <v>0</v>
      </c>
      <c r="I71" s="57" t="n">
        <f aca="false">IF(I$52&lt;設定!$B$10,IF(N($O60)&gt;0,N(I60)/$O60,IF(N($O$61)&gt;0,N(I$61)/$O$61,0)),IF(N($P60)&gt;0,N(I60)/$P60,IF(AND($A71="祝",N($P$59)&gt;0),N(I$59)/$P$59,IF(N($P$61)&gt;0,N(I$61)/$P$61,0))))</f>
        <v>0</v>
      </c>
      <c r="J71" s="57" t="n">
        <f aca="false">IF(J$52&lt;設定!$B$10,IF(N($O60)&gt;0,N(J60)/$O60,IF(N($O$61)&gt;0,N(J$61)/$O$61,0)),IF(N($P60)&gt;0,N(J60)/$P60,IF(AND($A71="祝",N($P$59)&gt;0),N(J$59)/$P$59,IF(N($P$61)&gt;0,N(J$61)/$P$61,0))))</f>
        <v>0</v>
      </c>
      <c r="K71" s="57" t="n">
        <f aca="false">IF(K$52&lt;設定!$B$10,IF(N($O60)&gt;0,N(K60)/$O60,IF(N($O$61)&gt;0,N(K$61)/$O$61,0)),IF(N($P60)&gt;0,N(K60)/$P60,IF(AND($A71="祝",N($P$59)&gt;0),N(K$59)/$P$59,IF(N($P$61)&gt;0,N(K$61)/$P$61,0))))</f>
        <v>0</v>
      </c>
      <c r="L71" s="57" t="n">
        <f aca="false">IF(L$52&lt;設定!$B$10,IF(N($O60)&gt;0,N(L60)/$O60,IF(N($O$61)&gt;0,N(L$61)/$O$61,0)),IF(N($P60)&gt;0,N(L60)/$P60,IF(AND($A71="祝",N($P$59)&gt;0),N(L$59)/$P$59,IF(N($P$61)&gt;0,N(L$61)/$P$61,0))))</f>
        <v>0</v>
      </c>
      <c r="M71" s="57" t="n">
        <f aca="false">IF(M$52&lt;設定!$B$10,IF(N($O60)&gt;0,N(M60)/$O60,IF(N($O$61)&gt;0,N(M$61)/$O$61,0)),IF(N($P60)&gt;0,N(M60)/$P60,IF(AND($A71="祝",N($P$59)&gt;0),N(M$59)/$P$59,IF(N($P$61)&gt;0,N(M$61)/$P$61,0))))</f>
        <v>0</v>
      </c>
      <c r="N71" s="57" t="n">
        <f aca="false">IF(N$52&lt;設定!$B$10,IF(N($O60)&gt;0,N(N60)/$O60,IF(N($O$61)&gt;0,N(N$61)/$O$61,0)),IF(N($P60)&gt;0,N(N60)/$P60,IF(AND($A71="祝",N($P$59)&gt;0),N(N$59)/$P$59,IF(N($P$61)&gt;0,N(N$61)/$P$61,0))))</f>
        <v>0</v>
      </c>
    </row>
    <row r="74" customFormat="false" ht="15" hidden="false" customHeight="false" outlineLevel="0" collapsed="false">
      <c r="A74" s="32" t="s">
        <v>220</v>
      </c>
    </row>
    <row r="75" customFormat="false" ht="15" hidden="false" customHeight="false" outlineLevel="0" collapsed="false">
      <c r="A75" s="30" t="s">
        <v>64</v>
      </c>
      <c r="B75" s="58" t="s">
        <v>76</v>
      </c>
      <c r="C75" s="58"/>
      <c r="D75" s="58"/>
      <c r="E75" s="58" t="s">
        <v>77</v>
      </c>
      <c r="F75" s="58"/>
      <c r="G75" s="58"/>
      <c r="H75" s="58" t="s">
        <v>78</v>
      </c>
      <c r="I75" s="58"/>
      <c r="J75" s="58"/>
      <c r="K75" s="58" t="s">
        <v>79</v>
      </c>
      <c r="L75" s="58"/>
      <c r="M75" s="58"/>
    </row>
    <row r="76" customFormat="false" ht="15" hidden="false" customHeight="false" outlineLevel="0" collapsed="false">
      <c r="A76" s="59"/>
      <c r="B76" s="30" t="s">
        <v>221</v>
      </c>
      <c r="C76" s="30" t="s">
        <v>222</v>
      </c>
      <c r="D76" s="30" t="s">
        <v>223</v>
      </c>
      <c r="E76" s="30" t="s">
        <v>221</v>
      </c>
      <c r="F76" s="30" t="s">
        <v>222</v>
      </c>
      <c r="G76" s="30" t="s">
        <v>223</v>
      </c>
      <c r="H76" s="30" t="s">
        <v>221</v>
      </c>
      <c r="I76" s="30" t="s">
        <v>222</v>
      </c>
      <c r="J76" s="30" t="s">
        <v>223</v>
      </c>
      <c r="K76" s="30" t="s">
        <v>221</v>
      </c>
      <c r="L76" s="30" t="s">
        <v>222</v>
      </c>
      <c r="M76" s="30" t="s">
        <v>223</v>
      </c>
    </row>
    <row r="77" customFormat="false" ht="15" hidden="false" customHeight="false" outlineLevel="0" collapsed="false">
      <c r="A77" s="47" t="s">
        <v>206</v>
      </c>
      <c r="B77" s="17" t="str">
        <f aca="false">IF(設定!$B$4="","",IF(SUMIFS(先月データ!$Q:$Q,先月データ!$AB:$AB,"ランチ",先月データ!$A:$A,"&gt;="&amp;設定!$B$4,先月データ!$A:$A,"&lt;="&amp;EOMONTH(設定!$B$4,0),先月データ!$Z:$Z,$A77)&lt;設定!$B$27,"",SUMIFS(先月データ!$L:$L,先月データ!$AB:$AB,"ランチ",先月データ!$A:$A,"&gt;="&amp;設定!$B$4,先月データ!$A:$A,"&lt;="&amp;EOMONTH(設定!$B$4,0),先月データ!$Z:$Z,$A77)/SUMIFS(先月データ!$Q:$Q,先月データ!$AB:$AB,"ランチ",先月データ!$A:$A,"&gt;="&amp;設定!$B$4,先月データ!$A:$A,"&lt;="&amp;EOMONTH(設定!$B$4,0),先月データ!$Z:$Z,$A77)))</f>
        <v/>
      </c>
      <c r="C77" s="17" t="str">
        <f aca="false">IF(設定!$B$5="","",IF(SUMIFS(先々月データ!$Q:$Q,先々月データ!$AB:$AB,"ランチ",先々月データ!$A:$A,"&gt;="&amp;設定!$B$5,先々月データ!$A:$A,"&lt;="&amp;EOMONTH(設定!$B$5,0),先々月データ!$Z:$Z,$A77)&lt;設定!$B$27,"",SUMIFS(先々月データ!$L:$L,先々月データ!$AB:$AB,"ランチ",先々月データ!$A:$A,"&gt;="&amp;設定!$B$5,先々月データ!$A:$A,"&lt;="&amp;EOMONTH(設定!$B$5,0),先々月データ!$Z:$Z,$A77)/SUMIFS(先々月データ!$Q:$Q,先々月データ!$AB:$AB,"ランチ",先々月データ!$A:$A,"&gt;="&amp;設定!$B$5,先々月データ!$A:$A,"&lt;="&amp;EOMONTH(設定!$B$5,0),先々月データ!$Z:$Z,$A77)))</f>
        <v/>
      </c>
      <c r="D77" s="21" t="n">
        <f aca="false">IF(AND(B77&lt;&gt;"",C77&lt;&gt;""),(設定!$B$15*B77+設定!$B$16*C77)/(設定!$B$15+設定!$B$16),IF(B77&lt;&gt;"",B77,IF(C77&lt;&gt;"",C77,IF(D$85&lt;&gt;"",D$85,$P$38))))</f>
        <v>0</v>
      </c>
      <c r="E77" s="17" t="str">
        <f aca="false">IF(設定!$B$4="","",IF(SUMIFS(先月データ!$Q:$Q,先月データ!$AB:$AB,"アイドル",先月データ!$A:$A,"&gt;="&amp;設定!$B$4,先月データ!$A:$A,"&lt;="&amp;EOMONTH(設定!$B$4,0),先月データ!$Z:$Z,$A77)&lt;設定!$B$27,"",SUMIFS(先月データ!$L:$L,先月データ!$AB:$AB,"アイドル",先月データ!$A:$A,"&gt;="&amp;設定!$B$4,先月データ!$A:$A,"&lt;="&amp;EOMONTH(設定!$B$4,0),先月データ!$Z:$Z,$A77)/SUMIFS(先月データ!$Q:$Q,先月データ!$AB:$AB,"アイドル",先月データ!$A:$A,"&gt;="&amp;設定!$B$4,先月データ!$A:$A,"&lt;="&amp;EOMONTH(設定!$B$4,0),先月データ!$Z:$Z,$A77)))</f>
        <v/>
      </c>
      <c r="F77" s="17" t="str">
        <f aca="false">IF(設定!$B$5="","",IF(SUMIFS(先々月データ!$Q:$Q,先々月データ!$AB:$AB,"アイドル",先々月データ!$A:$A,"&gt;="&amp;設定!$B$5,先々月データ!$A:$A,"&lt;="&amp;EOMONTH(設定!$B$5,0),先々月データ!$Z:$Z,$A77)&lt;設定!$B$27,"",SUMIFS(先々月データ!$L:$L,先々月データ!$AB:$AB,"アイドル",先々月データ!$A:$A,"&gt;="&amp;設定!$B$5,先々月データ!$A:$A,"&lt;="&amp;EOMONTH(設定!$B$5,0),先々月データ!$Z:$Z,$A77)/SUMIFS(先々月データ!$Q:$Q,先々月データ!$AB:$AB,"アイドル",先々月データ!$A:$A,"&gt;="&amp;設定!$B$5,先々月データ!$A:$A,"&lt;="&amp;EOMONTH(設定!$B$5,0),先々月データ!$Z:$Z,$A77)))</f>
        <v/>
      </c>
      <c r="G77" s="21" t="n">
        <f aca="false">IF(AND(E77&lt;&gt;"",F77&lt;&gt;""),(設定!$B$15*E77+設定!$B$16*F77)/(設定!$B$15+設定!$B$16),IF(E77&lt;&gt;"",E77,IF(F77&lt;&gt;"",F77,IF(G$85&lt;&gt;"",G$85,$P$38))))</f>
        <v>0</v>
      </c>
      <c r="H77" s="17" t="str">
        <f aca="false">IF(設定!$B$4="","",IF(SUMIFS(先月データ!$Q:$Q,先月データ!$AB:$AB,"ディナー",先月データ!$A:$A,"&gt;="&amp;設定!$B$4,先月データ!$A:$A,"&lt;="&amp;EOMONTH(設定!$B$4,0),先月データ!$Z:$Z,$A77)&lt;設定!$B$27,"",SUMIFS(先月データ!$L:$L,先月データ!$AB:$AB,"ディナー",先月データ!$A:$A,"&gt;="&amp;設定!$B$4,先月データ!$A:$A,"&lt;="&amp;EOMONTH(設定!$B$4,0),先月データ!$Z:$Z,$A77)/SUMIFS(先月データ!$Q:$Q,先月データ!$AB:$AB,"ディナー",先月データ!$A:$A,"&gt;="&amp;設定!$B$4,先月データ!$A:$A,"&lt;="&amp;EOMONTH(設定!$B$4,0),先月データ!$Z:$Z,$A77)))</f>
        <v/>
      </c>
      <c r="I77" s="17" t="str">
        <f aca="false">IF(設定!$B$5="","",IF(SUMIFS(先々月データ!$Q:$Q,先々月データ!$AB:$AB,"ディナー",先々月データ!$A:$A,"&gt;="&amp;設定!$B$5,先々月データ!$A:$A,"&lt;="&amp;EOMONTH(設定!$B$5,0),先々月データ!$Z:$Z,$A77)&lt;設定!$B$27,"",SUMIFS(先々月データ!$L:$L,先々月データ!$AB:$AB,"ディナー",先々月データ!$A:$A,"&gt;="&amp;設定!$B$5,先々月データ!$A:$A,"&lt;="&amp;EOMONTH(設定!$B$5,0),先々月データ!$Z:$Z,$A77)/SUMIFS(先々月データ!$Q:$Q,先々月データ!$AB:$AB,"ディナー",先々月データ!$A:$A,"&gt;="&amp;設定!$B$5,先々月データ!$A:$A,"&lt;="&amp;EOMONTH(設定!$B$5,0),先々月データ!$Z:$Z,$A77)))</f>
        <v/>
      </c>
      <c r="J77" s="21" t="n">
        <f aca="false">IF(AND(H77&lt;&gt;"",I77&lt;&gt;""),(設定!$B$15*H77+設定!$B$16*I77)/(設定!$B$15+設定!$B$16),IF(H77&lt;&gt;"",H77,IF(I77&lt;&gt;"",I77,IF(J$85&lt;&gt;"",J$85,$P$38))))</f>
        <v>0</v>
      </c>
      <c r="K77" s="17" t="str">
        <f aca="false">IF(設定!$B$4="","",IF(SUMIFS(先月データ!$Q:$Q,先月データ!$AB:$AB,"ナイト",先月データ!$A:$A,"&gt;="&amp;設定!$B$4,先月データ!$A:$A,"&lt;="&amp;EOMONTH(設定!$B$4,0),先月データ!$Z:$Z,$A77)&lt;設定!$B$27,"",SUMIFS(先月データ!$L:$L,先月データ!$AB:$AB,"ナイト",先月データ!$A:$A,"&gt;="&amp;設定!$B$4,先月データ!$A:$A,"&lt;="&amp;EOMONTH(設定!$B$4,0),先月データ!$Z:$Z,$A77)/SUMIFS(先月データ!$Q:$Q,先月データ!$AB:$AB,"ナイト",先月データ!$A:$A,"&gt;="&amp;設定!$B$4,先月データ!$A:$A,"&lt;="&amp;EOMONTH(設定!$B$4,0),先月データ!$Z:$Z,$A77)))</f>
        <v/>
      </c>
      <c r="L77" s="17" t="str">
        <f aca="false">IF(設定!$B$5="","",IF(SUMIFS(先々月データ!$Q:$Q,先々月データ!$AB:$AB,"ナイト",先々月データ!$A:$A,"&gt;="&amp;設定!$B$5,先々月データ!$A:$A,"&lt;="&amp;EOMONTH(設定!$B$5,0),先々月データ!$Z:$Z,$A77)&lt;設定!$B$27,"",SUMIFS(先々月データ!$L:$L,先々月データ!$AB:$AB,"ナイト",先々月データ!$A:$A,"&gt;="&amp;設定!$B$5,先々月データ!$A:$A,"&lt;="&amp;EOMONTH(設定!$B$5,0),先々月データ!$Z:$Z,$A77)/SUMIFS(先々月データ!$Q:$Q,先々月データ!$AB:$AB,"ナイト",先々月データ!$A:$A,"&gt;="&amp;設定!$B$5,先々月データ!$A:$A,"&lt;="&amp;EOMONTH(設定!$B$5,0),先々月データ!$Z:$Z,$A77)))</f>
        <v/>
      </c>
      <c r="M77" s="21" t="n">
        <f aca="false">IF(AND(K77&lt;&gt;"",L77&lt;&gt;""),(設定!$B$15*K77+設定!$B$16*L77)/(設定!$B$15+設定!$B$16),IF(K77&lt;&gt;"",K77,IF(L77&lt;&gt;"",L77,IF(M$85&lt;&gt;"",M$85,$P$38))))</f>
        <v>0</v>
      </c>
    </row>
    <row r="78" customFormat="false" ht="15" hidden="false" customHeight="false" outlineLevel="0" collapsed="false">
      <c r="A78" s="47" t="s">
        <v>207</v>
      </c>
      <c r="B78" s="17" t="str">
        <f aca="false">IF(設定!$B$4="","",IF(SUMIFS(先月データ!$Q:$Q,先月データ!$AB:$AB,"ランチ",先月データ!$A:$A,"&gt;="&amp;設定!$B$4,先月データ!$A:$A,"&lt;="&amp;EOMONTH(設定!$B$4,0),先月データ!$Z:$Z,$A78)&lt;設定!$B$27,"",SUMIFS(先月データ!$L:$L,先月データ!$AB:$AB,"ランチ",先月データ!$A:$A,"&gt;="&amp;設定!$B$4,先月データ!$A:$A,"&lt;="&amp;EOMONTH(設定!$B$4,0),先月データ!$Z:$Z,$A78)/SUMIFS(先月データ!$Q:$Q,先月データ!$AB:$AB,"ランチ",先月データ!$A:$A,"&gt;="&amp;設定!$B$4,先月データ!$A:$A,"&lt;="&amp;EOMONTH(設定!$B$4,0),先月データ!$Z:$Z,$A78)))</f>
        <v/>
      </c>
      <c r="C78" s="17" t="str">
        <f aca="false">IF(設定!$B$5="","",IF(SUMIFS(先々月データ!$Q:$Q,先々月データ!$AB:$AB,"ランチ",先々月データ!$A:$A,"&gt;="&amp;設定!$B$5,先々月データ!$A:$A,"&lt;="&amp;EOMONTH(設定!$B$5,0),先々月データ!$Z:$Z,$A78)&lt;設定!$B$27,"",SUMIFS(先々月データ!$L:$L,先々月データ!$AB:$AB,"ランチ",先々月データ!$A:$A,"&gt;="&amp;設定!$B$5,先々月データ!$A:$A,"&lt;="&amp;EOMONTH(設定!$B$5,0),先々月データ!$Z:$Z,$A78)/SUMIFS(先々月データ!$Q:$Q,先々月データ!$AB:$AB,"ランチ",先々月データ!$A:$A,"&gt;="&amp;設定!$B$5,先々月データ!$A:$A,"&lt;="&amp;EOMONTH(設定!$B$5,0),先々月データ!$Z:$Z,$A78)))</f>
        <v/>
      </c>
      <c r="D78" s="21" t="n">
        <f aca="false">IF(AND(B78&lt;&gt;"",C78&lt;&gt;""),(設定!$B$15*B78+設定!$B$16*C78)/(設定!$B$15+設定!$B$16),IF(B78&lt;&gt;"",B78,IF(C78&lt;&gt;"",C78,IF(D$85&lt;&gt;"",D$85,$P$39))))</f>
        <v>0</v>
      </c>
      <c r="E78" s="17" t="str">
        <f aca="false">IF(設定!$B$4="","",IF(SUMIFS(先月データ!$Q:$Q,先月データ!$AB:$AB,"アイドル",先月データ!$A:$A,"&gt;="&amp;設定!$B$4,先月データ!$A:$A,"&lt;="&amp;EOMONTH(設定!$B$4,0),先月データ!$Z:$Z,$A78)&lt;設定!$B$27,"",SUMIFS(先月データ!$L:$L,先月データ!$AB:$AB,"アイドル",先月データ!$A:$A,"&gt;="&amp;設定!$B$4,先月データ!$A:$A,"&lt;="&amp;EOMONTH(設定!$B$4,0),先月データ!$Z:$Z,$A78)/SUMIFS(先月データ!$Q:$Q,先月データ!$AB:$AB,"アイドル",先月データ!$A:$A,"&gt;="&amp;設定!$B$4,先月データ!$A:$A,"&lt;="&amp;EOMONTH(設定!$B$4,0),先月データ!$Z:$Z,$A78)))</f>
        <v/>
      </c>
      <c r="F78" s="17" t="str">
        <f aca="false">IF(設定!$B$5="","",IF(SUMIFS(先々月データ!$Q:$Q,先々月データ!$AB:$AB,"アイドル",先々月データ!$A:$A,"&gt;="&amp;設定!$B$5,先々月データ!$A:$A,"&lt;="&amp;EOMONTH(設定!$B$5,0),先々月データ!$Z:$Z,$A78)&lt;設定!$B$27,"",SUMIFS(先々月データ!$L:$L,先々月データ!$AB:$AB,"アイドル",先々月データ!$A:$A,"&gt;="&amp;設定!$B$5,先々月データ!$A:$A,"&lt;="&amp;EOMONTH(設定!$B$5,0),先々月データ!$Z:$Z,$A78)/SUMIFS(先々月データ!$Q:$Q,先々月データ!$AB:$AB,"アイドル",先々月データ!$A:$A,"&gt;="&amp;設定!$B$5,先々月データ!$A:$A,"&lt;="&amp;EOMONTH(設定!$B$5,0),先々月データ!$Z:$Z,$A78)))</f>
        <v/>
      </c>
      <c r="G78" s="21" t="n">
        <f aca="false">IF(AND(E78&lt;&gt;"",F78&lt;&gt;""),(設定!$B$15*E78+設定!$B$16*F78)/(設定!$B$15+設定!$B$16),IF(E78&lt;&gt;"",E78,IF(F78&lt;&gt;"",F78,IF(G$85&lt;&gt;"",G$85,$P$39))))</f>
        <v>0</v>
      </c>
      <c r="H78" s="17" t="str">
        <f aca="false">IF(設定!$B$4="","",IF(SUMIFS(先月データ!$Q:$Q,先月データ!$AB:$AB,"ディナー",先月データ!$A:$A,"&gt;="&amp;設定!$B$4,先月データ!$A:$A,"&lt;="&amp;EOMONTH(設定!$B$4,0),先月データ!$Z:$Z,$A78)&lt;設定!$B$27,"",SUMIFS(先月データ!$L:$L,先月データ!$AB:$AB,"ディナー",先月データ!$A:$A,"&gt;="&amp;設定!$B$4,先月データ!$A:$A,"&lt;="&amp;EOMONTH(設定!$B$4,0),先月データ!$Z:$Z,$A78)/SUMIFS(先月データ!$Q:$Q,先月データ!$AB:$AB,"ディナー",先月データ!$A:$A,"&gt;="&amp;設定!$B$4,先月データ!$A:$A,"&lt;="&amp;EOMONTH(設定!$B$4,0),先月データ!$Z:$Z,$A78)))</f>
        <v/>
      </c>
      <c r="I78" s="17" t="str">
        <f aca="false">IF(設定!$B$5="","",IF(SUMIFS(先々月データ!$Q:$Q,先々月データ!$AB:$AB,"ディナー",先々月データ!$A:$A,"&gt;="&amp;設定!$B$5,先々月データ!$A:$A,"&lt;="&amp;EOMONTH(設定!$B$5,0),先々月データ!$Z:$Z,$A78)&lt;設定!$B$27,"",SUMIFS(先々月データ!$L:$L,先々月データ!$AB:$AB,"ディナー",先々月データ!$A:$A,"&gt;="&amp;設定!$B$5,先々月データ!$A:$A,"&lt;="&amp;EOMONTH(設定!$B$5,0),先々月データ!$Z:$Z,$A78)/SUMIFS(先々月データ!$Q:$Q,先々月データ!$AB:$AB,"ディナー",先々月データ!$A:$A,"&gt;="&amp;設定!$B$5,先々月データ!$A:$A,"&lt;="&amp;EOMONTH(設定!$B$5,0),先々月データ!$Z:$Z,$A78)))</f>
        <v/>
      </c>
      <c r="J78" s="21" t="n">
        <f aca="false">IF(AND(H78&lt;&gt;"",I78&lt;&gt;""),(設定!$B$15*H78+設定!$B$16*I78)/(設定!$B$15+設定!$B$16),IF(H78&lt;&gt;"",H78,IF(I78&lt;&gt;"",I78,IF(J$85&lt;&gt;"",J$85,$P$39))))</f>
        <v>0</v>
      </c>
      <c r="K78" s="17" t="str">
        <f aca="false">IF(設定!$B$4="","",IF(SUMIFS(先月データ!$Q:$Q,先月データ!$AB:$AB,"ナイト",先月データ!$A:$A,"&gt;="&amp;設定!$B$4,先月データ!$A:$A,"&lt;="&amp;EOMONTH(設定!$B$4,0),先月データ!$Z:$Z,$A78)&lt;設定!$B$27,"",SUMIFS(先月データ!$L:$L,先月データ!$AB:$AB,"ナイト",先月データ!$A:$A,"&gt;="&amp;設定!$B$4,先月データ!$A:$A,"&lt;="&amp;EOMONTH(設定!$B$4,0),先月データ!$Z:$Z,$A78)/SUMIFS(先月データ!$Q:$Q,先月データ!$AB:$AB,"ナイト",先月データ!$A:$A,"&gt;="&amp;設定!$B$4,先月データ!$A:$A,"&lt;="&amp;EOMONTH(設定!$B$4,0),先月データ!$Z:$Z,$A78)))</f>
        <v/>
      </c>
      <c r="L78" s="17" t="str">
        <f aca="false">IF(設定!$B$5="","",IF(SUMIFS(先々月データ!$Q:$Q,先々月データ!$AB:$AB,"ナイト",先々月データ!$A:$A,"&gt;="&amp;設定!$B$5,先々月データ!$A:$A,"&lt;="&amp;EOMONTH(設定!$B$5,0),先々月データ!$Z:$Z,$A78)&lt;設定!$B$27,"",SUMIFS(先々月データ!$L:$L,先々月データ!$AB:$AB,"ナイト",先々月データ!$A:$A,"&gt;="&amp;設定!$B$5,先々月データ!$A:$A,"&lt;="&amp;EOMONTH(設定!$B$5,0),先々月データ!$Z:$Z,$A78)/SUMIFS(先々月データ!$Q:$Q,先々月データ!$AB:$AB,"ナイト",先々月データ!$A:$A,"&gt;="&amp;設定!$B$5,先々月データ!$A:$A,"&lt;="&amp;EOMONTH(設定!$B$5,0),先々月データ!$Z:$Z,$A78)))</f>
        <v/>
      </c>
      <c r="M78" s="21" t="n">
        <f aca="false">IF(AND(K78&lt;&gt;"",L78&lt;&gt;""),(設定!$B$15*K78+設定!$B$16*L78)/(設定!$B$15+設定!$B$16),IF(K78&lt;&gt;"",K78,IF(L78&lt;&gt;"",L78,IF(M$85&lt;&gt;"",M$85,$P$39))))</f>
        <v>0</v>
      </c>
    </row>
    <row r="79" customFormat="false" ht="15" hidden="false" customHeight="false" outlineLevel="0" collapsed="false">
      <c r="A79" s="47" t="s">
        <v>208</v>
      </c>
      <c r="B79" s="17" t="str">
        <f aca="false">IF(設定!$B$4="","",IF(SUMIFS(先月データ!$Q:$Q,先月データ!$AB:$AB,"ランチ",先月データ!$A:$A,"&gt;="&amp;設定!$B$4,先月データ!$A:$A,"&lt;="&amp;EOMONTH(設定!$B$4,0),先月データ!$Z:$Z,$A79)&lt;設定!$B$27,"",SUMIFS(先月データ!$L:$L,先月データ!$AB:$AB,"ランチ",先月データ!$A:$A,"&gt;="&amp;設定!$B$4,先月データ!$A:$A,"&lt;="&amp;EOMONTH(設定!$B$4,0),先月データ!$Z:$Z,$A79)/SUMIFS(先月データ!$Q:$Q,先月データ!$AB:$AB,"ランチ",先月データ!$A:$A,"&gt;="&amp;設定!$B$4,先月データ!$A:$A,"&lt;="&amp;EOMONTH(設定!$B$4,0),先月データ!$Z:$Z,$A79)))</f>
        <v/>
      </c>
      <c r="C79" s="17" t="str">
        <f aca="false">IF(設定!$B$5="","",IF(SUMIFS(先々月データ!$Q:$Q,先々月データ!$AB:$AB,"ランチ",先々月データ!$A:$A,"&gt;="&amp;設定!$B$5,先々月データ!$A:$A,"&lt;="&amp;EOMONTH(設定!$B$5,0),先々月データ!$Z:$Z,$A79)&lt;設定!$B$27,"",SUMIFS(先々月データ!$L:$L,先々月データ!$AB:$AB,"ランチ",先々月データ!$A:$A,"&gt;="&amp;設定!$B$5,先々月データ!$A:$A,"&lt;="&amp;EOMONTH(設定!$B$5,0),先々月データ!$Z:$Z,$A79)/SUMIFS(先々月データ!$Q:$Q,先々月データ!$AB:$AB,"ランチ",先々月データ!$A:$A,"&gt;="&amp;設定!$B$5,先々月データ!$A:$A,"&lt;="&amp;EOMONTH(設定!$B$5,0),先々月データ!$Z:$Z,$A79)))</f>
        <v/>
      </c>
      <c r="D79" s="21" t="n">
        <f aca="false">IF(AND(B79&lt;&gt;"",C79&lt;&gt;""),(設定!$B$15*B79+設定!$B$16*C79)/(設定!$B$15+設定!$B$16),IF(B79&lt;&gt;"",B79,IF(C79&lt;&gt;"",C79,IF(D$85&lt;&gt;"",D$85,$P$40))))</f>
        <v>0</v>
      </c>
      <c r="E79" s="17" t="str">
        <f aca="false">IF(設定!$B$4="","",IF(SUMIFS(先月データ!$Q:$Q,先月データ!$AB:$AB,"アイドル",先月データ!$A:$A,"&gt;="&amp;設定!$B$4,先月データ!$A:$A,"&lt;="&amp;EOMONTH(設定!$B$4,0),先月データ!$Z:$Z,$A79)&lt;設定!$B$27,"",SUMIFS(先月データ!$L:$L,先月データ!$AB:$AB,"アイドル",先月データ!$A:$A,"&gt;="&amp;設定!$B$4,先月データ!$A:$A,"&lt;="&amp;EOMONTH(設定!$B$4,0),先月データ!$Z:$Z,$A79)/SUMIFS(先月データ!$Q:$Q,先月データ!$AB:$AB,"アイドル",先月データ!$A:$A,"&gt;="&amp;設定!$B$4,先月データ!$A:$A,"&lt;="&amp;EOMONTH(設定!$B$4,0),先月データ!$Z:$Z,$A79)))</f>
        <v/>
      </c>
      <c r="F79" s="17" t="str">
        <f aca="false">IF(設定!$B$5="","",IF(SUMIFS(先々月データ!$Q:$Q,先々月データ!$AB:$AB,"アイドル",先々月データ!$A:$A,"&gt;="&amp;設定!$B$5,先々月データ!$A:$A,"&lt;="&amp;EOMONTH(設定!$B$5,0),先々月データ!$Z:$Z,$A79)&lt;設定!$B$27,"",SUMIFS(先々月データ!$L:$L,先々月データ!$AB:$AB,"アイドル",先々月データ!$A:$A,"&gt;="&amp;設定!$B$5,先々月データ!$A:$A,"&lt;="&amp;EOMONTH(設定!$B$5,0),先々月データ!$Z:$Z,$A79)/SUMIFS(先々月データ!$Q:$Q,先々月データ!$AB:$AB,"アイドル",先々月データ!$A:$A,"&gt;="&amp;設定!$B$5,先々月データ!$A:$A,"&lt;="&amp;EOMONTH(設定!$B$5,0),先々月データ!$Z:$Z,$A79)))</f>
        <v/>
      </c>
      <c r="G79" s="21" t="n">
        <f aca="false">IF(AND(E79&lt;&gt;"",F79&lt;&gt;""),(設定!$B$15*E79+設定!$B$16*F79)/(設定!$B$15+設定!$B$16),IF(E79&lt;&gt;"",E79,IF(F79&lt;&gt;"",F79,IF(G$85&lt;&gt;"",G$85,$P$40))))</f>
        <v>0</v>
      </c>
      <c r="H79" s="17" t="str">
        <f aca="false">IF(設定!$B$4="","",IF(SUMIFS(先月データ!$Q:$Q,先月データ!$AB:$AB,"ディナー",先月データ!$A:$A,"&gt;="&amp;設定!$B$4,先月データ!$A:$A,"&lt;="&amp;EOMONTH(設定!$B$4,0),先月データ!$Z:$Z,$A79)&lt;設定!$B$27,"",SUMIFS(先月データ!$L:$L,先月データ!$AB:$AB,"ディナー",先月データ!$A:$A,"&gt;="&amp;設定!$B$4,先月データ!$A:$A,"&lt;="&amp;EOMONTH(設定!$B$4,0),先月データ!$Z:$Z,$A79)/SUMIFS(先月データ!$Q:$Q,先月データ!$AB:$AB,"ディナー",先月データ!$A:$A,"&gt;="&amp;設定!$B$4,先月データ!$A:$A,"&lt;="&amp;EOMONTH(設定!$B$4,0),先月データ!$Z:$Z,$A79)))</f>
        <v/>
      </c>
      <c r="I79" s="17" t="str">
        <f aca="false">IF(設定!$B$5="","",IF(SUMIFS(先々月データ!$Q:$Q,先々月データ!$AB:$AB,"ディナー",先々月データ!$A:$A,"&gt;="&amp;設定!$B$5,先々月データ!$A:$A,"&lt;="&amp;EOMONTH(設定!$B$5,0),先々月データ!$Z:$Z,$A79)&lt;設定!$B$27,"",SUMIFS(先々月データ!$L:$L,先々月データ!$AB:$AB,"ディナー",先々月データ!$A:$A,"&gt;="&amp;設定!$B$5,先々月データ!$A:$A,"&lt;="&amp;EOMONTH(設定!$B$5,0),先々月データ!$Z:$Z,$A79)/SUMIFS(先々月データ!$Q:$Q,先々月データ!$AB:$AB,"ディナー",先々月データ!$A:$A,"&gt;="&amp;設定!$B$5,先々月データ!$A:$A,"&lt;="&amp;EOMONTH(設定!$B$5,0),先々月データ!$Z:$Z,$A79)))</f>
        <v/>
      </c>
      <c r="J79" s="21" t="n">
        <f aca="false">IF(AND(H79&lt;&gt;"",I79&lt;&gt;""),(設定!$B$15*H79+設定!$B$16*I79)/(設定!$B$15+設定!$B$16),IF(H79&lt;&gt;"",H79,IF(I79&lt;&gt;"",I79,IF(J$85&lt;&gt;"",J$85,$P$40))))</f>
        <v>0</v>
      </c>
      <c r="K79" s="17" t="str">
        <f aca="false">IF(設定!$B$4="","",IF(SUMIFS(先月データ!$Q:$Q,先月データ!$AB:$AB,"ナイト",先月データ!$A:$A,"&gt;="&amp;設定!$B$4,先月データ!$A:$A,"&lt;="&amp;EOMONTH(設定!$B$4,0),先月データ!$Z:$Z,$A79)&lt;設定!$B$27,"",SUMIFS(先月データ!$L:$L,先月データ!$AB:$AB,"ナイト",先月データ!$A:$A,"&gt;="&amp;設定!$B$4,先月データ!$A:$A,"&lt;="&amp;EOMONTH(設定!$B$4,0),先月データ!$Z:$Z,$A79)/SUMIFS(先月データ!$Q:$Q,先月データ!$AB:$AB,"ナイト",先月データ!$A:$A,"&gt;="&amp;設定!$B$4,先月データ!$A:$A,"&lt;="&amp;EOMONTH(設定!$B$4,0),先月データ!$Z:$Z,$A79)))</f>
        <v/>
      </c>
      <c r="L79" s="17" t="str">
        <f aca="false">IF(設定!$B$5="","",IF(SUMIFS(先々月データ!$Q:$Q,先々月データ!$AB:$AB,"ナイト",先々月データ!$A:$A,"&gt;="&amp;設定!$B$5,先々月データ!$A:$A,"&lt;="&amp;EOMONTH(設定!$B$5,0),先々月データ!$Z:$Z,$A79)&lt;設定!$B$27,"",SUMIFS(先々月データ!$L:$L,先々月データ!$AB:$AB,"ナイト",先々月データ!$A:$A,"&gt;="&amp;設定!$B$5,先々月データ!$A:$A,"&lt;="&amp;EOMONTH(設定!$B$5,0),先々月データ!$Z:$Z,$A79)/SUMIFS(先々月データ!$Q:$Q,先々月データ!$AB:$AB,"ナイト",先々月データ!$A:$A,"&gt;="&amp;設定!$B$5,先々月データ!$A:$A,"&lt;="&amp;EOMONTH(設定!$B$5,0),先々月データ!$Z:$Z,$A79)))</f>
        <v/>
      </c>
      <c r="M79" s="21" t="n">
        <f aca="false">IF(AND(K79&lt;&gt;"",L79&lt;&gt;""),(設定!$B$15*K79+設定!$B$16*L79)/(設定!$B$15+設定!$B$16),IF(K79&lt;&gt;"",K79,IF(L79&lt;&gt;"",L79,IF(M$85&lt;&gt;"",M$85,$P$40))))</f>
        <v>0</v>
      </c>
    </row>
    <row r="80" customFormat="false" ht="15" hidden="false" customHeight="false" outlineLevel="0" collapsed="false">
      <c r="A80" s="47" t="s">
        <v>209</v>
      </c>
      <c r="B80" s="17" t="str">
        <f aca="false">IF(設定!$B$4="","",IF(SUMIFS(先月データ!$Q:$Q,先月データ!$AB:$AB,"ランチ",先月データ!$A:$A,"&gt;="&amp;設定!$B$4,先月データ!$A:$A,"&lt;="&amp;EOMONTH(設定!$B$4,0),先月データ!$Z:$Z,$A80)&lt;設定!$B$27,"",SUMIFS(先月データ!$L:$L,先月データ!$AB:$AB,"ランチ",先月データ!$A:$A,"&gt;="&amp;設定!$B$4,先月データ!$A:$A,"&lt;="&amp;EOMONTH(設定!$B$4,0),先月データ!$Z:$Z,$A80)/SUMIFS(先月データ!$Q:$Q,先月データ!$AB:$AB,"ランチ",先月データ!$A:$A,"&gt;="&amp;設定!$B$4,先月データ!$A:$A,"&lt;="&amp;EOMONTH(設定!$B$4,0),先月データ!$Z:$Z,$A80)))</f>
        <v/>
      </c>
      <c r="C80" s="17" t="str">
        <f aca="false">IF(設定!$B$5="","",IF(SUMIFS(先々月データ!$Q:$Q,先々月データ!$AB:$AB,"ランチ",先々月データ!$A:$A,"&gt;="&amp;設定!$B$5,先々月データ!$A:$A,"&lt;="&amp;EOMONTH(設定!$B$5,0),先々月データ!$Z:$Z,$A80)&lt;設定!$B$27,"",SUMIFS(先々月データ!$L:$L,先々月データ!$AB:$AB,"ランチ",先々月データ!$A:$A,"&gt;="&amp;設定!$B$5,先々月データ!$A:$A,"&lt;="&amp;EOMONTH(設定!$B$5,0),先々月データ!$Z:$Z,$A80)/SUMIFS(先々月データ!$Q:$Q,先々月データ!$AB:$AB,"ランチ",先々月データ!$A:$A,"&gt;="&amp;設定!$B$5,先々月データ!$A:$A,"&lt;="&amp;EOMONTH(設定!$B$5,0),先々月データ!$Z:$Z,$A80)))</f>
        <v/>
      </c>
      <c r="D80" s="21" t="n">
        <f aca="false">IF(AND(B80&lt;&gt;"",C80&lt;&gt;""),(設定!$B$15*B80+設定!$B$16*C80)/(設定!$B$15+設定!$B$16),IF(B80&lt;&gt;"",B80,IF(C80&lt;&gt;"",C80,IF(D$85&lt;&gt;"",D$85,$P$41))))</f>
        <v>0</v>
      </c>
      <c r="E80" s="17" t="str">
        <f aca="false">IF(設定!$B$4="","",IF(SUMIFS(先月データ!$Q:$Q,先月データ!$AB:$AB,"アイドル",先月データ!$A:$A,"&gt;="&amp;設定!$B$4,先月データ!$A:$A,"&lt;="&amp;EOMONTH(設定!$B$4,0),先月データ!$Z:$Z,$A80)&lt;設定!$B$27,"",SUMIFS(先月データ!$L:$L,先月データ!$AB:$AB,"アイドル",先月データ!$A:$A,"&gt;="&amp;設定!$B$4,先月データ!$A:$A,"&lt;="&amp;EOMONTH(設定!$B$4,0),先月データ!$Z:$Z,$A80)/SUMIFS(先月データ!$Q:$Q,先月データ!$AB:$AB,"アイドル",先月データ!$A:$A,"&gt;="&amp;設定!$B$4,先月データ!$A:$A,"&lt;="&amp;EOMONTH(設定!$B$4,0),先月データ!$Z:$Z,$A80)))</f>
        <v/>
      </c>
      <c r="F80" s="17" t="str">
        <f aca="false">IF(設定!$B$5="","",IF(SUMIFS(先々月データ!$Q:$Q,先々月データ!$AB:$AB,"アイドル",先々月データ!$A:$A,"&gt;="&amp;設定!$B$5,先々月データ!$A:$A,"&lt;="&amp;EOMONTH(設定!$B$5,0),先々月データ!$Z:$Z,$A80)&lt;設定!$B$27,"",SUMIFS(先々月データ!$L:$L,先々月データ!$AB:$AB,"アイドル",先々月データ!$A:$A,"&gt;="&amp;設定!$B$5,先々月データ!$A:$A,"&lt;="&amp;EOMONTH(設定!$B$5,0),先々月データ!$Z:$Z,$A80)/SUMIFS(先々月データ!$Q:$Q,先々月データ!$AB:$AB,"アイドル",先々月データ!$A:$A,"&gt;="&amp;設定!$B$5,先々月データ!$A:$A,"&lt;="&amp;EOMONTH(設定!$B$5,0),先々月データ!$Z:$Z,$A80)))</f>
        <v/>
      </c>
      <c r="G80" s="21" t="n">
        <f aca="false">IF(AND(E80&lt;&gt;"",F80&lt;&gt;""),(設定!$B$15*E80+設定!$B$16*F80)/(設定!$B$15+設定!$B$16),IF(E80&lt;&gt;"",E80,IF(F80&lt;&gt;"",F80,IF(G$85&lt;&gt;"",G$85,$P$41))))</f>
        <v>0</v>
      </c>
      <c r="H80" s="17" t="str">
        <f aca="false">IF(設定!$B$4="","",IF(SUMIFS(先月データ!$Q:$Q,先月データ!$AB:$AB,"ディナー",先月データ!$A:$A,"&gt;="&amp;設定!$B$4,先月データ!$A:$A,"&lt;="&amp;EOMONTH(設定!$B$4,0),先月データ!$Z:$Z,$A80)&lt;設定!$B$27,"",SUMIFS(先月データ!$L:$L,先月データ!$AB:$AB,"ディナー",先月データ!$A:$A,"&gt;="&amp;設定!$B$4,先月データ!$A:$A,"&lt;="&amp;EOMONTH(設定!$B$4,0),先月データ!$Z:$Z,$A80)/SUMIFS(先月データ!$Q:$Q,先月データ!$AB:$AB,"ディナー",先月データ!$A:$A,"&gt;="&amp;設定!$B$4,先月データ!$A:$A,"&lt;="&amp;EOMONTH(設定!$B$4,0),先月データ!$Z:$Z,$A80)))</f>
        <v/>
      </c>
      <c r="I80" s="17" t="str">
        <f aca="false">IF(設定!$B$5="","",IF(SUMIFS(先々月データ!$Q:$Q,先々月データ!$AB:$AB,"ディナー",先々月データ!$A:$A,"&gt;="&amp;設定!$B$5,先々月データ!$A:$A,"&lt;="&amp;EOMONTH(設定!$B$5,0),先々月データ!$Z:$Z,$A80)&lt;設定!$B$27,"",SUMIFS(先々月データ!$L:$L,先々月データ!$AB:$AB,"ディナー",先々月データ!$A:$A,"&gt;="&amp;設定!$B$5,先々月データ!$A:$A,"&lt;="&amp;EOMONTH(設定!$B$5,0),先々月データ!$Z:$Z,$A80)/SUMIFS(先々月データ!$Q:$Q,先々月データ!$AB:$AB,"ディナー",先々月データ!$A:$A,"&gt;="&amp;設定!$B$5,先々月データ!$A:$A,"&lt;="&amp;EOMONTH(設定!$B$5,0),先々月データ!$Z:$Z,$A80)))</f>
        <v/>
      </c>
      <c r="J80" s="21" t="n">
        <f aca="false">IF(AND(H80&lt;&gt;"",I80&lt;&gt;""),(設定!$B$15*H80+設定!$B$16*I80)/(設定!$B$15+設定!$B$16),IF(H80&lt;&gt;"",H80,IF(I80&lt;&gt;"",I80,IF(J$85&lt;&gt;"",J$85,$P$41))))</f>
        <v>0</v>
      </c>
      <c r="K80" s="17" t="str">
        <f aca="false">IF(設定!$B$4="","",IF(SUMIFS(先月データ!$Q:$Q,先月データ!$AB:$AB,"ナイト",先月データ!$A:$A,"&gt;="&amp;設定!$B$4,先月データ!$A:$A,"&lt;="&amp;EOMONTH(設定!$B$4,0),先月データ!$Z:$Z,$A80)&lt;設定!$B$27,"",SUMIFS(先月データ!$L:$L,先月データ!$AB:$AB,"ナイト",先月データ!$A:$A,"&gt;="&amp;設定!$B$4,先月データ!$A:$A,"&lt;="&amp;EOMONTH(設定!$B$4,0),先月データ!$Z:$Z,$A80)/SUMIFS(先月データ!$Q:$Q,先月データ!$AB:$AB,"ナイト",先月データ!$A:$A,"&gt;="&amp;設定!$B$4,先月データ!$A:$A,"&lt;="&amp;EOMONTH(設定!$B$4,0),先月データ!$Z:$Z,$A80)))</f>
        <v/>
      </c>
      <c r="L80" s="17" t="str">
        <f aca="false">IF(設定!$B$5="","",IF(SUMIFS(先々月データ!$Q:$Q,先々月データ!$AB:$AB,"ナイト",先々月データ!$A:$A,"&gt;="&amp;設定!$B$5,先々月データ!$A:$A,"&lt;="&amp;EOMONTH(設定!$B$5,0),先々月データ!$Z:$Z,$A80)&lt;設定!$B$27,"",SUMIFS(先々月データ!$L:$L,先々月データ!$AB:$AB,"ナイト",先々月データ!$A:$A,"&gt;="&amp;設定!$B$5,先々月データ!$A:$A,"&lt;="&amp;EOMONTH(設定!$B$5,0),先々月データ!$Z:$Z,$A80)/SUMIFS(先々月データ!$Q:$Q,先々月データ!$AB:$AB,"ナイト",先々月データ!$A:$A,"&gt;="&amp;設定!$B$5,先々月データ!$A:$A,"&lt;="&amp;EOMONTH(設定!$B$5,0),先々月データ!$Z:$Z,$A80)))</f>
        <v/>
      </c>
      <c r="M80" s="21" t="n">
        <f aca="false">IF(AND(K80&lt;&gt;"",L80&lt;&gt;""),(設定!$B$15*K80+設定!$B$16*L80)/(設定!$B$15+設定!$B$16),IF(K80&lt;&gt;"",K80,IF(L80&lt;&gt;"",L80,IF(M$85&lt;&gt;"",M$85,$P$41))))</f>
        <v>0</v>
      </c>
    </row>
    <row r="81" customFormat="false" ht="15" hidden="false" customHeight="false" outlineLevel="0" collapsed="false">
      <c r="A81" s="47" t="s">
        <v>210</v>
      </c>
      <c r="B81" s="17" t="str">
        <f aca="false">IF(設定!$B$4="","",IF(SUMIFS(先月データ!$Q:$Q,先月データ!$AB:$AB,"ランチ",先月データ!$A:$A,"&gt;="&amp;設定!$B$4,先月データ!$A:$A,"&lt;="&amp;EOMONTH(設定!$B$4,0),先月データ!$Z:$Z,$A81)&lt;設定!$B$27,"",SUMIFS(先月データ!$L:$L,先月データ!$AB:$AB,"ランチ",先月データ!$A:$A,"&gt;="&amp;設定!$B$4,先月データ!$A:$A,"&lt;="&amp;EOMONTH(設定!$B$4,0),先月データ!$Z:$Z,$A81)/SUMIFS(先月データ!$Q:$Q,先月データ!$AB:$AB,"ランチ",先月データ!$A:$A,"&gt;="&amp;設定!$B$4,先月データ!$A:$A,"&lt;="&amp;EOMONTH(設定!$B$4,0),先月データ!$Z:$Z,$A81)))</f>
        <v/>
      </c>
      <c r="C81" s="17" t="str">
        <f aca="false">IF(設定!$B$5="","",IF(SUMIFS(先々月データ!$Q:$Q,先々月データ!$AB:$AB,"ランチ",先々月データ!$A:$A,"&gt;="&amp;設定!$B$5,先々月データ!$A:$A,"&lt;="&amp;EOMONTH(設定!$B$5,0),先々月データ!$Z:$Z,$A81)&lt;設定!$B$27,"",SUMIFS(先々月データ!$L:$L,先々月データ!$AB:$AB,"ランチ",先々月データ!$A:$A,"&gt;="&amp;設定!$B$5,先々月データ!$A:$A,"&lt;="&amp;EOMONTH(設定!$B$5,0),先々月データ!$Z:$Z,$A81)/SUMIFS(先々月データ!$Q:$Q,先々月データ!$AB:$AB,"ランチ",先々月データ!$A:$A,"&gt;="&amp;設定!$B$5,先々月データ!$A:$A,"&lt;="&amp;EOMONTH(設定!$B$5,0),先々月データ!$Z:$Z,$A81)))</f>
        <v/>
      </c>
      <c r="D81" s="21" t="n">
        <f aca="false">IF(AND(B81&lt;&gt;"",C81&lt;&gt;""),(設定!$B$15*B81+設定!$B$16*C81)/(設定!$B$15+設定!$B$16),IF(B81&lt;&gt;"",B81,IF(C81&lt;&gt;"",C81,IF(D$85&lt;&gt;"",D$85,$P$42))))</f>
        <v>0</v>
      </c>
      <c r="E81" s="17" t="str">
        <f aca="false">IF(設定!$B$4="","",IF(SUMIFS(先月データ!$Q:$Q,先月データ!$AB:$AB,"アイドル",先月データ!$A:$A,"&gt;="&amp;設定!$B$4,先月データ!$A:$A,"&lt;="&amp;EOMONTH(設定!$B$4,0),先月データ!$Z:$Z,$A81)&lt;設定!$B$27,"",SUMIFS(先月データ!$L:$L,先月データ!$AB:$AB,"アイドル",先月データ!$A:$A,"&gt;="&amp;設定!$B$4,先月データ!$A:$A,"&lt;="&amp;EOMONTH(設定!$B$4,0),先月データ!$Z:$Z,$A81)/SUMIFS(先月データ!$Q:$Q,先月データ!$AB:$AB,"アイドル",先月データ!$A:$A,"&gt;="&amp;設定!$B$4,先月データ!$A:$A,"&lt;="&amp;EOMONTH(設定!$B$4,0),先月データ!$Z:$Z,$A81)))</f>
        <v/>
      </c>
      <c r="F81" s="17" t="str">
        <f aca="false">IF(設定!$B$5="","",IF(SUMIFS(先々月データ!$Q:$Q,先々月データ!$AB:$AB,"アイドル",先々月データ!$A:$A,"&gt;="&amp;設定!$B$5,先々月データ!$A:$A,"&lt;="&amp;EOMONTH(設定!$B$5,0),先々月データ!$Z:$Z,$A81)&lt;設定!$B$27,"",SUMIFS(先々月データ!$L:$L,先々月データ!$AB:$AB,"アイドル",先々月データ!$A:$A,"&gt;="&amp;設定!$B$5,先々月データ!$A:$A,"&lt;="&amp;EOMONTH(設定!$B$5,0),先々月データ!$Z:$Z,$A81)/SUMIFS(先々月データ!$Q:$Q,先々月データ!$AB:$AB,"アイドル",先々月データ!$A:$A,"&gt;="&amp;設定!$B$5,先々月データ!$A:$A,"&lt;="&amp;EOMONTH(設定!$B$5,0),先々月データ!$Z:$Z,$A81)))</f>
        <v/>
      </c>
      <c r="G81" s="21" t="n">
        <f aca="false">IF(AND(E81&lt;&gt;"",F81&lt;&gt;""),(設定!$B$15*E81+設定!$B$16*F81)/(設定!$B$15+設定!$B$16),IF(E81&lt;&gt;"",E81,IF(F81&lt;&gt;"",F81,IF(G$85&lt;&gt;"",G$85,$P$42))))</f>
        <v>0</v>
      </c>
      <c r="H81" s="17" t="str">
        <f aca="false">IF(設定!$B$4="","",IF(SUMIFS(先月データ!$Q:$Q,先月データ!$AB:$AB,"ディナー",先月データ!$A:$A,"&gt;="&amp;設定!$B$4,先月データ!$A:$A,"&lt;="&amp;EOMONTH(設定!$B$4,0),先月データ!$Z:$Z,$A81)&lt;設定!$B$27,"",SUMIFS(先月データ!$L:$L,先月データ!$AB:$AB,"ディナー",先月データ!$A:$A,"&gt;="&amp;設定!$B$4,先月データ!$A:$A,"&lt;="&amp;EOMONTH(設定!$B$4,0),先月データ!$Z:$Z,$A81)/SUMIFS(先月データ!$Q:$Q,先月データ!$AB:$AB,"ディナー",先月データ!$A:$A,"&gt;="&amp;設定!$B$4,先月データ!$A:$A,"&lt;="&amp;EOMONTH(設定!$B$4,0),先月データ!$Z:$Z,$A81)))</f>
        <v/>
      </c>
      <c r="I81" s="17" t="str">
        <f aca="false">IF(設定!$B$5="","",IF(SUMIFS(先々月データ!$Q:$Q,先々月データ!$AB:$AB,"ディナー",先々月データ!$A:$A,"&gt;="&amp;設定!$B$5,先々月データ!$A:$A,"&lt;="&amp;EOMONTH(設定!$B$5,0),先々月データ!$Z:$Z,$A81)&lt;設定!$B$27,"",SUMIFS(先々月データ!$L:$L,先々月データ!$AB:$AB,"ディナー",先々月データ!$A:$A,"&gt;="&amp;設定!$B$5,先々月データ!$A:$A,"&lt;="&amp;EOMONTH(設定!$B$5,0),先々月データ!$Z:$Z,$A81)/SUMIFS(先々月データ!$Q:$Q,先々月データ!$AB:$AB,"ディナー",先々月データ!$A:$A,"&gt;="&amp;設定!$B$5,先々月データ!$A:$A,"&lt;="&amp;EOMONTH(設定!$B$5,0),先々月データ!$Z:$Z,$A81)))</f>
        <v/>
      </c>
      <c r="J81" s="21" t="n">
        <f aca="false">IF(AND(H81&lt;&gt;"",I81&lt;&gt;""),(設定!$B$15*H81+設定!$B$16*I81)/(設定!$B$15+設定!$B$16),IF(H81&lt;&gt;"",H81,IF(I81&lt;&gt;"",I81,IF(J$85&lt;&gt;"",J$85,$P$42))))</f>
        <v>0</v>
      </c>
      <c r="K81" s="17" t="str">
        <f aca="false">IF(設定!$B$4="","",IF(SUMIFS(先月データ!$Q:$Q,先月データ!$AB:$AB,"ナイト",先月データ!$A:$A,"&gt;="&amp;設定!$B$4,先月データ!$A:$A,"&lt;="&amp;EOMONTH(設定!$B$4,0),先月データ!$Z:$Z,$A81)&lt;設定!$B$27,"",SUMIFS(先月データ!$L:$L,先月データ!$AB:$AB,"ナイト",先月データ!$A:$A,"&gt;="&amp;設定!$B$4,先月データ!$A:$A,"&lt;="&amp;EOMONTH(設定!$B$4,0),先月データ!$Z:$Z,$A81)/SUMIFS(先月データ!$Q:$Q,先月データ!$AB:$AB,"ナイト",先月データ!$A:$A,"&gt;="&amp;設定!$B$4,先月データ!$A:$A,"&lt;="&amp;EOMONTH(設定!$B$4,0),先月データ!$Z:$Z,$A81)))</f>
        <v/>
      </c>
      <c r="L81" s="17" t="str">
        <f aca="false">IF(設定!$B$5="","",IF(SUMIFS(先々月データ!$Q:$Q,先々月データ!$AB:$AB,"ナイト",先々月データ!$A:$A,"&gt;="&amp;設定!$B$5,先々月データ!$A:$A,"&lt;="&amp;EOMONTH(設定!$B$5,0),先々月データ!$Z:$Z,$A81)&lt;設定!$B$27,"",SUMIFS(先々月データ!$L:$L,先々月データ!$AB:$AB,"ナイト",先々月データ!$A:$A,"&gt;="&amp;設定!$B$5,先々月データ!$A:$A,"&lt;="&amp;EOMONTH(設定!$B$5,0),先々月データ!$Z:$Z,$A81)/SUMIFS(先々月データ!$Q:$Q,先々月データ!$AB:$AB,"ナイト",先々月データ!$A:$A,"&gt;="&amp;設定!$B$5,先々月データ!$A:$A,"&lt;="&amp;EOMONTH(設定!$B$5,0),先々月データ!$Z:$Z,$A81)))</f>
        <v/>
      </c>
      <c r="M81" s="21" t="n">
        <f aca="false">IF(AND(K81&lt;&gt;"",L81&lt;&gt;""),(設定!$B$15*K81+設定!$B$16*L81)/(設定!$B$15+設定!$B$16),IF(K81&lt;&gt;"",K81,IF(L81&lt;&gt;"",L81,IF(M$85&lt;&gt;"",M$85,$P$42))))</f>
        <v>0</v>
      </c>
    </row>
    <row r="82" customFormat="false" ht="15" hidden="false" customHeight="false" outlineLevel="0" collapsed="false">
      <c r="A82" s="47" t="s">
        <v>211</v>
      </c>
      <c r="B82" s="17" t="str">
        <f aca="false">IF(設定!$B$4="","",IF(SUMIFS(先月データ!$Q:$Q,先月データ!$AB:$AB,"ランチ",先月データ!$A:$A,"&gt;="&amp;設定!$B$4,先月データ!$A:$A,"&lt;="&amp;EOMONTH(設定!$B$4,0),先月データ!$Z:$Z,$A82)&lt;設定!$B$27,"",SUMIFS(先月データ!$L:$L,先月データ!$AB:$AB,"ランチ",先月データ!$A:$A,"&gt;="&amp;設定!$B$4,先月データ!$A:$A,"&lt;="&amp;EOMONTH(設定!$B$4,0),先月データ!$Z:$Z,$A82)/SUMIFS(先月データ!$Q:$Q,先月データ!$AB:$AB,"ランチ",先月データ!$A:$A,"&gt;="&amp;設定!$B$4,先月データ!$A:$A,"&lt;="&amp;EOMONTH(設定!$B$4,0),先月データ!$Z:$Z,$A82)))</f>
        <v/>
      </c>
      <c r="C82" s="17" t="str">
        <f aca="false">IF(設定!$B$5="","",IF(SUMIFS(先々月データ!$Q:$Q,先々月データ!$AB:$AB,"ランチ",先々月データ!$A:$A,"&gt;="&amp;設定!$B$5,先々月データ!$A:$A,"&lt;="&amp;EOMONTH(設定!$B$5,0),先々月データ!$Z:$Z,$A82)&lt;設定!$B$27,"",SUMIFS(先々月データ!$L:$L,先々月データ!$AB:$AB,"ランチ",先々月データ!$A:$A,"&gt;="&amp;設定!$B$5,先々月データ!$A:$A,"&lt;="&amp;EOMONTH(設定!$B$5,0),先々月データ!$Z:$Z,$A82)/SUMIFS(先々月データ!$Q:$Q,先々月データ!$AB:$AB,"ランチ",先々月データ!$A:$A,"&gt;="&amp;設定!$B$5,先々月データ!$A:$A,"&lt;="&amp;EOMONTH(設定!$B$5,0),先々月データ!$Z:$Z,$A82)))</f>
        <v/>
      </c>
      <c r="D82" s="21" t="n">
        <f aca="false">IF(AND(B82&lt;&gt;"",C82&lt;&gt;""),(設定!$B$15*B82+設定!$B$16*C82)/(設定!$B$15+設定!$B$16),IF(B82&lt;&gt;"",B82,IF(C82&lt;&gt;"",C82,IF(D$85&lt;&gt;"",D$85,$P$43))))</f>
        <v>0</v>
      </c>
      <c r="E82" s="17" t="str">
        <f aca="false">IF(設定!$B$4="","",IF(SUMIFS(先月データ!$Q:$Q,先月データ!$AB:$AB,"アイドル",先月データ!$A:$A,"&gt;="&amp;設定!$B$4,先月データ!$A:$A,"&lt;="&amp;EOMONTH(設定!$B$4,0),先月データ!$Z:$Z,$A82)&lt;設定!$B$27,"",SUMIFS(先月データ!$L:$L,先月データ!$AB:$AB,"アイドル",先月データ!$A:$A,"&gt;="&amp;設定!$B$4,先月データ!$A:$A,"&lt;="&amp;EOMONTH(設定!$B$4,0),先月データ!$Z:$Z,$A82)/SUMIFS(先月データ!$Q:$Q,先月データ!$AB:$AB,"アイドル",先月データ!$A:$A,"&gt;="&amp;設定!$B$4,先月データ!$A:$A,"&lt;="&amp;EOMONTH(設定!$B$4,0),先月データ!$Z:$Z,$A82)))</f>
        <v/>
      </c>
      <c r="F82" s="17" t="str">
        <f aca="false">IF(設定!$B$5="","",IF(SUMIFS(先々月データ!$Q:$Q,先々月データ!$AB:$AB,"アイドル",先々月データ!$A:$A,"&gt;="&amp;設定!$B$5,先々月データ!$A:$A,"&lt;="&amp;EOMONTH(設定!$B$5,0),先々月データ!$Z:$Z,$A82)&lt;設定!$B$27,"",SUMIFS(先々月データ!$L:$L,先々月データ!$AB:$AB,"アイドル",先々月データ!$A:$A,"&gt;="&amp;設定!$B$5,先々月データ!$A:$A,"&lt;="&amp;EOMONTH(設定!$B$5,0),先々月データ!$Z:$Z,$A82)/SUMIFS(先々月データ!$Q:$Q,先々月データ!$AB:$AB,"アイドル",先々月データ!$A:$A,"&gt;="&amp;設定!$B$5,先々月データ!$A:$A,"&lt;="&amp;EOMONTH(設定!$B$5,0),先々月データ!$Z:$Z,$A82)))</f>
        <v/>
      </c>
      <c r="G82" s="21" t="n">
        <f aca="false">IF(AND(E82&lt;&gt;"",F82&lt;&gt;""),(設定!$B$15*E82+設定!$B$16*F82)/(設定!$B$15+設定!$B$16),IF(E82&lt;&gt;"",E82,IF(F82&lt;&gt;"",F82,IF(G$85&lt;&gt;"",G$85,$P$43))))</f>
        <v>0</v>
      </c>
      <c r="H82" s="17" t="str">
        <f aca="false">IF(設定!$B$4="","",IF(SUMIFS(先月データ!$Q:$Q,先月データ!$AB:$AB,"ディナー",先月データ!$A:$A,"&gt;="&amp;設定!$B$4,先月データ!$A:$A,"&lt;="&amp;EOMONTH(設定!$B$4,0),先月データ!$Z:$Z,$A82)&lt;設定!$B$27,"",SUMIFS(先月データ!$L:$L,先月データ!$AB:$AB,"ディナー",先月データ!$A:$A,"&gt;="&amp;設定!$B$4,先月データ!$A:$A,"&lt;="&amp;EOMONTH(設定!$B$4,0),先月データ!$Z:$Z,$A82)/SUMIFS(先月データ!$Q:$Q,先月データ!$AB:$AB,"ディナー",先月データ!$A:$A,"&gt;="&amp;設定!$B$4,先月データ!$A:$A,"&lt;="&amp;EOMONTH(設定!$B$4,0),先月データ!$Z:$Z,$A82)))</f>
        <v/>
      </c>
      <c r="I82" s="17" t="str">
        <f aca="false">IF(設定!$B$5="","",IF(SUMIFS(先々月データ!$Q:$Q,先々月データ!$AB:$AB,"ディナー",先々月データ!$A:$A,"&gt;="&amp;設定!$B$5,先々月データ!$A:$A,"&lt;="&amp;EOMONTH(設定!$B$5,0),先々月データ!$Z:$Z,$A82)&lt;設定!$B$27,"",SUMIFS(先々月データ!$L:$L,先々月データ!$AB:$AB,"ディナー",先々月データ!$A:$A,"&gt;="&amp;設定!$B$5,先々月データ!$A:$A,"&lt;="&amp;EOMONTH(設定!$B$5,0),先々月データ!$Z:$Z,$A82)/SUMIFS(先々月データ!$Q:$Q,先々月データ!$AB:$AB,"ディナー",先々月データ!$A:$A,"&gt;="&amp;設定!$B$5,先々月データ!$A:$A,"&lt;="&amp;EOMONTH(設定!$B$5,0),先々月データ!$Z:$Z,$A82)))</f>
        <v/>
      </c>
      <c r="J82" s="21" t="n">
        <f aca="false">IF(AND(H82&lt;&gt;"",I82&lt;&gt;""),(設定!$B$15*H82+設定!$B$16*I82)/(設定!$B$15+設定!$B$16),IF(H82&lt;&gt;"",H82,IF(I82&lt;&gt;"",I82,IF(J$85&lt;&gt;"",J$85,$P$43))))</f>
        <v>0</v>
      </c>
      <c r="K82" s="17" t="str">
        <f aca="false">IF(設定!$B$4="","",IF(SUMIFS(先月データ!$Q:$Q,先月データ!$AB:$AB,"ナイト",先月データ!$A:$A,"&gt;="&amp;設定!$B$4,先月データ!$A:$A,"&lt;="&amp;EOMONTH(設定!$B$4,0),先月データ!$Z:$Z,$A82)&lt;設定!$B$27,"",SUMIFS(先月データ!$L:$L,先月データ!$AB:$AB,"ナイト",先月データ!$A:$A,"&gt;="&amp;設定!$B$4,先月データ!$A:$A,"&lt;="&amp;EOMONTH(設定!$B$4,0),先月データ!$Z:$Z,$A82)/SUMIFS(先月データ!$Q:$Q,先月データ!$AB:$AB,"ナイト",先月データ!$A:$A,"&gt;="&amp;設定!$B$4,先月データ!$A:$A,"&lt;="&amp;EOMONTH(設定!$B$4,0),先月データ!$Z:$Z,$A82)))</f>
        <v/>
      </c>
      <c r="L82" s="17" t="str">
        <f aca="false">IF(設定!$B$5="","",IF(SUMIFS(先々月データ!$Q:$Q,先々月データ!$AB:$AB,"ナイト",先々月データ!$A:$A,"&gt;="&amp;設定!$B$5,先々月データ!$A:$A,"&lt;="&amp;EOMONTH(設定!$B$5,0),先々月データ!$Z:$Z,$A82)&lt;設定!$B$27,"",SUMIFS(先々月データ!$L:$L,先々月データ!$AB:$AB,"ナイト",先々月データ!$A:$A,"&gt;="&amp;設定!$B$5,先々月データ!$A:$A,"&lt;="&amp;EOMONTH(設定!$B$5,0),先々月データ!$Z:$Z,$A82)/SUMIFS(先々月データ!$Q:$Q,先々月データ!$AB:$AB,"ナイト",先々月データ!$A:$A,"&gt;="&amp;設定!$B$5,先々月データ!$A:$A,"&lt;="&amp;EOMONTH(設定!$B$5,0),先々月データ!$Z:$Z,$A82)))</f>
        <v/>
      </c>
      <c r="M82" s="21" t="n">
        <f aca="false">IF(AND(K82&lt;&gt;"",L82&lt;&gt;""),(設定!$B$15*K82+設定!$B$16*L82)/(設定!$B$15+設定!$B$16),IF(K82&lt;&gt;"",K82,IF(L82&lt;&gt;"",L82,IF(M$85&lt;&gt;"",M$85,$P$43))))</f>
        <v>0</v>
      </c>
    </row>
    <row r="83" customFormat="false" ht="15" hidden="false" customHeight="false" outlineLevel="0" collapsed="false">
      <c r="A83" s="47" t="s">
        <v>67</v>
      </c>
      <c r="B83" s="17" t="str">
        <f aca="false">IF(設定!$B$4="","",IF(SUMIFS(先月データ!$Q:$Q,先月データ!$AB:$AB,"ランチ",先月データ!$A:$A,"&gt;="&amp;設定!$B$4,先月データ!$A:$A,"&lt;="&amp;EOMONTH(設定!$B$4,0),先月データ!$Z:$Z,$A83)&lt;設定!$B$27,"",SUMIFS(先月データ!$L:$L,先月データ!$AB:$AB,"ランチ",先月データ!$A:$A,"&gt;="&amp;設定!$B$4,先月データ!$A:$A,"&lt;="&amp;EOMONTH(設定!$B$4,0),先月データ!$Z:$Z,$A83)/SUMIFS(先月データ!$Q:$Q,先月データ!$AB:$AB,"ランチ",先月データ!$A:$A,"&gt;="&amp;設定!$B$4,先月データ!$A:$A,"&lt;="&amp;EOMONTH(設定!$B$4,0),先月データ!$Z:$Z,$A83)))</f>
        <v/>
      </c>
      <c r="C83" s="17" t="str">
        <f aca="false">IF(設定!$B$5="","",IF(SUMIFS(先々月データ!$Q:$Q,先々月データ!$AB:$AB,"ランチ",先々月データ!$A:$A,"&gt;="&amp;設定!$B$5,先々月データ!$A:$A,"&lt;="&amp;EOMONTH(設定!$B$5,0),先々月データ!$Z:$Z,$A83)&lt;設定!$B$27,"",SUMIFS(先々月データ!$L:$L,先々月データ!$AB:$AB,"ランチ",先々月データ!$A:$A,"&gt;="&amp;設定!$B$5,先々月データ!$A:$A,"&lt;="&amp;EOMONTH(設定!$B$5,0),先々月データ!$Z:$Z,$A83)/SUMIFS(先々月データ!$Q:$Q,先々月データ!$AB:$AB,"ランチ",先々月データ!$A:$A,"&gt;="&amp;設定!$B$5,先々月データ!$A:$A,"&lt;="&amp;EOMONTH(設定!$B$5,0),先々月データ!$Z:$Z,$A83)))</f>
        <v/>
      </c>
      <c r="D83" s="21" t="n">
        <f aca="false">IF(AND(B83&lt;&gt;"",C83&lt;&gt;""),(設定!$B$15*B83+設定!$B$16*C83)/(設定!$B$15+設定!$B$16),IF(B83&lt;&gt;"",B83,IF(C83&lt;&gt;"",C83,IF(D$85&lt;&gt;"",D$85,$P$44))))</f>
        <v>0</v>
      </c>
      <c r="E83" s="17" t="str">
        <f aca="false">IF(設定!$B$4="","",IF(SUMIFS(先月データ!$Q:$Q,先月データ!$AB:$AB,"アイドル",先月データ!$A:$A,"&gt;="&amp;設定!$B$4,先月データ!$A:$A,"&lt;="&amp;EOMONTH(設定!$B$4,0),先月データ!$Z:$Z,$A83)&lt;設定!$B$27,"",SUMIFS(先月データ!$L:$L,先月データ!$AB:$AB,"アイドル",先月データ!$A:$A,"&gt;="&amp;設定!$B$4,先月データ!$A:$A,"&lt;="&amp;EOMONTH(設定!$B$4,0),先月データ!$Z:$Z,$A83)/SUMIFS(先月データ!$Q:$Q,先月データ!$AB:$AB,"アイドル",先月データ!$A:$A,"&gt;="&amp;設定!$B$4,先月データ!$A:$A,"&lt;="&amp;EOMONTH(設定!$B$4,0),先月データ!$Z:$Z,$A83)))</f>
        <v/>
      </c>
      <c r="F83" s="17" t="str">
        <f aca="false">IF(設定!$B$5="","",IF(SUMIFS(先々月データ!$Q:$Q,先々月データ!$AB:$AB,"アイドル",先々月データ!$A:$A,"&gt;="&amp;設定!$B$5,先々月データ!$A:$A,"&lt;="&amp;EOMONTH(設定!$B$5,0),先々月データ!$Z:$Z,$A83)&lt;設定!$B$27,"",SUMIFS(先々月データ!$L:$L,先々月データ!$AB:$AB,"アイドル",先々月データ!$A:$A,"&gt;="&amp;設定!$B$5,先々月データ!$A:$A,"&lt;="&amp;EOMONTH(設定!$B$5,0),先々月データ!$Z:$Z,$A83)/SUMIFS(先々月データ!$Q:$Q,先々月データ!$AB:$AB,"アイドル",先々月データ!$A:$A,"&gt;="&amp;設定!$B$5,先々月データ!$A:$A,"&lt;="&amp;EOMONTH(設定!$B$5,0),先々月データ!$Z:$Z,$A83)))</f>
        <v/>
      </c>
      <c r="G83" s="21" t="n">
        <f aca="false">IF(AND(E83&lt;&gt;"",F83&lt;&gt;""),(設定!$B$15*E83+設定!$B$16*F83)/(設定!$B$15+設定!$B$16),IF(E83&lt;&gt;"",E83,IF(F83&lt;&gt;"",F83,IF(G$85&lt;&gt;"",G$85,$P$44))))</f>
        <v>0</v>
      </c>
      <c r="H83" s="17" t="str">
        <f aca="false">IF(設定!$B$4="","",IF(SUMIFS(先月データ!$Q:$Q,先月データ!$AB:$AB,"ディナー",先月データ!$A:$A,"&gt;="&amp;設定!$B$4,先月データ!$A:$A,"&lt;="&amp;EOMONTH(設定!$B$4,0),先月データ!$Z:$Z,$A83)&lt;設定!$B$27,"",SUMIFS(先月データ!$L:$L,先月データ!$AB:$AB,"ディナー",先月データ!$A:$A,"&gt;="&amp;設定!$B$4,先月データ!$A:$A,"&lt;="&amp;EOMONTH(設定!$B$4,0),先月データ!$Z:$Z,$A83)/SUMIFS(先月データ!$Q:$Q,先月データ!$AB:$AB,"ディナー",先月データ!$A:$A,"&gt;="&amp;設定!$B$4,先月データ!$A:$A,"&lt;="&amp;EOMONTH(設定!$B$4,0),先月データ!$Z:$Z,$A83)))</f>
        <v/>
      </c>
      <c r="I83" s="17" t="str">
        <f aca="false">IF(設定!$B$5="","",IF(SUMIFS(先々月データ!$Q:$Q,先々月データ!$AB:$AB,"ディナー",先々月データ!$A:$A,"&gt;="&amp;設定!$B$5,先々月データ!$A:$A,"&lt;="&amp;EOMONTH(設定!$B$5,0),先々月データ!$Z:$Z,$A83)&lt;設定!$B$27,"",SUMIFS(先々月データ!$L:$L,先々月データ!$AB:$AB,"ディナー",先々月データ!$A:$A,"&gt;="&amp;設定!$B$5,先々月データ!$A:$A,"&lt;="&amp;EOMONTH(設定!$B$5,0),先々月データ!$Z:$Z,$A83)/SUMIFS(先々月データ!$Q:$Q,先々月データ!$AB:$AB,"ディナー",先々月データ!$A:$A,"&gt;="&amp;設定!$B$5,先々月データ!$A:$A,"&lt;="&amp;EOMONTH(設定!$B$5,0),先々月データ!$Z:$Z,$A83)))</f>
        <v/>
      </c>
      <c r="J83" s="21" t="n">
        <f aca="false">IF(AND(H83&lt;&gt;"",I83&lt;&gt;""),(設定!$B$15*H83+設定!$B$16*I83)/(設定!$B$15+設定!$B$16),IF(H83&lt;&gt;"",H83,IF(I83&lt;&gt;"",I83,IF(J$85&lt;&gt;"",J$85,$P$44))))</f>
        <v>0</v>
      </c>
      <c r="K83" s="17" t="str">
        <f aca="false">IF(設定!$B$4="","",IF(SUMIFS(先月データ!$Q:$Q,先月データ!$AB:$AB,"ナイト",先月データ!$A:$A,"&gt;="&amp;設定!$B$4,先月データ!$A:$A,"&lt;="&amp;EOMONTH(設定!$B$4,0),先月データ!$Z:$Z,$A83)&lt;設定!$B$27,"",SUMIFS(先月データ!$L:$L,先月データ!$AB:$AB,"ナイト",先月データ!$A:$A,"&gt;="&amp;設定!$B$4,先月データ!$A:$A,"&lt;="&amp;EOMONTH(設定!$B$4,0),先月データ!$Z:$Z,$A83)/SUMIFS(先月データ!$Q:$Q,先月データ!$AB:$AB,"ナイト",先月データ!$A:$A,"&gt;="&amp;設定!$B$4,先月データ!$A:$A,"&lt;="&amp;EOMONTH(設定!$B$4,0),先月データ!$Z:$Z,$A83)))</f>
        <v/>
      </c>
      <c r="L83" s="17" t="str">
        <f aca="false">IF(設定!$B$5="","",IF(SUMIFS(先々月データ!$Q:$Q,先々月データ!$AB:$AB,"ナイト",先々月データ!$A:$A,"&gt;="&amp;設定!$B$5,先々月データ!$A:$A,"&lt;="&amp;EOMONTH(設定!$B$5,0),先々月データ!$Z:$Z,$A83)&lt;設定!$B$27,"",SUMIFS(先々月データ!$L:$L,先々月データ!$AB:$AB,"ナイト",先々月データ!$A:$A,"&gt;="&amp;設定!$B$5,先々月データ!$A:$A,"&lt;="&amp;EOMONTH(設定!$B$5,0),先々月データ!$Z:$Z,$A83)/SUMIFS(先々月データ!$Q:$Q,先々月データ!$AB:$AB,"ナイト",先々月データ!$A:$A,"&gt;="&amp;設定!$B$5,先々月データ!$A:$A,"&lt;="&amp;EOMONTH(設定!$B$5,0),先々月データ!$Z:$Z,$A83)))</f>
        <v/>
      </c>
      <c r="M83" s="21" t="n">
        <f aca="false">IF(AND(K83&lt;&gt;"",L83&lt;&gt;""),(設定!$B$15*K83+設定!$B$16*L83)/(設定!$B$15+設定!$B$16),IF(K83&lt;&gt;"",K83,IF(L83&lt;&gt;"",L83,IF(M$85&lt;&gt;"",M$85,$P$44))))</f>
        <v>0</v>
      </c>
    </row>
    <row r="84" customFormat="false" ht="15" hidden="false" customHeight="false" outlineLevel="0" collapsed="false">
      <c r="A84" s="47" t="s">
        <v>212</v>
      </c>
      <c r="B84" s="17" t="str">
        <f aca="false">IF(設定!$B$4="","",IF(SUMIFS(先月データ!$Q:$Q,先月データ!$AB:$AB,"ランチ",先月データ!$A:$A,"&gt;="&amp;設定!$B$4,先月データ!$A:$A,"&lt;="&amp;EOMONTH(設定!$B$4,0),先月データ!$Z:$Z,$A84)&lt;設定!$B$27,"",SUMIFS(先月データ!$L:$L,先月データ!$AB:$AB,"ランチ",先月データ!$A:$A,"&gt;="&amp;設定!$B$4,先月データ!$A:$A,"&lt;="&amp;EOMONTH(設定!$B$4,0),先月データ!$Z:$Z,$A84)/SUMIFS(先月データ!$Q:$Q,先月データ!$AB:$AB,"ランチ",先月データ!$A:$A,"&gt;="&amp;設定!$B$4,先月データ!$A:$A,"&lt;="&amp;EOMONTH(設定!$B$4,0),先月データ!$Z:$Z,$A84)))</f>
        <v/>
      </c>
      <c r="C84" s="17" t="str">
        <f aca="false">IF(設定!$B$5="","",IF(SUMIFS(先々月データ!$Q:$Q,先々月データ!$AB:$AB,"ランチ",先々月データ!$A:$A,"&gt;="&amp;設定!$B$5,先々月データ!$A:$A,"&lt;="&amp;EOMONTH(設定!$B$5,0),先々月データ!$Z:$Z,$A84)&lt;設定!$B$27,"",SUMIFS(先々月データ!$L:$L,先々月データ!$AB:$AB,"ランチ",先々月データ!$A:$A,"&gt;="&amp;設定!$B$5,先々月データ!$A:$A,"&lt;="&amp;EOMONTH(設定!$B$5,0),先々月データ!$Z:$Z,$A84)/SUMIFS(先々月データ!$Q:$Q,先々月データ!$AB:$AB,"ランチ",先々月データ!$A:$A,"&gt;="&amp;設定!$B$5,先々月データ!$A:$A,"&lt;="&amp;EOMONTH(設定!$B$5,0),先々月データ!$Z:$Z,$A84)))</f>
        <v/>
      </c>
      <c r="D84" s="21" t="n">
        <f aca="false">IF(AND(B84&lt;&gt;"",C84&lt;&gt;""),(設定!$B$15*B84+設定!$B$16*C84)/(設定!$B$15+設定!$B$16),IF(B84&lt;&gt;"",B84,IF(C84&lt;&gt;"",C84,IF(D$83&lt;&gt;"",D$83,IF(D$85&lt;&gt;"",D$85,$P$45)))))</f>
        <v>0</v>
      </c>
      <c r="E84" s="17" t="str">
        <f aca="false">IF(設定!$B$4="","",IF(SUMIFS(先月データ!$Q:$Q,先月データ!$AB:$AB,"アイドル",先月データ!$A:$A,"&gt;="&amp;設定!$B$4,先月データ!$A:$A,"&lt;="&amp;EOMONTH(設定!$B$4,0),先月データ!$Z:$Z,$A84)&lt;設定!$B$27,"",SUMIFS(先月データ!$L:$L,先月データ!$AB:$AB,"アイドル",先月データ!$A:$A,"&gt;="&amp;設定!$B$4,先月データ!$A:$A,"&lt;="&amp;EOMONTH(設定!$B$4,0),先月データ!$Z:$Z,$A84)/SUMIFS(先月データ!$Q:$Q,先月データ!$AB:$AB,"アイドル",先月データ!$A:$A,"&gt;="&amp;設定!$B$4,先月データ!$A:$A,"&lt;="&amp;EOMONTH(設定!$B$4,0),先月データ!$Z:$Z,$A84)))</f>
        <v/>
      </c>
      <c r="F84" s="17" t="str">
        <f aca="false">IF(設定!$B$5="","",IF(SUMIFS(先々月データ!$Q:$Q,先々月データ!$AB:$AB,"アイドル",先々月データ!$A:$A,"&gt;="&amp;設定!$B$5,先々月データ!$A:$A,"&lt;="&amp;EOMONTH(設定!$B$5,0),先々月データ!$Z:$Z,$A84)&lt;設定!$B$27,"",SUMIFS(先々月データ!$L:$L,先々月データ!$AB:$AB,"アイドル",先々月データ!$A:$A,"&gt;="&amp;設定!$B$5,先々月データ!$A:$A,"&lt;="&amp;EOMONTH(設定!$B$5,0),先々月データ!$Z:$Z,$A84)/SUMIFS(先々月データ!$Q:$Q,先々月データ!$AB:$AB,"アイドル",先々月データ!$A:$A,"&gt;="&amp;設定!$B$5,先々月データ!$A:$A,"&lt;="&amp;EOMONTH(設定!$B$5,0),先々月データ!$Z:$Z,$A84)))</f>
        <v/>
      </c>
      <c r="G84" s="21" t="n">
        <f aca="false">IF(AND(E84&lt;&gt;"",F84&lt;&gt;""),(設定!$B$15*E84+設定!$B$16*F84)/(設定!$B$15+設定!$B$16),IF(E84&lt;&gt;"",E84,IF(F84&lt;&gt;"",F84,IF(G$83&lt;&gt;"",G$83,IF(G$85&lt;&gt;"",G$85,$P$45)))))</f>
        <v>0</v>
      </c>
      <c r="H84" s="17" t="str">
        <f aca="false">IF(設定!$B$4="","",IF(SUMIFS(先月データ!$Q:$Q,先月データ!$AB:$AB,"ディナー",先月データ!$A:$A,"&gt;="&amp;設定!$B$4,先月データ!$A:$A,"&lt;="&amp;EOMONTH(設定!$B$4,0),先月データ!$Z:$Z,$A84)&lt;設定!$B$27,"",SUMIFS(先月データ!$L:$L,先月データ!$AB:$AB,"ディナー",先月データ!$A:$A,"&gt;="&amp;設定!$B$4,先月データ!$A:$A,"&lt;="&amp;EOMONTH(設定!$B$4,0),先月データ!$Z:$Z,$A84)/SUMIFS(先月データ!$Q:$Q,先月データ!$AB:$AB,"ディナー",先月データ!$A:$A,"&gt;="&amp;設定!$B$4,先月データ!$A:$A,"&lt;="&amp;EOMONTH(設定!$B$4,0),先月データ!$Z:$Z,$A84)))</f>
        <v/>
      </c>
      <c r="I84" s="17" t="str">
        <f aca="false">IF(設定!$B$5="","",IF(SUMIFS(先々月データ!$Q:$Q,先々月データ!$AB:$AB,"ディナー",先々月データ!$A:$A,"&gt;="&amp;設定!$B$5,先々月データ!$A:$A,"&lt;="&amp;EOMONTH(設定!$B$5,0),先々月データ!$Z:$Z,$A84)&lt;設定!$B$27,"",SUMIFS(先々月データ!$L:$L,先々月データ!$AB:$AB,"ディナー",先々月データ!$A:$A,"&gt;="&amp;設定!$B$5,先々月データ!$A:$A,"&lt;="&amp;EOMONTH(設定!$B$5,0),先々月データ!$Z:$Z,$A84)/SUMIFS(先々月データ!$Q:$Q,先々月データ!$AB:$AB,"ディナー",先々月データ!$A:$A,"&gt;="&amp;設定!$B$5,先々月データ!$A:$A,"&lt;="&amp;EOMONTH(設定!$B$5,0),先々月データ!$Z:$Z,$A84)))</f>
        <v/>
      </c>
      <c r="J84" s="21" t="n">
        <f aca="false">IF(AND(H84&lt;&gt;"",I84&lt;&gt;""),(設定!$B$15*H84+設定!$B$16*I84)/(設定!$B$15+設定!$B$16),IF(H84&lt;&gt;"",H84,IF(I84&lt;&gt;"",I84,IF(J$83&lt;&gt;"",J$83,IF(J$85&lt;&gt;"",J$85,$P$45)))))</f>
        <v>0</v>
      </c>
      <c r="K84" s="17" t="str">
        <f aca="false">IF(設定!$B$4="","",IF(SUMIFS(先月データ!$Q:$Q,先月データ!$AB:$AB,"ナイト",先月データ!$A:$A,"&gt;="&amp;設定!$B$4,先月データ!$A:$A,"&lt;="&amp;EOMONTH(設定!$B$4,0),先月データ!$Z:$Z,$A84)&lt;設定!$B$27,"",SUMIFS(先月データ!$L:$L,先月データ!$AB:$AB,"ナイト",先月データ!$A:$A,"&gt;="&amp;設定!$B$4,先月データ!$A:$A,"&lt;="&amp;EOMONTH(設定!$B$4,0),先月データ!$Z:$Z,$A84)/SUMIFS(先月データ!$Q:$Q,先月データ!$AB:$AB,"ナイト",先月データ!$A:$A,"&gt;="&amp;設定!$B$4,先月データ!$A:$A,"&lt;="&amp;EOMONTH(設定!$B$4,0),先月データ!$Z:$Z,$A84)))</f>
        <v/>
      </c>
      <c r="L84" s="17" t="str">
        <f aca="false">IF(設定!$B$5="","",IF(SUMIFS(先々月データ!$Q:$Q,先々月データ!$AB:$AB,"ナイト",先々月データ!$A:$A,"&gt;="&amp;設定!$B$5,先々月データ!$A:$A,"&lt;="&amp;EOMONTH(設定!$B$5,0),先々月データ!$Z:$Z,$A84)&lt;設定!$B$27,"",SUMIFS(先々月データ!$L:$L,先々月データ!$AB:$AB,"ナイト",先々月データ!$A:$A,"&gt;="&amp;設定!$B$5,先々月データ!$A:$A,"&lt;="&amp;EOMONTH(設定!$B$5,0),先々月データ!$Z:$Z,$A84)/SUMIFS(先々月データ!$Q:$Q,先々月データ!$AB:$AB,"ナイト",先々月データ!$A:$A,"&gt;="&amp;設定!$B$5,先々月データ!$A:$A,"&lt;="&amp;EOMONTH(設定!$B$5,0),先々月データ!$Z:$Z,$A84)))</f>
        <v/>
      </c>
      <c r="M84" s="21" t="n">
        <f aca="false">IF(AND(K84&lt;&gt;"",L84&lt;&gt;""),(設定!$B$15*K84+設定!$B$16*L84)/(設定!$B$15+設定!$B$16),IF(K84&lt;&gt;"",K84,IF(L84&lt;&gt;"",L84,IF(M$83&lt;&gt;"",M$83,IF(M$85&lt;&gt;"",M$85,$P$45)))))</f>
        <v>0</v>
      </c>
    </row>
    <row r="85" customFormat="false" ht="15" hidden="false" customHeight="false" outlineLevel="0" collapsed="false">
      <c r="A85" s="56" t="s">
        <v>218</v>
      </c>
      <c r="B85" s="60" t="str">
        <f aca="false">IF(設定!$B$4="","",IF(SUMIFS(先月データ!$Q:$Q,先月データ!$AB:$AB,"ランチ",先月データ!$A:$A,"&gt;="&amp;設定!$B$4,先月データ!$A:$A,"&lt;="&amp;EOMONTH(設定!$B$4,0))&lt;設定!$B$27,"",SUMIFS(先月データ!$L:$L,先月データ!$AB:$AB,"ランチ",先月データ!$A:$A,"&gt;="&amp;設定!$B$4,先月データ!$A:$A,"&lt;="&amp;EOMONTH(設定!$B$4,0))/SUMIFS(先月データ!$Q:$Q,先月データ!$AB:$AB,"ランチ",先月データ!$A:$A,"&gt;="&amp;設定!$B$4,先月データ!$A:$A,"&lt;="&amp;EOMONTH(設定!$B$4,0))))</f>
        <v/>
      </c>
      <c r="C85" s="60" t="str">
        <f aca="false">IF(設定!$B$5="","",IF(SUMIFS(先々月データ!$Q:$Q,先々月データ!$AB:$AB,"ランチ",先々月データ!$A:$A,"&gt;="&amp;設定!$B$5,先々月データ!$A:$A,"&lt;="&amp;EOMONTH(設定!$B$5,0))&lt;設定!$B$27,"",SUMIFS(先々月データ!$L:$L,先々月データ!$AB:$AB,"ランチ",先々月データ!$A:$A,"&gt;="&amp;設定!$B$5,先々月データ!$A:$A,"&lt;="&amp;EOMONTH(設定!$B$5,0))/SUMIFS(先々月データ!$Q:$Q,先々月データ!$AB:$AB,"ランチ",先々月データ!$A:$A,"&gt;="&amp;設定!$B$5,先々月データ!$A:$A,"&lt;="&amp;EOMONTH(設定!$B$5,0))))</f>
        <v/>
      </c>
      <c r="D85" s="54" t="str">
        <f aca="false">IF(AND(B85&lt;&gt;"",C85&lt;&gt;""),(設定!$B$15*B85+設定!$B$16*C85)/(設定!$B$15+設定!$B$16),IF(B85&lt;&gt;"",B85,IF(C85&lt;&gt;"",C85,"")))</f>
        <v/>
      </c>
      <c r="E85" s="60" t="str">
        <f aca="false">IF(設定!$B$4="","",IF(SUMIFS(先月データ!$Q:$Q,先月データ!$AB:$AB,"アイドル",先月データ!$A:$A,"&gt;="&amp;設定!$B$4,先月データ!$A:$A,"&lt;="&amp;EOMONTH(設定!$B$4,0))&lt;設定!$B$27,"",SUMIFS(先月データ!$L:$L,先月データ!$AB:$AB,"アイドル",先月データ!$A:$A,"&gt;="&amp;設定!$B$4,先月データ!$A:$A,"&lt;="&amp;EOMONTH(設定!$B$4,0))/SUMIFS(先月データ!$Q:$Q,先月データ!$AB:$AB,"アイドル",先月データ!$A:$A,"&gt;="&amp;設定!$B$4,先月データ!$A:$A,"&lt;="&amp;EOMONTH(設定!$B$4,0))))</f>
        <v/>
      </c>
      <c r="F85" s="60" t="str">
        <f aca="false">IF(設定!$B$5="","",IF(SUMIFS(先々月データ!$Q:$Q,先々月データ!$AB:$AB,"アイドル",先々月データ!$A:$A,"&gt;="&amp;設定!$B$5,先々月データ!$A:$A,"&lt;="&amp;EOMONTH(設定!$B$5,0))&lt;設定!$B$27,"",SUMIFS(先々月データ!$L:$L,先々月データ!$AB:$AB,"アイドル",先々月データ!$A:$A,"&gt;="&amp;設定!$B$5,先々月データ!$A:$A,"&lt;="&amp;EOMONTH(設定!$B$5,0))/SUMIFS(先々月データ!$Q:$Q,先々月データ!$AB:$AB,"アイドル",先々月データ!$A:$A,"&gt;="&amp;設定!$B$5,先々月データ!$A:$A,"&lt;="&amp;EOMONTH(設定!$B$5,0))))</f>
        <v/>
      </c>
      <c r="G85" s="54" t="str">
        <f aca="false">IF(AND(E85&lt;&gt;"",F85&lt;&gt;""),(設定!$B$15*E85+設定!$B$16*F85)/(設定!$B$15+設定!$B$16),IF(E85&lt;&gt;"",E85,IF(F85&lt;&gt;"",F85,"")))</f>
        <v/>
      </c>
      <c r="H85" s="60" t="str">
        <f aca="false">IF(設定!$B$4="","",IF(SUMIFS(先月データ!$Q:$Q,先月データ!$AB:$AB,"ディナー",先月データ!$A:$A,"&gt;="&amp;設定!$B$4,先月データ!$A:$A,"&lt;="&amp;EOMONTH(設定!$B$4,0))&lt;設定!$B$27,"",SUMIFS(先月データ!$L:$L,先月データ!$AB:$AB,"ディナー",先月データ!$A:$A,"&gt;="&amp;設定!$B$4,先月データ!$A:$A,"&lt;="&amp;EOMONTH(設定!$B$4,0))/SUMIFS(先月データ!$Q:$Q,先月データ!$AB:$AB,"ディナー",先月データ!$A:$A,"&gt;="&amp;設定!$B$4,先月データ!$A:$A,"&lt;="&amp;EOMONTH(設定!$B$4,0))))</f>
        <v/>
      </c>
      <c r="I85" s="60" t="str">
        <f aca="false">IF(設定!$B$5="","",IF(SUMIFS(先々月データ!$Q:$Q,先々月データ!$AB:$AB,"ディナー",先々月データ!$A:$A,"&gt;="&amp;設定!$B$5,先々月データ!$A:$A,"&lt;="&amp;EOMONTH(設定!$B$5,0))&lt;設定!$B$27,"",SUMIFS(先々月データ!$L:$L,先々月データ!$AB:$AB,"ディナー",先々月データ!$A:$A,"&gt;="&amp;設定!$B$5,先々月データ!$A:$A,"&lt;="&amp;EOMONTH(設定!$B$5,0))/SUMIFS(先々月データ!$Q:$Q,先々月データ!$AB:$AB,"ディナー",先々月データ!$A:$A,"&gt;="&amp;設定!$B$5,先々月データ!$A:$A,"&lt;="&amp;EOMONTH(設定!$B$5,0))))</f>
        <v/>
      </c>
      <c r="J85" s="54" t="str">
        <f aca="false">IF(AND(H85&lt;&gt;"",I85&lt;&gt;""),(設定!$B$15*H85+設定!$B$16*I85)/(設定!$B$15+設定!$B$16),IF(H85&lt;&gt;"",H85,IF(I85&lt;&gt;"",I85,"")))</f>
        <v/>
      </c>
      <c r="K85" s="60" t="str">
        <f aca="false">IF(設定!$B$4="","",IF(SUMIFS(先月データ!$Q:$Q,先月データ!$AB:$AB,"ナイト",先月データ!$A:$A,"&gt;="&amp;設定!$B$4,先月データ!$A:$A,"&lt;="&amp;EOMONTH(設定!$B$4,0))&lt;設定!$B$27,"",SUMIFS(先月データ!$L:$L,先月データ!$AB:$AB,"ナイト",先月データ!$A:$A,"&gt;="&amp;設定!$B$4,先月データ!$A:$A,"&lt;="&amp;EOMONTH(設定!$B$4,0))/SUMIFS(先月データ!$Q:$Q,先月データ!$AB:$AB,"ナイト",先月データ!$A:$A,"&gt;="&amp;設定!$B$4,先月データ!$A:$A,"&lt;="&amp;EOMONTH(設定!$B$4,0))))</f>
        <v/>
      </c>
      <c r="L85" s="60" t="str">
        <f aca="false">IF(設定!$B$5="","",IF(SUMIFS(先々月データ!$Q:$Q,先々月データ!$AB:$AB,"ナイト",先々月データ!$A:$A,"&gt;="&amp;設定!$B$5,先々月データ!$A:$A,"&lt;="&amp;EOMONTH(設定!$B$5,0))&lt;設定!$B$27,"",SUMIFS(先々月データ!$L:$L,先々月データ!$AB:$AB,"ナイト",先々月データ!$A:$A,"&gt;="&amp;設定!$B$5,先々月データ!$A:$A,"&lt;="&amp;EOMONTH(設定!$B$5,0))/SUMIFS(先々月データ!$Q:$Q,先々月データ!$AB:$AB,"ナイト",先々月データ!$A:$A,"&gt;="&amp;設定!$B$5,先々月データ!$A:$A,"&lt;="&amp;EOMONTH(設定!$B$5,0))))</f>
        <v/>
      </c>
      <c r="M85" s="54" t="str">
        <f aca="false">IF(AND(K85&lt;&gt;"",L85&lt;&gt;""),(設定!$B$15*K85+設定!$B$16*L85)/(設定!$B$15+設定!$B$16),IF(K85&lt;&gt;"",K85,IF(L85&lt;&gt;"",L85,"")))</f>
        <v/>
      </c>
    </row>
  </sheetData>
  <mergeCells count="4">
    <mergeCell ref="B75:D75"/>
    <mergeCell ref="E75:G75"/>
    <mergeCell ref="H75:J75"/>
    <mergeCell ref="K75:M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2026-10-10T06:29:20Z</dcterms:created>
  <dc:creator>openpyxl</dc:creator>
  <dc:description/>
  <dc:language>en-US</dc:language>
  <cp:lastModifiedBy/>
  <dcterms:modified xsi:type="dcterms:W3CDTF">2026-10-10T06:29:22Z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
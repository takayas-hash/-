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使い方" sheetId="1" state="visible" r:id="rId3"/>
    <sheet name="集計" sheetId="2" state="visible" r:id="rId4"/>
    <sheet name="東日本第一ブロック" sheetId="3" state="visible" r:id="rId5"/>
    <sheet name="東日本第二ブロック" sheetId="4" state="visible" r:id="rId6"/>
    <sheet name="西日本第一ブロック" sheetId="5" state="visible" r:id="rId7"/>
    <sheet name="西日本第二ブロック" sheetId="6" state="visible" r:id="rId8"/>
    <sheet name="店舗別明細" sheetId="7" state="visible" r:id="rId9"/>
  </sheets>
  <definedNames>
    <definedName function="false" hidden="true" localSheetId="6" name="_xlnm._FilterDatabase" vbProcedure="false">店舗別明細!$A$4:$L$134</definedName>
    <definedName function="false" hidden="false" localSheetId="2" name="_xlnm.Print_Titles" vbProcedure="false">東日本第一ブロック!$4:$4</definedName>
    <definedName function="false" hidden="true" localSheetId="2" name="_xlnm._FilterDatabase" vbProcedure="false">東日本第一ブロック!$A$4:$N$11</definedName>
    <definedName function="false" hidden="false" localSheetId="3" name="_xlnm.Print_Titles" vbProcedure="false">東日本第二ブロック!$4:$4</definedName>
    <definedName function="false" hidden="true" localSheetId="3" name="_xlnm._FilterDatabase" vbProcedure="false">東日本第二ブロック!$A$4:$N$8</definedName>
    <definedName function="false" hidden="false" localSheetId="4" name="_xlnm.Print_Titles" vbProcedure="false">西日本第一ブロック!$4:$4</definedName>
    <definedName function="false" hidden="true" localSheetId="4" name="_xlnm._FilterDatabase" vbProcedure="false">西日本第一ブロック!$A$4:$N$12</definedName>
    <definedName function="false" hidden="false" localSheetId="5" name="_xlnm.Print_Titles" vbProcedure="false">西日本第二ブロック!$4:$4</definedName>
    <definedName function="false" hidden="true" localSheetId="5" name="_xlnm._FilterDatabase" vbProcedure="false">西日本第二ブロック!$A$4:$N$13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<sst xmlns="http://schemas.openxmlformats.org/spreadsheetml/2006/main" count="830" uniqueCount="276">
  <si>
    <r>
      <rPr>
        <b val="true"/>
        <sz val="14"/>
        <color rgb="FF1F3864"/>
        <rFont val="WenQuanYi Zen Hei"/>
        <family val="2"/>
      </rPr>
      <t xml:space="preserve">営業時間方針 </t>
    </r>
    <r>
      <rPr>
        <b val="true"/>
        <sz val="14"/>
        <color rgb="FF1F3864"/>
        <rFont val="Meiryo UI"/>
        <family val="0"/>
        <charset val="1"/>
      </rPr>
      <t xml:space="preserve">FC</t>
    </r>
    <r>
      <rPr>
        <b val="true"/>
        <sz val="14"/>
        <color rgb="FF1F3864"/>
        <rFont val="WenQuanYi Zen Hei"/>
        <family val="2"/>
      </rPr>
      <t xml:space="preserve">企業ヒアリングシート</t>
    </r>
  </si>
  <si>
    <r>
      <rPr>
        <sz val="9"/>
        <color rgb="FF595959"/>
        <rFont val="WenQuanYi Zen Hei"/>
        <family val="2"/>
      </rPr>
      <t xml:space="preserve">出典：焼肉事業部エリア編成（</t>
    </r>
    <r>
      <rPr>
        <sz val="9"/>
        <color rgb="FF595959"/>
        <rFont val="Meiryo UI"/>
        <family val="0"/>
        <charset val="1"/>
      </rPr>
      <t xml:space="preserve">2026.07.01</t>
    </r>
    <r>
      <rPr>
        <sz val="9"/>
        <color rgb="FF595959"/>
        <rFont val="WenQuanYi Zen Hei"/>
        <family val="2"/>
      </rPr>
      <t xml:space="preserve">）／</t>
    </r>
    <r>
      <rPr>
        <sz val="9"/>
        <color rgb="FF595959"/>
        <rFont val="Meiryo UI"/>
        <family val="0"/>
        <charset val="1"/>
      </rPr>
      <t xml:space="preserve">FC</t>
    </r>
    <r>
      <rPr>
        <sz val="9"/>
        <color rgb="FF595959"/>
        <rFont val="WenQuanYi Zen Hei"/>
        <family val="2"/>
      </rPr>
      <t xml:space="preserve">店舗一覧</t>
    </r>
    <r>
      <rPr>
        <sz val="9"/>
        <color rgb="FF595959"/>
        <rFont val="Meiryo UI"/>
        <family val="0"/>
        <charset val="1"/>
      </rPr>
      <t xml:space="preserve">Excel E</t>
    </r>
    <r>
      <rPr>
        <sz val="9"/>
        <color rgb="FF595959"/>
        <rFont val="WenQuanYi Zen Hei"/>
        <family val="2"/>
      </rPr>
      <t xml:space="preserve">列（企業）。作成日 </t>
    </r>
    <r>
      <rPr>
        <sz val="9"/>
        <color rgb="FF595959"/>
        <rFont val="Meiryo UI"/>
        <family val="0"/>
        <charset val="1"/>
      </rPr>
      <t xml:space="preserve">2026-10-06</t>
    </r>
  </si>
  <si>
    <t xml:space="preserve">ヒアリング内容</t>
  </si>
  <si>
    <r>
      <rPr>
        <b val="true"/>
        <sz val="10"/>
        <rFont val="Meiryo UI"/>
        <family val="0"/>
        <charset val="1"/>
      </rPr>
      <t xml:space="preserve">A</t>
    </r>
    <r>
      <rPr>
        <b val="true"/>
        <sz val="10"/>
        <rFont val="WenQuanYi Zen Hei"/>
        <family val="2"/>
      </rPr>
      <t xml:space="preserve">：</t>
    </r>
    <r>
      <rPr>
        <b val="true"/>
        <sz val="10"/>
        <rFont val="Meiryo UI"/>
        <family val="0"/>
        <charset val="1"/>
      </rPr>
      <t xml:space="preserve">23</t>
    </r>
    <r>
      <rPr>
        <b val="true"/>
        <sz val="10"/>
        <rFont val="WenQuanYi Zen Hei"/>
        <family val="2"/>
      </rPr>
      <t xml:space="preserve">時完全閉店</t>
    </r>
  </si>
  <si>
    <r>
      <rPr>
        <sz val="10"/>
        <rFont val="Meiryo UI"/>
        <family val="0"/>
        <charset val="1"/>
      </rPr>
      <t xml:space="preserve">23:00 </t>
    </r>
    <r>
      <rPr>
        <sz val="10"/>
        <rFont val="WenQuanYi Zen Hei"/>
        <family val="2"/>
      </rPr>
      <t xml:space="preserve">にお客様退店・閉店を完了する運用</t>
    </r>
  </si>
  <si>
    <r>
      <rPr>
        <b val="true"/>
        <sz val="10"/>
        <rFont val="Meiryo UI"/>
        <family val="0"/>
        <charset val="1"/>
      </rPr>
      <t xml:space="preserve">B</t>
    </r>
    <r>
      <rPr>
        <b val="true"/>
        <sz val="10"/>
        <rFont val="WenQuanYi Zen Hei"/>
        <family val="2"/>
      </rPr>
      <t xml:space="preserve">：最終入店から</t>
    </r>
    <r>
      <rPr>
        <b val="true"/>
        <sz val="10"/>
        <rFont val="Meiryo UI"/>
        <family val="0"/>
        <charset val="1"/>
      </rPr>
      <t xml:space="preserve">100</t>
    </r>
    <r>
      <rPr>
        <b val="true"/>
        <sz val="10"/>
        <rFont val="WenQuanYi Zen Hei"/>
        <family val="2"/>
      </rPr>
      <t xml:space="preserve">分確保</t>
    </r>
  </si>
  <si>
    <r>
      <rPr>
        <sz val="10"/>
        <rFont val="WenQuanYi Zen Hei"/>
        <family val="2"/>
      </rPr>
      <t xml:space="preserve">最終入店のお客様に</t>
    </r>
    <r>
      <rPr>
        <sz val="10"/>
        <rFont val="Meiryo UI"/>
        <family val="0"/>
        <charset val="1"/>
      </rPr>
      <t xml:space="preserve">100</t>
    </r>
    <r>
      <rPr>
        <sz val="10"/>
        <rFont val="WenQuanYi Zen Hei"/>
        <family val="2"/>
      </rPr>
      <t xml:space="preserve">分間のお食事時間を確保し、その後閉店する運用（例：最終入店 </t>
    </r>
    <r>
      <rPr>
        <sz val="10"/>
        <rFont val="Meiryo UI"/>
        <family val="0"/>
        <charset val="1"/>
      </rPr>
      <t xml:space="preserve">21:20 → </t>
    </r>
    <r>
      <rPr>
        <sz val="10"/>
        <rFont val="WenQuanYi Zen Hei"/>
        <family val="2"/>
      </rPr>
      <t xml:space="preserve">閉店 </t>
    </r>
    <r>
      <rPr>
        <sz val="10"/>
        <rFont val="Meiryo UI"/>
        <family val="0"/>
        <charset val="1"/>
      </rPr>
      <t xml:space="preserve">23:00</t>
    </r>
    <r>
      <rPr>
        <sz val="10"/>
        <rFont val="WenQuanYi Zen Hei"/>
        <family val="2"/>
      </rPr>
      <t xml:space="preserve">）</t>
    </r>
  </si>
  <si>
    <t xml:space="preserve">シート構成</t>
  </si>
  <si>
    <t xml:space="preserve">集計</t>
  </si>
  <si>
    <r>
      <rPr>
        <sz val="10"/>
        <rFont val="WenQuanYi Zen Hei"/>
        <family val="2"/>
      </rPr>
      <t xml:space="preserve">ブロック・</t>
    </r>
    <r>
      <rPr>
        <sz val="10"/>
        <rFont val="Meiryo UI"/>
        <family val="0"/>
        <charset val="1"/>
      </rPr>
      <t xml:space="preserve">AM</t>
    </r>
    <r>
      <rPr>
        <sz val="10"/>
        <rFont val="WenQuanYi Zen Hei"/>
        <family val="2"/>
      </rPr>
      <t xml:space="preserve">別の回答状況（自動集計。入力不要）</t>
    </r>
  </si>
  <si>
    <t xml:space="preserve">各ブロックシート</t>
  </si>
  <si>
    <r>
      <rPr>
        <sz val="10"/>
        <rFont val="Meiryo UI"/>
        <family val="0"/>
        <charset val="1"/>
      </rPr>
      <t xml:space="preserve">AM</t>
    </r>
    <r>
      <rPr>
        <sz val="10"/>
        <rFont val="WenQuanYi Zen Hei"/>
        <family val="2"/>
      </rPr>
      <t xml:space="preserve">ごと・企業ごとに</t>
    </r>
    <r>
      <rPr>
        <sz val="10"/>
        <rFont val="Meiryo UI"/>
        <family val="0"/>
        <charset val="1"/>
      </rPr>
      <t xml:space="preserve">1</t>
    </r>
    <r>
      <rPr>
        <sz val="10"/>
        <rFont val="WenQuanYi Zen Hei"/>
        <family val="2"/>
      </rPr>
      <t xml:space="preserve">行。黄色セルにヒアリング結果を入力</t>
    </r>
  </si>
  <si>
    <t xml:space="preserve">店舗別明細</t>
  </si>
  <si>
    <r>
      <rPr>
        <sz val="10"/>
        <rFont val="Meiryo UI"/>
        <family val="0"/>
        <charset val="1"/>
      </rPr>
      <t xml:space="preserve">FC</t>
    </r>
    <r>
      <rPr>
        <sz val="10"/>
        <rFont val="WenQuanYi Zen Hei"/>
        <family val="2"/>
      </rPr>
      <t xml:space="preserve">全店舗の一覧。企業回答が自動反映。店舗ごとに例外がある場合のみ黄色セルに入力</t>
    </r>
  </si>
  <si>
    <t xml:space="preserve">入力ルール</t>
  </si>
  <si>
    <t xml:space="preserve">黄色セル</t>
  </si>
  <si>
    <t xml:space="preserve">入力欄（それ以外は数式・マスタなので編集不要）</t>
  </si>
  <si>
    <t xml:space="preserve">回答</t>
  </si>
  <si>
    <r>
      <rPr>
        <sz val="10"/>
        <rFont val="WenQuanYi Zen Hei"/>
        <family val="2"/>
      </rPr>
      <t xml:space="preserve">プルダウンから選択：</t>
    </r>
    <r>
      <rPr>
        <sz val="10"/>
        <rFont val="Meiryo UI"/>
        <family val="0"/>
        <charset val="1"/>
      </rPr>
      <t xml:space="preserve">A</t>
    </r>
    <r>
      <rPr>
        <sz val="10"/>
        <rFont val="WenQuanYi Zen Hei"/>
        <family val="2"/>
      </rPr>
      <t xml:space="preserve">：</t>
    </r>
    <r>
      <rPr>
        <sz val="10"/>
        <rFont val="Meiryo UI"/>
        <family val="0"/>
        <charset val="1"/>
      </rPr>
      <t xml:space="preserve">23</t>
    </r>
    <r>
      <rPr>
        <sz val="10"/>
        <rFont val="WenQuanYi Zen Hei"/>
        <family val="2"/>
      </rPr>
      <t xml:space="preserve">時完全閉店 </t>
    </r>
    <r>
      <rPr>
        <sz val="10"/>
        <rFont val="Meiryo UI"/>
        <family val="0"/>
        <charset val="1"/>
      </rPr>
      <t xml:space="preserve">/ B</t>
    </r>
    <r>
      <rPr>
        <sz val="10"/>
        <rFont val="WenQuanYi Zen Hei"/>
        <family val="2"/>
      </rPr>
      <t xml:space="preserve">：最終入店から</t>
    </r>
    <r>
      <rPr>
        <sz val="10"/>
        <rFont val="Meiryo UI"/>
        <family val="0"/>
        <charset val="1"/>
      </rPr>
      <t xml:space="preserve">100</t>
    </r>
    <r>
      <rPr>
        <sz val="10"/>
        <rFont val="WenQuanYi Zen Hei"/>
        <family val="2"/>
      </rPr>
      <t xml:space="preserve">分確保 </t>
    </r>
    <r>
      <rPr>
        <sz val="10"/>
        <rFont val="Meiryo UI"/>
        <family val="0"/>
        <charset val="1"/>
      </rPr>
      <t xml:space="preserve">/ </t>
    </r>
    <r>
      <rPr>
        <sz val="10"/>
        <rFont val="WenQuanYi Zen Hei"/>
        <family val="2"/>
      </rPr>
      <t xml:space="preserve">店舗により異なる </t>
    </r>
    <r>
      <rPr>
        <sz val="10"/>
        <rFont val="Meiryo UI"/>
        <family val="0"/>
        <charset val="1"/>
      </rPr>
      <t xml:space="preserve">/ </t>
    </r>
    <r>
      <rPr>
        <sz val="10"/>
        <rFont val="WenQuanYi Zen Hei"/>
        <family val="2"/>
      </rPr>
      <t xml:space="preserve">検討中</t>
    </r>
  </si>
  <si>
    <t xml:space="preserve">店舗により異なる</t>
  </si>
  <si>
    <t xml:space="preserve">企業回答で選んだ場合は「店舗別明細」で各店舗の回答を入力</t>
  </si>
  <si>
    <t xml:space="preserve">入力例</t>
  </si>
  <si>
    <r>
      <rPr>
        <sz val="10"/>
        <rFont val="Meiryo UI"/>
        <family val="0"/>
        <charset val="1"/>
      </rPr>
      <t xml:space="preserve">2026/10/15 | </t>
    </r>
    <r>
      <rPr>
        <sz val="10"/>
        <rFont val="WenQuanYi Zen Hei"/>
        <family val="2"/>
      </rPr>
      <t xml:space="preserve">代表取締役 山田様 </t>
    </r>
    <r>
      <rPr>
        <sz val="10"/>
        <rFont val="Meiryo UI"/>
        <family val="0"/>
        <charset val="1"/>
      </rPr>
      <t xml:space="preserve">| B</t>
    </r>
    <r>
      <rPr>
        <sz val="10"/>
        <rFont val="WenQuanYi Zen Hei"/>
        <family val="2"/>
      </rPr>
      <t xml:space="preserve">：最終入店から</t>
    </r>
    <r>
      <rPr>
        <sz val="10"/>
        <rFont val="Meiryo UI"/>
        <family val="0"/>
        <charset val="1"/>
      </rPr>
      <t xml:space="preserve">100</t>
    </r>
    <r>
      <rPr>
        <sz val="10"/>
        <rFont val="WenQuanYi Zen Hei"/>
        <family val="2"/>
      </rPr>
      <t xml:space="preserve">分確保 </t>
    </r>
    <r>
      <rPr>
        <sz val="10"/>
        <rFont val="Meiryo UI"/>
        <family val="0"/>
        <charset val="1"/>
      </rPr>
      <t xml:space="preserve">| </t>
    </r>
    <r>
      <rPr>
        <sz val="10"/>
        <rFont val="WenQuanYi Zen Hei"/>
        <family val="2"/>
      </rPr>
      <t xml:space="preserve">遅い時間帯の売上を維持したい </t>
    </r>
    <r>
      <rPr>
        <sz val="10"/>
        <rFont val="Meiryo UI"/>
        <family val="0"/>
        <charset val="1"/>
      </rPr>
      <t xml:space="preserve">| 21</t>
    </r>
    <r>
      <rPr>
        <sz val="10"/>
        <rFont val="WenQuanYi Zen Hei"/>
        <family val="2"/>
      </rPr>
      <t xml:space="preserve">時台の人員確保 </t>
    </r>
    <r>
      <rPr>
        <sz val="10"/>
        <rFont val="Meiryo UI"/>
        <family val="0"/>
        <charset val="1"/>
      </rPr>
      <t xml:space="preserve">| 2026</t>
    </r>
    <r>
      <rPr>
        <sz val="10"/>
        <rFont val="WenQuanYi Zen Hei"/>
        <family val="2"/>
      </rPr>
      <t xml:space="preserve">年</t>
    </r>
    <r>
      <rPr>
        <sz val="10"/>
        <rFont val="Meiryo UI"/>
        <family val="0"/>
        <charset val="1"/>
      </rPr>
      <t xml:space="preserve">12</t>
    </r>
    <r>
      <rPr>
        <sz val="10"/>
        <rFont val="WenQuanYi Zen Hei"/>
        <family val="2"/>
      </rPr>
      <t xml:space="preserve">月〜</t>
    </r>
  </si>
  <si>
    <t xml:space="preserve">備考</t>
  </si>
  <si>
    <r>
      <rPr>
        <sz val="10"/>
        <rFont val="WenQuanYi Zen Hei"/>
        <family val="2"/>
      </rPr>
      <t xml:space="preserve">特急レーンブロック（小竹・フォン・板尾・梅木エリア）は</t>
    </r>
    <r>
      <rPr>
        <sz val="10"/>
        <rFont val="Meiryo UI"/>
        <family val="0"/>
        <charset val="1"/>
      </rPr>
      <t xml:space="preserve">FC</t>
    </r>
    <r>
      <rPr>
        <sz val="10"/>
        <rFont val="WenQuanYi Zen Hei"/>
        <family val="2"/>
      </rPr>
      <t xml:space="preserve">店舗がないため対象外</t>
    </r>
  </si>
  <si>
    <r>
      <rPr>
        <sz val="10"/>
        <rFont val="WenQuanYi Zen Hei"/>
        <family val="2"/>
      </rPr>
      <t xml:space="preserve">同一企業を複数</t>
    </r>
    <r>
      <rPr>
        <sz val="10"/>
        <rFont val="Meiryo UI"/>
        <family val="0"/>
        <charset val="1"/>
      </rPr>
      <t xml:space="preserve">AM</t>
    </r>
    <r>
      <rPr>
        <sz val="10"/>
        <rFont val="WenQuanYi Zen Hei"/>
        <family val="2"/>
      </rPr>
      <t xml:space="preserve">が担当しているケース（㈱本久：片寄・佐藤</t>
    </r>
    <r>
      <rPr>
        <sz val="10"/>
        <rFont val="Meiryo UI"/>
        <family val="0"/>
        <charset val="1"/>
      </rPr>
      <t xml:space="preserve">(</t>
    </r>
    <r>
      <rPr>
        <sz val="10"/>
        <rFont val="WenQuanYi Zen Hei"/>
        <family val="2"/>
      </rPr>
      <t xml:space="preserve">恵</t>
    </r>
    <r>
      <rPr>
        <sz val="10"/>
        <rFont val="Meiryo UI"/>
        <family val="0"/>
        <charset val="1"/>
      </rPr>
      <t xml:space="preserve">)</t>
    </r>
    <r>
      <rPr>
        <sz val="10"/>
        <rFont val="WenQuanYi Zen Hei"/>
        <family val="2"/>
      </rPr>
      <t xml:space="preserve">・松山／㈱桜家：岡村・谷本）は、</t>
    </r>
    <r>
      <rPr>
        <sz val="10"/>
        <rFont val="Meiryo UI"/>
        <family val="0"/>
        <charset val="1"/>
      </rPr>
      <t xml:space="preserve">AM</t>
    </r>
    <r>
      <rPr>
        <sz val="10"/>
        <rFont val="WenQuanYi Zen Hei"/>
        <family val="2"/>
      </rPr>
      <t xml:space="preserve">間で回答をすり合わせてください</t>
    </r>
  </si>
  <si>
    <t xml:space="preserve">ヒアリング進捗・回答集計</t>
  </si>
  <si>
    <t xml:space="preserve">全セル自動計算（入力不要）</t>
  </si>
  <si>
    <t xml:space="preserve">ブロック</t>
  </si>
  <si>
    <t xml:space="preserve">AM</t>
  </si>
  <si>
    <t xml:space="preserve">対象
企業数</t>
  </si>
  <si>
    <t xml:space="preserve">回答済</t>
  </si>
  <si>
    <t xml:space="preserve">未回答</t>
  </si>
  <si>
    <t xml:space="preserve">進捗率</t>
  </si>
  <si>
    <r>
      <rPr>
        <b val="true"/>
        <sz val="10"/>
        <color rgb="FFFFFFFF"/>
        <rFont val="Meiryo UI"/>
        <family val="0"/>
        <charset val="1"/>
      </rPr>
      <t xml:space="preserve">A</t>
    </r>
    <r>
      <rPr>
        <b val="true"/>
        <sz val="10"/>
        <color rgb="FFFFFFFF"/>
        <rFont val="WenQuanYi Zen Hei"/>
        <family val="2"/>
      </rPr>
      <t xml:space="preserve">：
</t>
    </r>
    <r>
      <rPr>
        <b val="true"/>
        <sz val="10"/>
        <color rgb="FFFFFFFF"/>
        <rFont val="Meiryo UI"/>
        <family val="0"/>
        <charset val="1"/>
      </rPr>
      <t xml:space="preserve">23</t>
    </r>
    <r>
      <rPr>
        <b val="true"/>
        <sz val="10"/>
        <color rgb="FFFFFFFF"/>
        <rFont val="WenQuanYi Zen Hei"/>
        <family val="2"/>
      </rPr>
      <t xml:space="preserve">時完全閉店</t>
    </r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</si>
  <si>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：
最終入店から</t>
    </r>
    <r>
      <rPr>
        <b val="true"/>
        <sz val="10"/>
        <color rgb="FFFFFFFF"/>
        <rFont val="Meiryo UI"/>
        <family val="0"/>
        <charset val="1"/>
      </rPr>
      <t xml:space="preserve">100</t>
    </r>
    <r>
      <rPr>
        <b val="true"/>
        <sz val="10"/>
        <color rgb="FFFFFFFF"/>
        <rFont val="WenQuanYi Zen Hei"/>
        <family val="2"/>
      </rPr>
      <t xml:space="preserve">分確保</t>
    </r>
  </si>
  <si>
    <t xml:space="preserve">検討中</t>
  </si>
  <si>
    <t xml:space="preserve">対象
店舗数</t>
  </si>
  <si>
    <r>
      <rPr>
        <b val="true"/>
        <sz val="10"/>
        <color rgb="FFFFFFFF"/>
        <rFont val="WenQuanYi Zen Hei"/>
        <family val="2"/>
      </rPr>
      <t xml:space="preserve">店舗方針</t>
    </r>
    <r>
      <rPr>
        <b val="true"/>
        <sz val="10"/>
        <color rgb="FFFFFFFF"/>
        <rFont val="Meiryo UI"/>
        <family val="0"/>
        <charset val="1"/>
      </rPr>
      <t xml:space="preserve">A</t>
    </r>
  </si>
  <si>
    <r>
      <rPr>
        <b val="true"/>
        <sz val="10"/>
        <color rgb="FFFFFFFF"/>
        <rFont val="WenQuanYi Zen Hei"/>
        <family val="2"/>
      </rPr>
      <t xml:space="preserve">店舗方針</t>
    </r>
    <r>
      <rPr>
        <b val="true"/>
        <sz val="10"/>
        <color rgb="FFFFFFFF"/>
        <rFont val="Meiryo UI"/>
        <family val="0"/>
        <charset val="1"/>
      </rPr>
      <t xml:space="preserve">B</t>
    </r>
  </si>
  <si>
    <t xml:space="preserve">東日本 第一ブロック</t>
  </si>
  <si>
    <t xml:space="preserve">星 雄二</t>
  </si>
  <si>
    <t xml:space="preserve">佐々木 潤</t>
  </si>
  <si>
    <t xml:space="preserve">平田 裕治</t>
  </si>
  <si>
    <t xml:space="preserve">西山 幸大</t>
  </si>
  <si>
    <t xml:space="preserve">東日本 第一ブロック 計</t>
  </si>
  <si>
    <r>
      <rPr>
        <b val="true"/>
        <sz val="10"/>
        <rFont val="Meiryo UI"/>
        <family val="0"/>
        <charset val="1"/>
      </rPr>
      <t xml:space="preserve">BL</t>
    </r>
    <r>
      <rPr>
        <b val="true"/>
        <sz val="10"/>
        <rFont val="WenQuanYi Zen Hei"/>
        <family val="2"/>
      </rPr>
      <t xml:space="preserve">：中村 卓登</t>
    </r>
  </si>
  <si>
    <t xml:space="preserve">東日本 第二ブロック</t>
  </si>
  <si>
    <t xml:space="preserve">片寄 蒼</t>
  </si>
  <si>
    <t xml:space="preserve">永田 翔馬</t>
  </si>
  <si>
    <t xml:space="preserve">酒井 胤樹</t>
  </si>
  <si>
    <t xml:space="preserve">佐藤 恵介</t>
  </si>
  <si>
    <t xml:space="preserve">東日本 第二ブロック 計</t>
  </si>
  <si>
    <r>
      <rPr>
        <b val="true"/>
        <sz val="10"/>
        <rFont val="Meiryo UI"/>
        <family val="0"/>
        <charset val="1"/>
      </rPr>
      <t xml:space="preserve">BL</t>
    </r>
    <r>
      <rPr>
        <b val="true"/>
        <sz val="10"/>
        <rFont val="WenQuanYi Zen Hei"/>
        <family val="2"/>
      </rPr>
      <t xml:space="preserve">：渡辺 塁登</t>
    </r>
  </si>
  <si>
    <t xml:space="preserve">西日本 第一ブロック</t>
  </si>
  <si>
    <t xml:space="preserve">松山 哲弘</t>
  </si>
  <si>
    <t xml:space="preserve">金 ヨンギョン</t>
  </si>
  <si>
    <t xml:space="preserve">名越 康祐</t>
  </si>
  <si>
    <t xml:space="preserve">髙谷 祥平</t>
  </si>
  <si>
    <t xml:space="preserve">西日本 第一ブロック 計</t>
  </si>
  <si>
    <r>
      <rPr>
        <b val="true"/>
        <sz val="10"/>
        <rFont val="Meiryo UI"/>
        <family val="0"/>
        <charset val="1"/>
      </rPr>
      <t xml:space="preserve">BL</t>
    </r>
    <r>
      <rPr>
        <b val="true"/>
        <sz val="10"/>
        <rFont val="WenQuanYi Zen Hei"/>
        <family val="2"/>
      </rPr>
      <t xml:space="preserve">：早川 元気</t>
    </r>
  </si>
  <si>
    <t xml:space="preserve">西日本 第二ブロック</t>
  </si>
  <si>
    <t xml:space="preserve">上野 正裕</t>
  </si>
  <si>
    <t xml:space="preserve">武田 聖志</t>
  </si>
  <si>
    <t xml:space="preserve">古川 智彦</t>
  </si>
  <si>
    <t xml:space="preserve">岡村 愛理</t>
  </si>
  <si>
    <t xml:space="preserve">谷本 浩之</t>
  </si>
  <si>
    <t xml:space="preserve">陳 学</t>
  </si>
  <si>
    <t xml:space="preserve">西日本 第二ブロック 計</t>
  </si>
  <si>
    <r>
      <rPr>
        <b val="true"/>
        <sz val="10"/>
        <rFont val="Meiryo UI"/>
        <family val="0"/>
        <charset val="1"/>
      </rPr>
      <t xml:space="preserve">BL</t>
    </r>
    <r>
      <rPr>
        <b val="true"/>
        <sz val="10"/>
        <rFont val="WenQuanYi Zen Hei"/>
        <family val="2"/>
      </rPr>
      <t xml:space="preserve">：吉田 千秋</t>
    </r>
  </si>
  <si>
    <t xml:space="preserve">総計</t>
  </si>
  <si>
    <r>
      <rPr>
        <sz val="9"/>
        <color rgb="FF595959"/>
        <rFont val="WenQuanYi Zen Hei"/>
        <family val="2"/>
      </rPr>
      <t xml:space="preserve">※店舗方針</t>
    </r>
    <r>
      <rPr>
        <sz val="9"/>
        <color rgb="FF595959"/>
        <rFont val="Meiryo UI"/>
        <family val="0"/>
        <charset val="1"/>
      </rPr>
      <t xml:space="preserve">A/B</t>
    </r>
    <r>
      <rPr>
        <sz val="9"/>
        <color rgb="FF595959"/>
        <rFont val="WenQuanYi Zen Hei"/>
        <family val="2"/>
      </rPr>
      <t xml:space="preserve">は「店舗別明細」の最終方針（企業回答＋店舗個別回答）で集計</t>
    </r>
  </si>
  <si>
    <t xml:space="preserve">東日本 第一ブロック　ブロック長：中村 卓登</t>
  </si>
  <si>
    <t xml:space="preserve">黄色セルにヒアリング結果を入力してください。回答はプルダウンから選択。</t>
  </si>
  <si>
    <t xml:space="preserve">No</t>
  </si>
  <si>
    <t xml:space="preserve">ブロック長</t>
  </si>
  <si>
    <t xml:space="preserve">企業名</t>
  </si>
  <si>
    <t xml:space="preserve">対象店舗</t>
  </si>
  <si>
    <t xml:space="preserve">ヒアリング
実施日</t>
  </si>
  <si>
    <t xml:space="preserve">ご回答者
（役職・氏名）</t>
  </si>
  <si>
    <t xml:space="preserve">選択理由</t>
  </si>
  <si>
    <t xml:space="preserve">懸念点・
本部への要望</t>
  </si>
  <si>
    <t xml:space="preserve">実施
希望時期</t>
  </si>
  <si>
    <t xml:space="preserve">key</t>
  </si>
  <si>
    <t xml:space="preserve">中村 卓登</t>
  </si>
  <si>
    <t xml:space="preserve">㈱グローバル・ノースジャパン</t>
  </si>
  <si>
    <t xml:space="preserve">函館桔梗、秋田広面、青森観光通り、弘前</t>
  </si>
  <si>
    <t xml:space="preserve">㈱北星</t>
  </si>
  <si>
    <t xml:space="preserve">千歳</t>
  </si>
  <si>
    <r>
      <rPr>
        <sz val="10"/>
        <rFont val="WenQuanYi Zen Hei"/>
        <family val="2"/>
      </rPr>
      <t xml:space="preserve">㈱</t>
    </r>
    <r>
      <rPr>
        <sz val="10"/>
        <rFont val="Meiryo UI"/>
        <family val="0"/>
        <charset val="1"/>
      </rPr>
      <t xml:space="preserve">MAGNETIC</t>
    </r>
  </si>
  <si>
    <t xml:space="preserve">仙台八乙女</t>
  </si>
  <si>
    <t xml:space="preserve">㈱テイザンフーズ</t>
  </si>
  <si>
    <t xml:space="preserve">仙台西多賀、古川</t>
  </si>
  <si>
    <t xml:space="preserve">㈱ホコタ</t>
  </si>
  <si>
    <t xml:space="preserve">守谷、水戸姫子、水戸南インター、那珂、日立金沢</t>
  </si>
  <si>
    <t xml:space="preserve">㈱サンフジフーズ</t>
  </si>
  <si>
    <t xml:space="preserve">上尾、伊勢原、所沢、二ツ家、月見町、相模原駅前</t>
  </si>
  <si>
    <t xml:space="preserve">㈱しおさいフーズ</t>
  </si>
  <si>
    <t xml:space="preserve">新潟駅南、新津、新潟河渡、新潟小新、長岡</t>
  </si>
  <si>
    <t xml:space="preserve">東日本 第二ブロック　ブロック長：渡辺 塁登</t>
  </si>
  <si>
    <t xml:space="preserve">渡辺 塁登</t>
  </si>
  <si>
    <t xml:space="preserve">㈱本久</t>
  </si>
  <si>
    <t xml:space="preserve">三郷、太田、春日部、伊勢崎、久喜、羽生</t>
  </si>
  <si>
    <t xml:space="preserve">株式会社フードフォワード</t>
  </si>
  <si>
    <t xml:space="preserve">つくば、八千代、我孫子</t>
  </si>
  <si>
    <t xml:space="preserve">ノヴィルフォーワード㈱</t>
  </si>
  <si>
    <t xml:space="preserve">おゆみ野、鹿嶋、市原五井、佐倉寺崎、富里、成田、東金</t>
  </si>
  <si>
    <t xml:space="preserve">新座ひばりが丘、練馬石神井台</t>
  </si>
  <si>
    <t xml:space="preserve">西日本 第一ブロック　ブロック長：早川 元気</t>
  </si>
  <si>
    <t xml:space="preserve">早川 元気</t>
  </si>
  <si>
    <t xml:space="preserve">佐久平、上田</t>
  </si>
  <si>
    <t xml:space="preserve">中信興業㈱</t>
  </si>
  <si>
    <t xml:space="preserve">松本あがた</t>
  </si>
  <si>
    <t xml:space="preserve">日映㈱</t>
  </si>
  <si>
    <t xml:space="preserve">小黒、静岡流通通り</t>
  </si>
  <si>
    <t xml:space="preserve">㈱呉竹荘</t>
  </si>
  <si>
    <t xml:space="preserve">志都呂</t>
  </si>
  <si>
    <t xml:space="preserve">豊田産業㈱</t>
  </si>
  <si>
    <t xml:space="preserve">梅坪、豊田浄水、三河安城、三好、西尾、元町、日進竹の山</t>
  </si>
  <si>
    <t xml:space="preserve">㈱食物語</t>
  </si>
  <si>
    <t xml:space="preserve">都城、霧島、宮崎新別府、宮崎恒久、延岡、大牟田、伊敷、帯山、薩摩川内、宮崎大工</t>
  </si>
  <si>
    <t xml:space="preserve">㈱名鉄ミライート</t>
  </si>
  <si>
    <t xml:space="preserve">東海名和</t>
  </si>
  <si>
    <t xml:space="preserve">㈱デイリーカフェ＆フーズ</t>
  </si>
  <si>
    <t xml:space="preserve">鴨田、春日井大留、羽根、犬山、江南</t>
  </si>
  <si>
    <t xml:space="preserve">西日本 第二ブロック　ブロック長：吉田 千秋</t>
  </si>
  <si>
    <t xml:space="preserve">吉田 千秋</t>
  </si>
  <si>
    <t xml:space="preserve">㈱平和ダイニング</t>
  </si>
  <si>
    <t xml:space="preserve">泉佐野、和泉中央、岸和田</t>
  </si>
  <si>
    <t xml:space="preserve">㈱コロンブス</t>
  </si>
  <si>
    <t xml:space="preserve">岩出、国体道路、和歌山北</t>
  </si>
  <si>
    <t xml:space="preserve">㈱ヨロチョー</t>
  </si>
  <si>
    <t xml:space="preserve">米子</t>
  </si>
  <si>
    <t xml:space="preserve">㈱エスフーズ</t>
  </si>
  <si>
    <t xml:space="preserve">三原</t>
  </si>
  <si>
    <t xml:space="preserve">ノヴィルフロンティア㈱</t>
  </si>
  <si>
    <t xml:space="preserve">イオンタウン宇多津、丸亀、新居浜</t>
  </si>
  <si>
    <t xml:space="preserve">㈱桜家</t>
  </si>
  <si>
    <t xml:space="preserve">若松大鳥居、八女インター</t>
  </si>
  <si>
    <t xml:space="preserve">㈲林田飼料</t>
  </si>
  <si>
    <t xml:space="preserve">時津</t>
  </si>
  <si>
    <t xml:space="preserve">大分光吉、小倉津田</t>
  </si>
  <si>
    <r>
      <rPr>
        <sz val="10"/>
        <rFont val="WenQuanYi Zen Hei"/>
        <family val="2"/>
      </rPr>
      <t xml:space="preserve">㈱ｇ</t>
    </r>
    <r>
      <rPr>
        <sz val="10"/>
        <rFont val="Meiryo UI"/>
        <family val="0"/>
        <charset val="1"/>
      </rPr>
      <t xml:space="preserve">lob</t>
    </r>
  </si>
  <si>
    <t xml:space="preserve">福岡千早、福岡原、盛岡盛南、福井大和田、熊本はません、広島緑井、松山衣山、徳島応神、那覇新都心、鹿児島宇宿、八戸城下、一日橋、北谷、吉田、蒲郡、砺波、小松、甲府昭和、鹿屋バイパス、上越セントラルスクエア、広島井口、松本村井、笠懸、旭川永山、福山王子、那覇久茂地、広島宇品、徳島沖浜、沖縄美里、名護、別府、東苗穂、三島、福山御幸、高知インター、半田、札幌新琴似、苫小牧、西条、帯広、焼津、北見、掛川</t>
  </si>
  <si>
    <r>
      <rPr>
        <b val="true"/>
        <sz val="14"/>
        <color rgb="FF1F3864"/>
        <rFont val="Meiryo UI"/>
        <family val="0"/>
        <charset val="1"/>
      </rPr>
      <t xml:space="preserve">FC</t>
    </r>
    <r>
      <rPr>
        <b val="true"/>
        <sz val="14"/>
        <color rgb="FF1F3864"/>
        <rFont val="WenQuanYi Zen Hei"/>
        <family val="2"/>
      </rPr>
      <t xml:space="preserve">店舗別明細</t>
    </r>
  </si>
  <si>
    <t xml:space="preserve">企業回答は各ブロックシートから自動反映。店舗ごとに企業回答と異なる場合のみ「店舗個別回答」を入力。</t>
  </si>
  <si>
    <t xml:space="preserve">店舗
コード</t>
  </si>
  <si>
    <t xml:space="preserve">店舗名</t>
  </si>
  <si>
    <t xml:space="preserve">企業回答
（自動）</t>
  </si>
  <si>
    <t xml:space="preserve">店舗個別回答
（例外時のみ）</t>
  </si>
  <si>
    <t xml:space="preserve">最終方針</t>
  </si>
  <si>
    <t xml:space="preserve">現状の
営業終了時刻</t>
  </si>
  <si>
    <t xml:space="preserve">想定
最終入店時刻</t>
  </si>
  <si>
    <r>
      <rPr>
        <b val="true"/>
        <sz val="10"/>
        <color rgb="FFFFFFFF"/>
        <rFont val="Meiryo UI"/>
        <family val="0"/>
        <charset val="1"/>
      </rPr>
      <t xml:space="preserve">B</t>
    </r>
    <r>
      <rPr>
        <b val="true"/>
        <sz val="10"/>
        <color rgb="FFFFFFFF"/>
        <rFont val="WenQuanYi Zen Hei"/>
        <family val="2"/>
      </rPr>
      <t xml:space="preserve">選択時の
閉店時刻（自動）</t>
    </r>
  </si>
  <si>
    <t xml:space="preserve">函館桔梗</t>
  </si>
  <si>
    <t xml:space="preserve">秋田広面</t>
  </si>
  <si>
    <t xml:space="preserve">青森観光通り</t>
  </si>
  <si>
    <t xml:space="preserve">弘前</t>
  </si>
  <si>
    <t xml:space="preserve">仙台西多賀</t>
  </si>
  <si>
    <t xml:space="preserve">古川</t>
  </si>
  <si>
    <t xml:space="preserve">守谷</t>
  </si>
  <si>
    <t xml:space="preserve">水戸姫子</t>
  </si>
  <si>
    <t xml:space="preserve">水戸南インター</t>
  </si>
  <si>
    <t xml:space="preserve">那珂</t>
  </si>
  <si>
    <t xml:space="preserve">日立金沢</t>
  </si>
  <si>
    <t xml:space="preserve">上尾</t>
  </si>
  <si>
    <t xml:space="preserve">伊勢原</t>
  </si>
  <si>
    <t xml:space="preserve">所沢</t>
  </si>
  <si>
    <t xml:space="preserve">二ツ家</t>
  </si>
  <si>
    <t xml:space="preserve">月見町</t>
  </si>
  <si>
    <t xml:space="preserve">相模原駅前</t>
  </si>
  <si>
    <t xml:space="preserve">新潟駅南</t>
  </si>
  <si>
    <t xml:space="preserve">新津</t>
  </si>
  <si>
    <t xml:space="preserve">新潟河渡</t>
  </si>
  <si>
    <t xml:space="preserve">新潟小新</t>
  </si>
  <si>
    <t xml:space="preserve">長岡</t>
  </si>
  <si>
    <t xml:space="preserve">三郷</t>
  </si>
  <si>
    <t xml:space="preserve">太田</t>
  </si>
  <si>
    <t xml:space="preserve">春日部</t>
  </si>
  <si>
    <t xml:space="preserve">伊勢崎</t>
  </si>
  <si>
    <t xml:space="preserve">久喜</t>
  </si>
  <si>
    <t xml:space="preserve">羽生</t>
  </si>
  <si>
    <t xml:space="preserve">つくば</t>
  </si>
  <si>
    <t xml:space="preserve">八千代</t>
  </si>
  <si>
    <t xml:space="preserve">我孫子</t>
  </si>
  <si>
    <t xml:space="preserve">おゆみ野</t>
  </si>
  <si>
    <t xml:space="preserve">鹿嶋</t>
  </si>
  <si>
    <t xml:space="preserve">市原五井</t>
  </si>
  <si>
    <t xml:space="preserve">佐倉寺崎</t>
  </si>
  <si>
    <t xml:space="preserve">富里</t>
  </si>
  <si>
    <t xml:space="preserve">成田</t>
  </si>
  <si>
    <t xml:space="preserve">東金</t>
  </si>
  <si>
    <t xml:space="preserve">新座ひばりが丘</t>
  </si>
  <si>
    <t xml:space="preserve">練馬石神井台</t>
  </si>
  <si>
    <t xml:space="preserve">佐久平</t>
  </si>
  <si>
    <t xml:space="preserve">上田</t>
  </si>
  <si>
    <t xml:space="preserve">小黒</t>
  </si>
  <si>
    <t xml:space="preserve">静岡流通通り</t>
  </si>
  <si>
    <t xml:space="preserve">梅坪</t>
  </si>
  <si>
    <t xml:space="preserve">豊田浄水</t>
  </si>
  <si>
    <t xml:space="preserve">三河安城</t>
  </si>
  <si>
    <t xml:space="preserve">三好</t>
  </si>
  <si>
    <t xml:space="preserve">西尾</t>
  </si>
  <si>
    <t xml:space="preserve">元町</t>
  </si>
  <si>
    <t xml:space="preserve">日進竹の山</t>
  </si>
  <si>
    <t xml:space="preserve">都城</t>
  </si>
  <si>
    <t xml:space="preserve">霧島</t>
  </si>
  <si>
    <t xml:space="preserve">宮崎新別府</t>
  </si>
  <si>
    <t xml:space="preserve">宮崎恒久</t>
  </si>
  <si>
    <t xml:space="preserve">延岡</t>
  </si>
  <si>
    <t xml:space="preserve">大牟田</t>
  </si>
  <si>
    <t xml:space="preserve">伊敷</t>
  </si>
  <si>
    <t xml:space="preserve">帯山</t>
  </si>
  <si>
    <t xml:space="preserve">薩摩川内</t>
  </si>
  <si>
    <t xml:space="preserve">宮崎大工</t>
  </si>
  <si>
    <t xml:space="preserve">鴨田</t>
  </si>
  <si>
    <t xml:space="preserve">春日井大留</t>
  </si>
  <si>
    <t xml:space="preserve">羽根</t>
  </si>
  <si>
    <t xml:space="preserve">犬山</t>
  </si>
  <si>
    <t xml:space="preserve">江南</t>
  </si>
  <si>
    <t xml:space="preserve">泉佐野</t>
  </si>
  <si>
    <t xml:space="preserve">和泉中央</t>
  </si>
  <si>
    <t xml:space="preserve">岸和田</t>
  </si>
  <si>
    <t xml:space="preserve">岩出</t>
  </si>
  <si>
    <t xml:space="preserve">国体道路</t>
  </si>
  <si>
    <t xml:space="preserve">和歌山北</t>
  </si>
  <si>
    <t xml:space="preserve">イオンタウン宇多津</t>
  </si>
  <si>
    <t xml:space="preserve">丸亀</t>
  </si>
  <si>
    <t xml:space="preserve">新居浜</t>
  </si>
  <si>
    <t xml:space="preserve">若松大鳥居</t>
  </si>
  <si>
    <t xml:space="preserve">八女インター</t>
  </si>
  <si>
    <t xml:space="preserve">大分光吉</t>
  </si>
  <si>
    <t xml:space="preserve">小倉津田</t>
  </si>
  <si>
    <t xml:space="preserve">福岡千早</t>
  </si>
  <si>
    <t xml:space="preserve">福岡原</t>
  </si>
  <si>
    <t xml:space="preserve">盛岡盛南</t>
  </si>
  <si>
    <t xml:space="preserve">福井大和田</t>
  </si>
  <si>
    <t xml:space="preserve">熊本はません</t>
  </si>
  <si>
    <t xml:space="preserve">広島緑井</t>
  </si>
  <si>
    <t xml:space="preserve">松山衣山</t>
  </si>
  <si>
    <t xml:space="preserve">徳島応神</t>
  </si>
  <si>
    <t xml:space="preserve">那覇新都心</t>
  </si>
  <si>
    <t xml:space="preserve">鹿児島宇宿</t>
  </si>
  <si>
    <t xml:space="preserve">八戸城下</t>
  </si>
  <si>
    <t xml:space="preserve">一日橋</t>
  </si>
  <si>
    <t xml:space="preserve">北谷</t>
  </si>
  <si>
    <t xml:space="preserve">吉田</t>
  </si>
  <si>
    <t xml:space="preserve">蒲郡</t>
  </si>
  <si>
    <t xml:space="preserve">砺波</t>
  </si>
  <si>
    <t xml:space="preserve">小松</t>
  </si>
  <si>
    <t xml:space="preserve">甲府昭和</t>
  </si>
  <si>
    <t xml:space="preserve">鹿屋バイパス</t>
  </si>
  <si>
    <t xml:space="preserve">上越セントラルスクエア</t>
  </si>
  <si>
    <t xml:space="preserve">広島井口</t>
  </si>
  <si>
    <t xml:space="preserve">松本村井</t>
  </si>
  <si>
    <t xml:space="preserve">笠懸</t>
  </si>
  <si>
    <t xml:space="preserve">旭川永山</t>
  </si>
  <si>
    <t xml:space="preserve">福山王子</t>
  </si>
  <si>
    <t xml:space="preserve">那覇久茂地</t>
  </si>
  <si>
    <t xml:space="preserve">広島宇品</t>
  </si>
  <si>
    <t xml:space="preserve">徳島沖浜</t>
  </si>
  <si>
    <t xml:space="preserve">沖縄美里</t>
  </si>
  <si>
    <t xml:space="preserve">名護</t>
  </si>
  <si>
    <t xml:space="preserve">別府</t>
  </si>
  <si>
    <t xml:space="preserve">東苗穂</t>
  </si>
  <si>
    <t xml:space="preserve">三島</t>
  </si>
  <si>
    <t xml:space="preserve">福山御幸</t>
  </si>
  <si>
    <t xml:space="preserve">高知インター</t>
  </si>
  <si>
    <t xml:space="preserve">半田</t>
  </si>
  <si>
    <t xml:space="preserve">札幌新琴似</t>
  </si>
  <si>
    <t xml:space="preserve">苫小牧</t>
  </si>
  <si>
    <t xml:space="preserve">西条</t>
  </si>
  <si>
    <t xml:space="preserve">帯広</t>
  </si>
  <si>
    <t xml:space="preserve">焼津</t>
  </si>
  <si>
    <t xml:space="preserve">北見</t>
  </si>
  <si>
    <t xml:space="preserve">掛川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</si>
</sst>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yyyy/mm/dd"/>
    <numFmt numFmtId="168" formatCode="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WenQuanYi Zen Hei"/>
      <family val="2"/>
    </font>
    <font>
      <b val="true"/>
      <sz val="14"/>
      <color rgb="FF1F3864"/>
      <name val="Meiryo UI"/>
      <family val="0"/>
      <charset val="1"/>
    </font>
    <font>
      <sz val="9"/>
      <color rgb="FF595959"/>
      <name val="WenQuanYi Zen Hei"/>
      <family val="2"/>
    </font>
    <font>
      <sz val="9"/>
      <color rgb="FF595959"/>
      <name val="Meiryo UI"/>
      <family val="0"/>
      <charset val="1"/>
    </font>
    <font>
      <b val="true"/>
      <sz val="10"/>
      <name val="WenQuanYi Zen Hei"/>
      <family val="2"/>
    </font>
    <font>
      <sz val="10"/>
      <name val="Meiryo UI"/>
      <family val="0"/>
      <charset val="1"/>
    </font>
    <font>
      <b val="true"/>
      <sz val="10"/>
      <name val="Meiryo UI"/>
      <family val="0"/>
      <charset val="1"/>
    </font>
    <font>
      <sz val="10"/>
      <name val="WenQuanYi Zen Hei"/>
      <family val="2"/>
    </font>
    <font>
      <b val="true"/>
      <sz val="10"/>
      <color rgb="FFFFFFFF"/>
      <name val="WenQuanYi Zen Hei"/>
      <family val="2"/>
    </font>
    <font>
      <b val="true"/>
      <sz val="10"/>
      <color rgb="FFFFFFFF"/>
      <name val="Meiryo UI"/>
      <family val="0"/>
      <charset val="1"/>
    </font>
    <font>
      <sz val="8"/>
      <color rgb="FFA6A6A6"/>
      <name val="WenQuanYi Zen Hei"/>
      <family val="2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1F3864"/>
        <bgColor rgb="FF333333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medium">
        <color rgb="FF1F3864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6" fontId="13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E2EFDA"/>
        </patternFill>
      </fill>
    </dxf>
    <dxf>
      <fill>
        <patternFill patternType="solid">
          <fgColor rgb="FFC00000"/>
          <bgColor rgb="FF000000"/>
        </patternFill>
      </fill>
    </dxf>
    <dxf>
      <font>
        <color rgb="FFC00000"/>
      </font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9.4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4"/>
    </row>
    <row r="5" customFormat="false" ht="15" hidden="false" customHeight="false" outlineLevel="0" collapsed="false">
      <c r="A5" s="5" t="s">
        <v>3</v>
      </c>
      <c r="B5" s="6" t="s">
        <v>4</v>
      </c>
    </row>
    <row r="6" customFormat="false" ht="15" hidden="false" customHeight="false" outlineLevel="0" collapsed="false">
      <c r="A6" s="5" t="s">
        <v>5</v>
      </c>
      <c r="B6" s="7" t="s">
        <v>6</v>
      </c>
    </row>
    <row r="7" customFormat="false" ht="15" hidden="false" customHeight="false" outlineLevel="0" collapsed="false">
      <c r="A7" s="5"/>
      <c r="B7" s="6"/>
    </row>
    <row r="8" customFormat="false" ht="15" hidden="false" customHeight="false" outlineLevel="0" collapsed="false">
      <c r="A8" s="3" t="s">
        <v>7</v>
      </c>
      <c r="B8" s="4"/>
    </row>
    <row r="9" customFormat="false" ht="15" hidden="false" customHeight="false" outlineLevel="0" collapsed="false">
      <c r="A9" s="8" t="s">
        <v>8</v>
      </c>
      <c r="B9" s="7" t="s">
        <v>9</v>
      </c>
    </row>
    <row r="10" customFormat="false" ht="15" hidden="false" customHeight="false" outlineLevel="0" collapsed="false">
      <c r="A10" s="8" t="s">
        <v>10</v>
      </c>
      <c r="B10" s="6" t="s">
        <v>11</v>
      </c>
    </row>
    <row r="11" customFormat="false" ht="15" hidden="false" customHeight="false" outlineLevel="0" collapsed="false">
      <c r="A11" s="8" t="s">
        <v>12</v>
      </c>
      <c r="B11" s="6" t="s">
        <v>13</v>
      </c>
    </row>
    <row r="12" customFormat="false" ht="15" hidden="false" customHeight="false" outlineLevel="0" collapsed="false">
      <c r="A12" s="5"/>
      <c r="B12" s="6"/>
    </row>
    <row r="13" customFormat="false" ht="15" hidden="false" customHeight="false" outlineLevel="0" collapsed="false">
      <c r="A13" s="3" t="s">
        <v>14</v>
      </c>
      <c r="B13" s="4"/>
    </row>
    <row r="14" customFormat="false" ht="15" hidden="false" customHeight="false" outlineLevel="0" collapsed="false">
      <c r="A14" s="9" t="s">
        <v>15</v>
      </c>
      <c r="B14" s="7" t="s">
        <v>16</v>
      </c>
    </row>
    <row r="15" customFormat="false" ht="15" hidden="false" customHeight="false" outlineLevel="0" collapsed="false">
      <c r="A15" s="8" t="s">
        <v>17</v>
      </c>
      <c r="B15" s="7" t="s">
        <v>18</v>
      </c>
    </row>
    <row r="16" customFormat="false" ht="15" hidden="false" customHeight="false" outlineLevel="0" collapsed="false">
      <c r="A16" s="8" t="s">
        <v>19</v>
      </c>
      <c r="B16" s="7" t="s">
        <v>20</v>
      </c>
    </row>
    <row r="17" customFormat="false" ht="15" hidden="false" customHeight="false" outlineLevel="0" collapsed="false">
      <c r="A17" s="5"/>
      <c r="B17" s="6"/>
    </row>
    <row r="18" customFormat="false" ht="26.85" hidden="false" customHeight="false" outlineLevel="0" collapsed="false">
      <c r="A18" s="8" t="s">
        <v>21</v>
      </c>
      <c r="B18" s="6" t="s">
        <v>22</v>
      </c>
    </row>
    <row r="19" customFormat="false" ht="15" hidden="false" customHeight="false" outlineLevel="0" collapsed="false">
      <c r="A19" s="5"/>
      <c r="B19" s="6"/>
    </row>
    <row r="20" customFormat="false" ht="15" hidden="false" customHeight="false" outlineLevel="0" collapsed="false">
      <c r="A20" s="8" t="s">
        <v>23</v>
      </c>
      <c r="B20" s="7" t="s">
        <v>24</v>
      </c>
    </row>
    <row r="21" customFormat="false" ht="26.85" hidden="false" customHeight="false" outlineLevel="0" collapsed="false">
      <c r="A21" s="8" t="s">
        <v>23</v>
      </c>
      <c r="B21" s="7" t="s">
        <v>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9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3"/>
    <col collapsed="false" customWidth="true" hidden="false" outlineLevel="0" max="6" min="3" style="0" width="9"/>
    <col collapsed="false" customWidth="true" hidden="false" outlineLevel="0" max="10" min="7" style="0" width="14"/>
    <col collapsed="false" customWidth="true" hidden="false" outlineLevel="0" max="11" min="11" style="0" width="9"/>
    <col collapsed="false" customWidth="true" hidden="false" outlineLevel="0" max="13" min="12" style="0" width="10"/>
  </cols>
  <sheetData>
    <row r="1" customFormat="false" ht="17.35" hidden="false" customHeight="false" outlineLevel="0" collapsed="false">
      <c r="A1" s="1" t="s">
        <v>26</v>
      </c>
    </row>
    <row r="2" customFormat="false" ht="15" hidden="false" customHeight="false" outlineLevel="0" collapsed="false">
      <c r="A2" s="2" t="s">
        <v>27</v>
      </c>
    </row>
    <row r="4" customFormat="false" ht="30" hidden="false" customHeight="true" outlineLevel="0" collapsed="false">
      <c r="A4" s="10" t="s">
        <v>28</v>
      </c>
      <c r="B4" s="11" t="s">
        <v>29</v>
      </c>
      <c r="C4" s="10" t="s">
        <v>30</v>
      </c>
      <c r="D4" s="10" t="s">
        <v>31</v>
      </c>
      <c r="E4" s="10" t="s">
        <v>32</v>
      </c>
      <c r="F4" s="10" t="s">
        <v>33</v>
      </c>
      <c r="G4" s="11" t="s">
        <v>34</v>
      </c>
      <c r="H4" s="11" t="s">
        <v>35</v>
      </c>
      <c r="I4" s="10" t="s">
        <v>19</v>
      </c>
      <c r="J4" s="10" t="s">
        <v>36</v>
      </c>
      <c r="K4" s="10" t="s">
        <v>37</v>
      </c>
      <c r="L4" s="10" t="s">
        <v>38</v>
      </c>
      <c r="M4" s="10" t="s">
        <v>39</v>
      </c>
    </row>
    <row r="5" customFormat="false" ht="15" hidden="false" customHeight="false" outlineLevel="0" collapsed="false">
      <c r="A5" s="12" t="s">
        <v>40</v>
      </c>
      <c r="B5" s="12" t="s">
        <v>41</v>
      </c>
      <c r="C5" s="13" t="n">
        <f aca="false">COUNTIF(東日本第一ブロック!$D$5:$D$11,B5)</f>
        <v>2</v>
      </c>
      <c r="D5" s="13" t="n">
        <f aca="false">COUNTIFS(東日本第一ブロック!$D$5:$D$11,B5,東日本第一ブロック!$J$5:$J$11,"&lt;&gt;")</f>
        <v>0</v>
      </c>
      <c r="E5" s="13" t="n">
        <f aca="false">C5-D5</f>
        <v>2</v>
      </c>
      <c r="F5" s="14" t="n">
        <f aca="false">IF(C5=0,0,D5/C5)</f>
        <v>0</v>
      </c>
      <c r="G5" s="13" t="n">
        <f aca="false">COUNTIFS(東日本第一ブロック!$D$5:$D$11,$B5,東日本第一ブロック!$J$5:$J$11,"A：23時完全閉店")</f>
        <v>0</v>
      </c>
      <c r="H5" s="13" t="n">
        <f aca="false">COUNTIFS(東日本第一ブロック!$D$5:$D$11,$B5,東日本第一ブロック!$J$5:$J$11,"B：最終入店から100分確保")</f>
        <v>0</v>
      </c>
      <c r="I5" s="13" t="n">
        <f aca="false">COUNTIFS(東日本第一ブロック!$D$5:$D$11,$B5,東日本第一ブロック!$J$5:$J$11,"店舗により異なる")</f>
        <v>0</v>
      </c>
      <c r="J5" s="13" t="n">
        <f aca="false">COUNTIFS(東日本第一ブロック!$D$5:$D$11,$B5,東日本第一ブロック!$J$5:$J$11,"検討中")</f>
        <v>0</v>
      </c>
      <c r="K5" s="13" t="n">
        <f aca="false">COUNTIF(店舗別明細!$B$5:$B$134,B5)</f>
        <v>5</v>
      </c>
      <c r="L5" s="13" t="n">
        <f aca="false">COUNTIFS(店舗別明細!$B$5:$B$134,B5,店舗別明細!$H$5:$H$134,"A：23時完全閉店")</f>
        <v>0</v>
      </c>
      <c r="M5" s="13" t="n">
        <f aca="false">COUNTIFS(店舗別明細!$B$5:$B$134,B5,店舗別明細!$H$5:$H$134,"B：最終入店から100分確保")</f>
        <v>0</v>
      </c>
    </row>
    <row r="6" customFormat="false" ht="15" hidden="false" customHeight="false" outlineLevel="0" collapsed="false">
      <c r="A6" s="12" t="s">
        <v>40</v>
      </c>
      <c r="B6" s="12" t="s">
        <v>42</v>
      </c>
      <c r="C6" s="13" t="n">
        <f aca="false">COUNTIF(東日本第一ブロック!$D$5:$D$11,B6)</f>
        <v>2</v>
      </c>
      <c r="D6" s="13" t="n">
        <f aca="false">COUNTIFS(東日本第一ブロック!$D$5:$D$11,B6,東日本第一ブロック!$J$5:$J$11,"&lt;&gt;")</f>
        <v>0</v>
      </c>
      <c r="E6" s="13" t="n">
        <f aca="false">C6-D6</f>
        <v>2</v>
      </c>
      <c r="F6" s="14" t="n">
        <f aca="false">IF(C6=0,0,D6/C6)</f>
        <v>0</v>
      </c>
      <c r="G6" s="13" t="n">
        <f aca="false">COUNTIFS(東日本第一ブロック!$D$5:$D$11,$B6,東日本第一ブロック!$J$5:$J$11,"A：23時完全閉店")</f>
        <v>0</v>
      </c>
      <c r="H6" s="13" t="n">
        <f aca="false">COUNTIFS(東日本第一ブロック!$D$5:$D$11,$B6,東日本第一ブロック!$J$5:$J$11,"B：最終入店から100分確保")</f>
        <v>0</v>
      </c>
      <c r="I6" s="13" t="n">
        <f aca="false">COUNTIFS(東日本第一ブロック!$D$5:$D$11,$B6,東日本第一ブロック!$J$5:$J$11,"店舗により異なる")</f>
        <v>0</v>
      </c>
      <c r="J6" s="13" t="n">
        <f aca="false">COUNTIFS(東日本第一ブロック!$D$5:$D$11,$B6,東日本第一ブロック!$J$5:$J$11,"検討中")</f>
        <v>0</v>
      </c>
      <c r="K6" s="13" t="n">
        <f aca="false">COUNTIF(店舗別明細!$B$5:$B$134,B6)</f>
        <v>3</v>
      </c>
      <c r="L6" s="13" t="n">
        <f aca="false">COUNTIFS(店舗別明細!$B$5:$B$134,B6,店舗別明細!$H$5:$H$134,"A：23時完全閉店")</f>
        <v>0</v>
      </c>
      <c r="M6" s="13" t="n">
        <f aca="false">COUNTIFS(店舗別明細!$B$5:$B$134,B6,店舗別明細!$H$5:$H$134,"B：最終入店から100分確保")</f>
        <v>0</v>
      </c>
    </row>
    <row r="7" customFormat="false" ht="15" hidden="false" customHeight="false" outlineLevel="0" collapsed="false">
      <c r="A7" s="12" t="s">
        <v>40</v>
      </c>
      <c r="B7" s="12" t="s">
        <v>43</v>
      </c>
      <c r="C7" s="13" t="n">
        <f aca="false">COUNTIF(東日本第一ブロック!$D$5:$D$11,B7)</f>
        <v>1</v>
      </c>
      <c r="D7" s="13" t="n">
        <f aca="false">COUNTIFS(東日本第一ブロック!$D$5:$D$11,B7,東日本第一ブロック!$J$5:$J$11,"&lt;&gt;")</f>
        <v>0</v>
      </c>
      <c r="E7" s="13" t="n">
        <f aca="false">C7-D7</f>
        <v>1</v>
      </c>
      <c r="F7" s="14" t="n">
        <f aca="false">IF(C7=0,0,D7/C7)</f>
        <v>0</v>
      </c>
      <c r="G7" s="13" t="n">
        <f aca="false">COUNTIFS(東日本第一ブロック!$D$5:$D$11,$B7,東日本第一ブロック!$J$5:$J$11,"A：23時完全閉店")</f>
        <v>0</v>
      </c>
      <c r="H7" s="13" t="n">
        <f aca="false">COUNTIFS(東日本第一ブロック!$D$5:$D$11,$B7,東日本第一ブロック!$J$5:$J$11,"B：最終入店から100分確保")</f>
        <v>0</v>
      </c>
      <c r="I7" s="13" t="n">
        <f aca="false">COUNTIFS(東日本第一ブロック!$D$5:$D$11,$B7,東日本第一ブロック!$J$5:$J$11,"店舗により異なる")</f>
        <v>0</v>
      </c>
      <c r="J7" s="13" t="n">
        <f aca="false">COUNTIFS(東日本第一ブロック!$D$5:$D$11,$B7,東日本第一ブロック!$J$5:$J$11,"検討中")</f>
        <v>0</v>
      </c>
      <c r="K7" s="13" t="n">
        <f aca="false">COUNTIF(店舗別明細!$B$5:$B$134,B7)</f>
        <v>5</v>
      </c>
      <c r="L7" s="13" t="n">
        <f aca="false">COUNTIFS(店舗別明細!$B$5:$B$134,B7,店舗別明細!$H$5:$H$134,"A：23時完全閉店")</f>
        <v>0</v>
      </c>
      <c r="M7" s="13" t="n">
        <f aca="false">COUNTIFS(店舗別明細!$B$5:$B$134,B7,店舗別明細!$H$5:$H$134,"B：最終入店から100分確保")</f>
        <v>0</v>
      </c>
    </row>
    <row r="8" customFormat="false" ht="15" hidden="false" customHeight="false" outlineLevel="0" collapsed="false">
      <c r="A8" s="12" t="s">
        <v>40</v>
      </c>
      <c r="B8" s="12" t="s">
        <v>44</v>
      </c>
      <c r="C8" s="13" t="n">
        <f aca="false">COUNTIF(東日本第一ブロック!$D$5:$D$11,B8)</f>
        <v>2</v>
      </c>
      <c r="D8" s="13" t="n">
        <f aca="false">COUNTIFS(東日本第一ブロック!$D$5:$D$11,B8,東日本第一ブロック!$J$5:$J$11,"&lt;&gt;")</f>
        <v>0</v>
      </c>
      <c r="E8" s="13" t="n">
        <f aca="false">C8-D8</f>
        <v>2</v>
      </c>
      <c r="F8" s="14" t="n">
        <f aca="false">IF(C8=0,0,D8/C8)</f>
        <v>0</v>
      </c>
      <c r="G8" s="13" t="n">
        <f aca="false">COUNTIFS(東日本第一ブロック!$D$5:$D$11,$B8,東日本第一ブロック!$J$5:$J$11,"A：23時完全閉店")</f>
        <v>0</v>
      </c>
      <c r="H8" s="13" t="n">
        <f aca="false">COUNTIFS(東日本第一ブロック!$D$5:$D$11,$B8,東日本第一ブロック!$J$5:$J$11,"B：最終入店から100分確保")</f>
        <v>0</v>
      </c>
      <c r="I8" s="13" t="n">
        <f aca="false">COUNTIFS(東日本第一ブロック!$D$5:$D$11,$B8,東日本第一ブロック!$J$5:$J$11,"店舗により異なる")</f>
        <v>0</v>
      </c>
      <c r="J8" s="13" t="n">
        <f aca="false">COUNTIFS(東日本第一ブロック!$D$5:$D$11,$B8,東日本第一ブロック!$J$5:$J$11,"検討中")</f>
        <v>0</v>
      </c>
      <c r="K8" s="13" t="n">
        <f aca="false">COUNTIF(店舗別明細!$B$5:$B$134,B8)</f>
        <v>11</v>
      </c>
      <c r="L8" s="13" t="n">
        <f aca="false">COUNTIFS(店舗別明細!$B$5:$B$134,B8,店舗別明細!$H$5:$H$134,"A：23時完全閉店")</f>
        <v>0</v>
      </c>
      <c r="M8" s="13" t="n">
        <f aca="false">COUNTIFS(店舗別明細!$B$5:$B$134,B8,店舗別明細!$H$5:$H$134,"B：最終入店から100分確保")</f>
        <v>0</v>
      </c>
    </row>
    <row r="9" customFormat="false" ht="26.85" hidden="false" customHeight="false" outlineLevel="0" collapsed="false">
      <c r="A9" s="15" t="s">
        <v>45</v>
      </c>
      <c r="B9" s="16" t="s">
        <v>46</v>
      </c>
      <c r="C9" s="17" t="n">
        <f aca="false">SUM(C5:C8)</f>
        <v>7</v>
      </c>
      <c r="D9" s="17" t="n">
        <f aca="false">SUM(D5:D8)</f>
        <v>0</v>
      </c>
      <c r="E9" s="17" t="n">
        <f aca="false">SUM(E5:E8)</f>
        <v>7</v>
      </c>
      <c r="F9" s="18" t="n">
        <f aca="false">IF(C9=0,0,D9/C9)</f>
        <v>0</v>
      </c>
      <c r="G9" s="17" t="n">
        <f aca="false">SUM(G5:G8)</f>
        <v>0</v>
      </c>
      <c r="H9" s="17" t="n">
        <f aca="false">SUM(H5:H8)</f>
        <v>0</v>
      </c>
      <c r="I9" s="17" t="n">
        <f aca="false">SUM(I5:I8)</f>
        <v>0</v>
      </c>
      <c r="J9" s="17" t="n">
        <f aca="false">SUM(J5:J8)</f>
        <v>0</v>
      </c>
      <c r="K9" s="17" t="n">
        <f aca="false">SUM(K5:K8)</f>
        <v>24</v>
      </c>
      <c r="L9" s="17" t="n">
        <f aca="false">SUM(L5:L8)</f>
        <v>0</v>
      </c>
      <c r="M9" s="17" t="n">
        <f aca="false">SUM(M5:M8)</f>
        <v>0</v>
      </c>
    </row>
    <row r="10" customFormat="false" ht="15" hidden="false" customHeight="false" outlineLevel="0" collapsed="false">
      <c r="A10" s="12" t="s">
        <v>47</v>
      </c>
      <c r="B10" s="12" t="s">
        <v>48</v>
      </c>
      <c r="C10" s="13" t="n">
        <f aca="false">COUNTIF(東日本第二ブロック!$D$5:$D$8,B10)</f>
        <v>1</v>
      </c>
      <c r="D10" s="13" t="n">
        <f aca="false">COUNTIFS(東日本第二ブロック!$D$5:$D$8,B10,東日本第二ブロック!$J$5:$J$8,"&lt;&gt;")</f>
        <v>0</v>
      </c>
      <c r="E10" s="13" t="n">
        <f aca="false">C10-D10</f>
        <v>1</v>
      </c>
      <c r="F10" s="14" t="n">
        <f aca="false">IF(C10=0,0,D10/C10)</f>
        <v>0</v>
      </c>
      <c r="G10" s="13" t="n">
        <f aca="false">COUNTIFS(東日本第二ブロック!$D$5:$D$8,$B10,東日本第二ブロック!$J$5:$J$8,"A：23時完全閉店")</f>
        <v>0</v>
      </c>
      <c r="H10" s="13" t="n">
        <f aca="false">COUNTIFS(東日本第二ブロック!$D$5:$D$8,$B10,東日本第二ブロック!$J$5:$J$8,"B：最終入店から100分確保")</f>
        <v>0</v>
      </c>
      <c r="I10" s="13" t="n">
        <f aca="false">COUNTIFS(東日本第二ブロック!$D$5:$D$8,$B10,東日本第二ブロック!$J$5:$J$8,"店舗により異なる")</f>
        <v>0</v>
      </c>
      <c r="J10" s="13" t="n">
        <f aca="false">COUNTIFS(東日本第二ブロック!$D$5:$D$8,$B10,東日本第二ブロック!$J$5:$J$8,"検討中")</f>
        <v>0</v>
      </c>
      <c r="K10" s="13" t="n">
        <f aca="false">COUNTIF(店舗別明細!$B$5:$B$134,B10)</f>
        <v>6</v>
      </c>
      <c r="L10" s="13" t="n">
        <f aca="false">COUNTIFS(店舗別明細!$B$5:$B$134,B10,店舗別明細!$H$5:$H$134,"A：23時完全閉店")</f>
        <v>0</v>
      </c>
      <c r="M10" s="13" t="n">
        <f aca="false">COUNTIFS(店舗別明細!$B$5:$B$134,B10,店舗別明細!$H$5:$H$134,"B：最終入店から100分確保")</f>
        <v>0</v>
      </c>
    </row>
    <row r="11" customFormat="false" ht="15" hidden="false" customHeight="false" outlineLevel="0" collapsed="false">
      <c r="A11" s="12" t="s">
        <v>47</v>
      </c>
      <c r="B11" s="12" t="s">
        <v>49</v>
      </c>
      <c r="C11" s="13" t="n">
        <f aca="false">COUNTIF(東日本第二ブロック!$D$5:$D$8,B11)</f>
        <v>1</v>
      </c>
      <c r="D11" s="13" t="n">
        <f aca="false">COUNTIFS(東日本第二ブロック!$D$5:$D$8,B11,東日本第二ブロック!$J$5:$J$8,"&lt;&gt;")</f>
        <v>0</v>
      </c>
      <c r="E11" s="13" t="n">
        <f aca="false">C11-D11</f>
        <v>1</v>
      </c>
      <c r="F11" s="14" t="n">
        <f aca="false">IF(C11=0,0,D11/C11)</f>
        <v>0</v>
      </c>
      <c r="G11" s="13" t="n">
        <f aca="false">COUNTIFS(東日本第二ブロック!$D$5:$D$8,$B11,東日本第二ブロック!$J$5:$J$8,"A：23時完全閉店")</f>
        <v>0</v>
      </c>
      <c r="H11" s="13" t="n">
        <f aca="false">COUNTIFS(東日本第二ブロック!$D$5:$D$8,$B11,東日本第二ブロック!$J$5:$J$8,"B：最終入店から100分確保")</f>
        <v>0</v>
      </c>
      <c r="I11" s="13" t="n">
        <f aca="false">COUNTIFS(東日本第二ブロック!$D$5:$D$8,$B11,東日本第二ブロック!$J$5:$J$8,"店舗により異なる")</f>
        <v>0</v>
      </c>
      <c r="J11" s="13" t="n">
        <f aca="false">COUNTIFS(東日本第二ブロック!$D$5:$D$8,$B11,東日本第二ブロック!$J$5:$J$8,"検討中")</f>
        <v>0</v>
      </c>
      <c r="K11" s="13" t="n">
        <f aca="false">COUNTIF(店舗別明細!$B$5:$B$134,B11)</f>
        <v>3</v>
      </c>
      <c r="L11" s="13" t="n">
        <f aca="false">COUNTIFS(店舗別明細!$B$5:$B$134,B11,店舗別明細!$H$5:$H$134,"A：23時完全閉店")</f>
        <v>0</v>
      </c>
      <c r="M11" s="13" t="n">
        <f aca="false">COUNTIFS(店舗別明細!$B$5:$B$134,B11,店舗別明細!$H$5:$H$134,"B：最終入店から100分確保")</f>
        <v>0</v>
      </c>
    </row>
    <row r="12" customFormat="false" ht="15" hidden="false" customHeight="false" outlineLevel="0" collapsed="false">
      <c r="A12" s="12" t="s">
        <v>47</v>
      </c>
      <c r="B12" s="12" t="s">
        <v>50</v>
      </c>
      <c r="C12" s="13" t="n">
        <f aca="false">COUNTIF(東日本第二ブロック!$D$5:$D$8,B12)</f>
        <v>1</v>
      </c>
      <c r="D12" s="13" t="n">
        <f aca="false">COUNTIFS(東日本第二ブロック!$D$5:$D$8,B12,東日本第二ブロック!$J$5:$J$8,"&lt;&gt;")</f>
        <v>0</v>
      </c>
      <c r="E12" s="13" t="n">
        <f aca="false">C12-D12</f>
        <v>1</v>
      </c>
      <c r="F12" s="14" t="n">
        <f aca="false">IF(C12=0,0,D12/C12)</f>
        <v>0</v>
      </c>
      <c r="G12" s="13" t="n">
        <f aca="false">COUNTIFS(東日本第二ブロック!$D$5:$D$8,$B12,東日本第二ブロック!$J$5:$J$8,"A：23時完全閉店")</f>
        <v>0</v>
      </c>
      <c r="H12" s="13" t="n">
        <f aca="false">COUNTIFS(東日本第二ブロック!$D$5:$D$8,$B12,東日本第二ブロック!$J$5:$J$8,"B：最終入店から100分確保")</f>
        <v>0</v>
      </c>
      <c r="I12" s="13" t="n">
        <f aca="false">COUNTIFS(東日本第二ブロック!$D$5:$D$8,$B12,東日本第二ブロック!$J$5:$J$8,"店舗により異なる")</f>
        <v>0</v>
      </c>
      <c r="J12" s="13" t="n">
        <f aca="false">COUNTIFS(東日本第二ブロック!$D$5:$D$8,$B12,東日本第二ブロック!$J$5:$J$8,"検討中")</f>
        <v>0</v>
      </c>
      <c r="K12" s="13" t="n">
        <f aca="false">COUNTIF(店舗別明細!$B$5:$B$134,B12)</f>
        <v>7</v>
      </c>
      <c r="L12" s="13" t="n">
        <f aca="false">COUNTIFS(店舗別明細!$B$5:$B$134,B12,店舗別明細!$H$5:$H$134,"A：23時完全閉店")</f>
        <v>0</v>
      </c>
      <c r="M12" s="13" t="n">
        <f aca="false">COUNTIFS(店舗別明細!$B$5:$B$134,B12,店舗別明細!$H$5:$H$134,"B：最終入店から100分確保")</f>
        <v>0</v>
      </c>
    </row>
    <row r="13" customFormat="false" ht="15" hidden="false" customHeight="false" outlineLevel="0" collapsed="false">
      <c r="A13" s="12" t="s">
        <v>47</v>
      </c>
      <c r="B13" s="12" t="s">
        <v>51</v>
      </c>
      <c r="C13" s="13" t="n">
        <f aca="false">COUNTIF(東日本第二ブロック!$D$5:$D$8,B13)</f>
        <v>1</v>
      </c>
      <c r="D13" s="13" t="n">
        <f aca="false">COUNTIFS(東日本第二ブロック!$D$5:$D$8,B13,東日本第二ブロック!$J$5:$J$8,"&lt;&gt;")</f>
        <v>0</v>
      </c>
      <c r="E13" s="13" t="n">
        <f aca="false">C13-D13</f>
        <v>1</v>
      </c>
      <c r="F13" s="14" t="n">
        <f aca="false">IF(C13=0,0,D13/C13)</f>
        <v>0</v>
      </c>
      <c r="G13" s="13" t="n">
        <f aca="false">COUNTIFS(東日本第二ブロック!$D$5:$D$8,$B13,東日本第二ブロック!$J$5:$J$8,"A：23時完全閉店")</f>
        <v>0</v>
      </c>
      <c r="H13" s="13" t="n">
        <f aca="false">COUNTIFS(東日本第二ブロック!$D$5:$D$8,$B13,東日本第二ブロック!$J$5:$J$8,"B：最終入店から100分確保")</f>
        <v>0</v>
      </c>
      <c r="I13" s="13" t="n">
        <f aca="false">COUNTIFS(東日本第二ブロック!$D$5:$D$8,$B13,東日本第二ブロック!$J$5:$J$8,"店舗により異なる")</f>
        <v>0</v>
      </c>
      <c r="J13" s="13" t="n">
        <f aca="false">COUNTIFS(東日本第二ブロック!$D$5:$D$8,$B13,東日本第二ブロック!$J$5:$J$8,"検討中")</f>
        <v>0</v>
      </c>
      <c r="K13" s="13" t="n">
        <f aca="false">COUNTIF(店舗別明細!$B$5:$B$134,B13)</f>
        <v>2</v>
      </c>
      <c r="L13" s="13" t="n">
        <f aca="false">COUNTIFS(店舗別明細!$B$5:$B$134,B13,店舗別明細!$H$5:$H$134,"A：23時完全閉店")</f>
        <v>0</v>
      </c>
      <c r="M13" s="13" t="n">
        <f aca="false">COUNTIFS(店舗別明細!$B$5:$B$134,B13,店舗別明細!$H$5:$H$134,"B：最終入店から100分確保")</f>
        <v>0</v>
      </c>
    </row>
    <row r="14" customFormat="false" ht="26.85" hidden="false" customHeight="false" outlineLevel="0" collapsed="false">
      <c r="A14" s="15" t="s">
        <v>52</v>
      </c>
      <c r="B14" s="16" t="s">
        <v>53</v>
      </c>
      <c r="C14" s="17" t="n">
        <f aca="false">SUM(C10:C13)</f>
        <v>4</v>
      </c>
      <c r="D14" s="17" t="n">
        <f aca="false">SUM(D10:D13)</f>
        <v>0</v>
      </c>
      <c r="E14" s="17" t="n">
        <f aca="false">SUM(E10:E13)</f>
        <v>4</v>
      </c>
      <c r="F14" s="18" t="n">
        <f aca="false">IF(C14=0,0,D14/C14)</f>
        <v>0</v>
      </c>
      <c r="G14" s="17" t="n">
        <f aca="false">SUM(G10:G13)</f>
        <v>0</v>
      </c>
      <c r="H14" s="17" t="n">
        <f aca="false">SUM(H10:H13)</f>
        <v>0</v>
      </c>
      <c r="I14" s="17" t="n">
        <f aca="false">SUM(I10:I13)</f>
        <v>0</v>
      </c>
      <c r="J14" s="17" t="n">
        <f aca="false">SUM(J10:J13)</f>
        <v>0</v>
      </c>
      <c r="K14" s="17" t="n">
        <f aca="false">SUM(K10:K13)</f>
        <v>18</v>
      </c>
      <c r="L14" s="17" t="n">
        <f aca="false">SUM(L10:L13)</f>
        <v>0</v>
      </c>
      <c r="M14" s="17" t="n">
        <f aca="false">SUM(M10:M13)</f>
        <v>0</v>
      </c>
    </row>
    <row r="15" customFormat="false" ht="15" hidden="false" customHeight="false" outlineLevel="0" collapsed="false">
      <c r="A15" s="12" t="s">
        <v>54</v>
      </c>
      <c r="B15" s="12" t="s">
        <v>55</v>
      </c>
      <c r="C15" s="13" t="n">
        <f aca="false">COUNTIF(西日本第一ブロック!$D$5:$D$12,B15)</f>
        <v>2</v>
      </c>
      <c r="D15" s="13" t="n">
        <f aca="false">COUNTIFS(西日本第一ブロック!$D$5:$D$12,B15,西日本第一ブロック!$J$5:$J$12,"&lt;&gt;")</f>
        <v>0</v>
      </c>
      <c r="E15" s="13" t="n">
        <f aca="false">C15-D15</f>
        <v>2</v>
      </c>
      <c r="F15" s="14" t="n">
        <f aca="false">IF(C15=0,0,D15/C15)</f>
        <v>0</v>
      </c>
      <c r="G15" s="13" t="n">
        <f aca="false">COUNTIFS(西日本第一ブロック!$D$5:$D$12,$B15,西日本第一ブロック!$J$5:$J$12,"A：23時完全閉店")</f>
        <v>0</v>
      </c>
      <c r="H15" s="13" t="n">
        <f aca="false">COUNTIFS(西日本第一ブロック!$D$5:$D$12,$B15,西日本第一ブロック!$J$5:$J$12,"B：最終入店から100分確保")</f>
        <v>0</v>
      </c>
      <c r="I15" s="13" t="n">
        <f aca="false">COUNTIFS(西日本第一ブロック!$D$5:$D$12,$B15,西日本第一ブロック!$J$5:$J$12,"店舗により異なる")</f>
        <v>0</v>
      </c>
      <c r="J15" s="13" t="n">
        <f aca="false">COUNTIFS(西日本第一ブロック!$D$5:$D$12,$B15,西日本第一ブロック!$J$5:$J$12,"検討中")</f>
        <v>0</v>
      </c>
      <c r="K15" s="13" t="n">
        <f aca="false">COUNTIF(店舗別明細!$B$5:$B$134,B15)</f>
        <v>3</v>
      </c>
      <c r="L15" s="13" t="n">
        <f aca="false">COUNTIFS(店舗別明細!$B$5:$B$134,B15,店舗別明細!$H$5:$H$134,"A：23時完全閉店")</f>
        <v>0</v>
      </c>
      <c r="M15" s="13" t="n">
        <f aca="false">COUNTIFS(店舗別明細!$B$5:$B$134,B15,店舗別明細!$H$5:$H$134,"B：最終入店から100分確保")</f>
        <v>0</v>
      </c>
    </row>
    <row r="16" customFormat="false" ht="15" hidden="false" customHeight="false" outlineLevel="0" collapsed="false">
      <c r="A16" s="12" t="s">
        <v>54</v>
      </c>
      <c r="B16" s="12" t="s">
        <v>56</v>
      </c>
      <c r="C16" s="13" t="n">
        <f aca="false">COUNTIF(西日本第一ブロック!$D$5:$D$12,B16)</f>
        <v>2</v>
      </c>
      <c r="D16" s="13" t="n">
        <f aca="false">COUNTIFS(西日本第一ブロック!$D$5:$D$12,B16,西日本第一ブロック!$J$5:$J$12,"&lt;&gt;")</f>
        <v>0</v>
      </c>
      <c r="E16" s="13" t="n">
        <f aca="false">C16-D16</f>
        <v>2</v>
      </c>
      <c r="F16" s="14" t="n">
        <f aca="false">IF(C16=0,0,D16/C16)</f>
        <v>0</v>
      </c>
      <c r="G16" s="13" t="n">
        <f aca="false">COUNTIFS(西日本第一ブロック!$D$5:$D$12,$B16,西日本第一ブロック!$J$5:$J$12,"A：23時完全閉店")</f>
        <v>0</v>
      </c>
      <c r="H16" s="13" t="n">
        <f aca="false">COUNTIFS(西日本第一ブロック!$D$5:$D$12,$B16,西日本第一ブロック!$J$5:$J$12,"B：最終入店から100分確保")</f>
        <v>0</v>
      </c>
      <c r="I16" s="13" t="n">
        <f aca="false">COUNTIFS(西日本第一ブロック!$D$5:$D$12,$B16,西日本第一ブロック!$J$5:$J$12,"店舗により異なる")</f>
        <v>0</v>
      </c>
      <c r="J16" s="13" t="n">
        <f aca="false">COUNTIFS(西日本第一ブロック!$D$5:$D$12,$B16,西日本第一ブロック!$J$5:$J$12,"検討中")</f>
        <v>0</v>
      </c>
      <c r="K16" s="13" t="n">
        <f aca="false">COUNTIF(店舗別明細!$B$5:$B$134,B16)</f>
        <v>3</v>
      </c>
      <c r="L16" s="13" t="n">
        <f aca="false">COUNTIFS(店舗別明細!$B$5:$B$134,B16,店舗別明細!$H$5:$H$134,"A：23時完全閉店")</f>
        <v>0</v>
      </c>
      <c r="M16" s="13" t="n">
        <f aca="false">COUNTIFS(店舗別明細!$B$5:$B$134,B16,店舗別明細!$H$5:$H$134,"B：最終入店から100分確保")</f>
        <v>0</v>
      </c>
    </row>
    <row r="17" customFormat="false" ht="15" hidden="false" customHeight="false" outlineLevel="0" collapsed="false">
      <c r="A17" s="12" t="s">
        <v>54</v>
      </c>
      <c r="B17" s="12" t="s">
        <v>57</v>
      </c>
      <c r="C17" s="13" t="n">
        <f aca="false">COUNTIF(西日本第一ブロック!$D$5:$D$12,B17)</f>
        <v>3</v>
      </c>
      <c r="D17" s="13" t="n">
        <f aca="false">COUNTIFS(西日本第一ブロック!$D$5:$D$12,B17,西日本第一ブロック!$J$5:$J$12,"&lt;&gt;")</f>
        <v>0</v>
      </c>
      <c r="E17" s="13" t="n">
        <f aca="false">C17-D17</f>
        <v>3</v>
      </c>
      <c r="F17" s="14" t="n">
        <f aca="false">IF(C17=0,0,D17/C17)</f>
        <v>0</v>
      </c>
      <c r="G17" s="13" t="n">
        <f aca="false">COUNTIFS(西日本第一ブロック!$D$5:$D$12,$B17,西日本第一ブロック!$J$5:$J$12,"A：23時完全閉店")</f>
        <v>0</v>
      </c>
      <c r="H17" s="13" t="n">
        <f aca="false">COUNTIFS(西日本第一ブロック!$D$5:$D$12,$B17,西日本第一ブロック!$J$5:$J$12,"B：最終入店から100分確保")</f>
        <v>0</v>
      </c>
      <c r="I17" s="13" t="n">
        <f aca="false">COUNTIFS(西日本第一ブロック!$D$5:$D$12,$B17,西日本第一ブロック!$J$5:$J$12,"店舗により異なる")</f>
        <v>0</v>
      </c>
      <c r="J17" s="13" t="n">
        <f aca="false">COUNTIFS(西日本第一ブロック!$D$5:$D$12,$B17,西日本第一ブロック!$J$5:$J$12,"検討中")</f>
        <v>0</v>
      </c>
      <c r="K17" s="13" t="n">
        <f aca="false">COUNTIF(店舗別明細!$B$5:$B$134,B17)</f>
        <v>18</v>
      </c>
      <c r="L17" s="13" t="n">
        <f aca="false">COUNTIFS(店舗別明細!$B$5:$B$134,B17,店舗別明細!$H$5:$H$134,"A：23時完全閉店")</f>
        <v>0</v>
      </c>
      <c r="M17" s="13" t="n">
        <f aca="false">COUNTIFS(店舗別明細!$B$5:$B$134,B17,店舗別明細!$H$5:$H$134,"B：最終入店から100分確保")</f>
        <v>0</v>
      </c>
    </row>
    <row r="18" customFormat="false" ht="15" hidden="false" customHeight="false" outlineLevel="0" collapsed="false">
      <c r="A18" s="12" t="s">
        <v>54</v>
      </c>
      <c r="B18" s="12" t="s">
        <v>58</v>
      </c>
      <c r="C18" s="13" t="n">
        <f aca="false">COUNTIF(西日本第一ブロック!$D$5:$D$12,B18)</f>
        <v>1</v>
      </c>
      <c r="D18" s="13" t="n">
        <f aca="false">COUNTIFS(西日本第一ブロック!$D$5:$D$12,B18,西日本第一ブロック!$J$5:$J$12,"&lt;&gt;")</f>
        <v>0</v>
      </c>
      <c r="E18" s="13" t="n">
        <f aca="false">C18-D18</f>
        <v>1</v>
      </c>
      <c r="F18" s="14" t="n">
        <f aca="false">IF(C18=0,0,D18/C18)</f>
        <v>0</v>
      </c>
      <c r="G18" s="13" t="n">
        <f aca="false">COUNTIFS(西日本第一ブロック!$D$5:$D$12,$B18,西日本第一ブロック!$J$5:$J$12,"A：23時完全閉店")</f>
        <v>0</v>
      </c>
      <c r="H18" s="13" t="n">
        <f aca="false">COUNTIFS(西日本第一ブロック!$D$5:$D$12,$B18,西日本第一ブロック!$J$5:$J$12,"B：最終入店から100分確保")</f>
        <v>0</v>
      </c>
      <c r="I18" s="13" t="n">
        <f aca="false">COUNTIFS(西日本第一ブロック!$D$5:$D$12,$B18,西日本第一ブロック!$J$5:$J$12,"店舗により異なる")</f>
        <v>0</v>
      </c>
      <c r="J18" s="13" t="n">
        <f aca="false">COUNTIFS(西日本第一ブロック!$D$5:$D$12,$B18,西日本第一ブロック!$J$5:$J$12,"検討中")</f>
        <v>0</v>
      </c>
      <c r="K18" s="13" t="n">
        <f aca="false">COUNTIF(店舗別明細!$B$5:$B$134,B18)</f>
        <v>5</v>
      </c>
      <c r="L18" s="13" t="n">
        <f aca="false">COUNTIFS(店舗別明細!$B$5:$B$134,B18,店舗別明細!$H$5:$H$134,"A：23時完全閉店")</f>
        <v>0</v>
      </c>
      <c r="M18" s="13" t="n">
        <f aca="false">COUNTIFS(店舗別明細!$B$5:$B$134,B18,店舗別明細!$H$5:$H$134,"B：最終入店から100分確保")</f>
        <v>0</v>
      </c>
    </row>
    <row r="19" customFormat="false" ht="26.85" hidden="false" customHeight="false" outlineLevel="0" collapsed="false">
      <c r="A19" s="15" t="s">
        <v>59</v>
      </c>
      <c r="B19" s="16" t="s">
        <v>60</v>
      </c>
      <c r="C19" s="17" t="n">
        <f aca="false">SUM(C15:C18)</f>
        <v>8</v>
      </c>
      <c r="D19" s="17" t="n">
        <f aca="false">SUM(D15:D18)</f>
        <v>0</v>
      </c>
      <c r="E19" s="17" t="n">
        <f aca="false">SUM(E15:E18)</f>
        <v>8</v>
      </c>
      <c r="F19" s="18" t="n">
        <f aca="false">IF(C19=0,0,D19/C19)</f>
        <v>0</v>
      </c>
      <c r="G19" s="17" t="n">
        <f aca="false">SUM(G15:G18)</f>
        <v>0</v>
      </c>
      <c r="H19" s="17" t="n">
        <f aca="false">SUM(H15:H18)</f>
        <v>0</v>
      </c>
      <c r="I19" s="17" t="n">
        <f aca="false">SUM(I15:I18)</f>
        <v>0</v>
      </c>
      <c r="J19" s="17" t="n">
        <f aca="false">SUM(J15:J18)</f>
        <v>0</v>
      </c>
      <c r="K19" s="17" t="n">
        <f aca="false">SUM(K15:K18)</f>
        <v>29</v>
      </c>
      <c r="L19" s="17" t="n">
        <f aca="false">SUM(L15:L18)</f>
        <v>0</v>
      </c>
      <c r="M19" s="17" t="n">
        <f aca="false">SUM(M15:M18)</f>
        <v>0</v>
      </c>
    </row>
    <row r="20" customFormat="false" ht="15" hidden="false" customHeight="false" outlineLevel="0" collapsed="false">
      <c r="A20" s="12" t="s">
        <v>61</v>
      </c>
      <c r="B20" s="12" t="s">
        <v>62</v>
      </c>
      <c r="C20" s="13" t="n">
        <f aca="false">COUNTIF(西日本第二ブロック!$D$5:$D$13,B20)</f>
        <v>1</v>
      </c>
      <c r="D20" s="13" t="n">
        <f aca="false">COUNTIFS(西日本第二ブロック!$D$5:$D$13,B20,西日本第二ブロック!$J$5:$J$13,"&lt;&gt;")</f>
        <v>0</v>
      </c>
      <c r="E20" s="13" t="n">
        <f aca="false">C20-D20</f>
        <v>1</v>
      </c>
      <c r="F20" s="14" t="n">
        <f aca="false">IF(C20=0,0,D20/C20)</f>
        <v>0</v>
      </c>
      <c r="G20" s="13" t="n">
        <f aca="false">COUNTIFS(西日本第二ブロック!$D$5:$D$13,$B20,西日本第二ブロック!$J$5:$J$13,"A：23時完全閉店")</f>
        <v>0</v>
      </c>
      <c r="H20" s="13" t="n">
        <f aca="false">COUNTIFS(西日本第二ブロック!$D$5:$D$13,$B20,西日本第二ブロック!$J$5:$J$13,"B：最終入店から100分確保")</f>
        <v>0</v>
      </c>
      <c r="I20" s="13" t="n">
        <f aca="false">COUNTIFS(西日本第二ブロック!$D$5:$D$13,$B20,西日本第二ブロック!$J$5:$J$13,"店舗により異なる")</f>
        <v>0</v>
      </c>
      <c r="J20" s="13" t="n">
        <f aca="false">COUNTIFS(西日本第二ブロック!$D$5:$D$13,$B20,西日本第二ブロック!$J$5:$J$13,"検討中")</f>
        <v>0</v>
      </c>
      <c r="K20" s="13" t="n">
        <f aca="false">COUNTIF(店舗別明細!$B$5:$B$134,B20)</f>
        <v>3</v>
      </c>
      <c r="L20" s="13" t="n">
        <f aca="false">COUNTIFS(店舗別明細!$B$5:$B$134,B20,店舗別明細!$H$5:$H$134,"A：23時完全閉店")</f>
        <v>0</v>
      </c>
      <c r="M20" s="13" t="n">
        <f aca="false">COUNTIFS(店舗別明細!$B$5:$B$134,B20,店舗別明細!$H$5:$H$134,"B：最終入店から100分確保")</f>
        <v>0</v>
      </c>
    </row>
    <row r="21" customFormat="false" ht="15" hidden="false" customHeight="false" outlineLevel="0" collapsed="false">
      <c r="A21" s="12" t="s">
        <v>61</v>
      </c>
      <c r="B21" s="12" t="s">
        <v>63</v>
      </c>
      <c r="C21" s="13" t="n">
        <f aca="false">COUNTIF(西日本第二ブロック!$D$5:$D$13,B21)</f>
        <v>2</v>
      </c>
      <c r="D21" s="13" t="n">
        <f aca="false">COUNTIFS(西日本第二ブロック!$D$5:$D$13,B21,西日本第二ブロック!$J$5:$J$13,"&lt;&gt;")</f>
        <v>0</v>
      </c>
      <c r="E21" s="13" t="n">
        <f aca="false">C21-D21</f>
        <v>2</v>
      </c>
      <c r="F21" s="14" t="n">
        <f aca="false">IF(C21=0,0,D21/C21)</f>
        <v>0</v>
      </c>
      <c r="G21" s="13" t="n">
        <f aca="false">COUNTIFS(西日本第二ブロック!$D$5:$D$13,$B21,西日本第二ブロック!$J$5:$J$13,"A：23時完全閉店")</f>
        <v>0</v>
      </c>
      <c r="H21" s="13" t="n">
        <f aca="false">COUNTIFS(西日本第二ブロック!$D$5:$D$13,$B21,西日本第二ブロック!$J$5:$J$13,"B：最終入店から100分確保")</f>
        <v>0</v>
      </c>
      <c r="I21" s="13" t="n">
        <f aca="false">COUNTIFS(西日本第二ブロック!$D$5:$D$13,$B21,西日本第二ブロック!$J$5:$J$13,"店舗により異なる")</f>
        <v>0</v>
      </c>
      <c r="J21" s="13" t="n">
        <f aca="false">COUNTIFS(西日本第二ブロック!$D$5:$D$13,$B21,西日本第二ブロック!$J$5:$J$13,"検討中")</f>
        <v>0</v>
      </c>
      <c r="K21" s="13" t="n">
        <f aca="false">COUNTIF(店舗別明細!$B$5:$B$134,B21)</f>
        <v>4</v>
      </c>
      <c r="L21" s="13" t="n">
        <f aca="false">COUNTIFS(店舗別明細!$B$5:$B$134,B21,店舗別明細!$H$5:$H$134,"A：23時完全閉店")</f>
        <v>0</v>
      </c>
      <c r="M21" s="13" t="n">
        <f aca="false">COUNTIFS(店舗別明細!$B$5:$B$134,B21,店舗別明細!$H$5:$H$134,"B：最終入店から100分確保")</f>
        <v>0</v>
      </c>
    </row>
    <row r="22" customFormat="false" ht="15" hidden="false" customHeight="false" outlineLevel="0" collapsed="false">
      <c r="A22" s="12" t="s">
        <v>61</v>
      </c>
      <c r="B22" s="12" t="s">
        <v>64</v>
      </c>
      <c r="C22" s="13" t="n">
        <f aca="false">COUNTIF(西日本第二ブロック!$D$5:$D$13,B22)</f>
        <v>2</v>
      </c>
      <c r="D22" s="13" t="n">
        <f aca="false">COUNTIFS(西日本第二ブロック!$D$5:$D$13,B22,西日本第二ブロック!$J$5:$J$13,"&lt;&gt;")</f>
        <v>0</v>
      </c>
      <c r="E22" s="13" t="n">
        <f aca="false">C22-D22</f>
        <v>2</v>
      </c>
      <c r="F22" s="14" t="n">
        <f aca="false">IF(C22=0,0,D22/C22)</f>
        <v>0</v>
      </c>
      <c r="G22" s="13" t="n">
        <f aca="false">COUNTIFS(西日本第二ブロック!$D$5:$D$13,$B22,西日本第二ブロック!$J$5:$J$13,"A：23時完全閉店")</f>
        <v>0</v>
      </c>
      <c r="H22" s="13" t="n">
        <f aca="false">COUNTIFS(西日本第二ブロック!$D$5:$D$13,$B22,西日本第二ブロック!$J$5:$J$13,"B：最終入店から100分確保")</f>
        <v>0</v>
      </c>
      <c r="I22" s="13" t="n">
        <f aca="false">COUNTIFS(西日本第二ブロック!$D$5:$D$13,$B22,西日本第二ブロック!$J$5:$J$13,"店舗により異なる")</f>
        <v>0</v>
      </c>
      <c r="J22" s="13" t="n">
        <f aca="false">COUNTIFS(西日本第二ブロック!$D$5:$D$13,$B22,西日本第二ブロック!$J$5:$J$13,"検討中")</f>
        <v>0</v>
      </c>
      <c r="K22" s="13" t="n">
        <f aca="false">COUNTIF(店舗別明細!$B$5:$B$134,B22)</f>
        <v>4</v>
      </c>
      <c r="L22" s="13" t="n">
        <f aca="false">COUNTIFS(店舗別明細!$B$5:$B$134,B22,店舗別明細!$H$5:$H$134,"A：23時完全閉店")</f>
        <v>0</v>
      </c>
      <c r="M22" s="13" t="n">
        <f aca="false">COUNTIFS(店舗別明細!$B$5:$B$134,B22,店舗別明細!$H$5:$H$134,"B：最終入店から100分確保")</f>
        <v>0</v>
      </c>
    </row>
    <row r="23" customFormat="false" ht="15" hidden="false" customHeight="false" outlineLevel="0" collapsed="false">
      <c r="A23" s="12" t="s">
        <v>61</v>
      </c>
      <c r="B23" s="12" t="s">
        <v>65</v>
      </c>
      <c r="C23" s="13" t="n">
        <f aca="false">COUNTIF(西日本第二ブロック!$D$5:$D$13,B23)</f>
        <v>1</v>
      </c>
      <c r="D23" s="13" t="n">
        <f aca="false">COUNTIFS(西日本第二ブロック!$D$5:$D$13,B23,西日本第二ブロック!$J$5:$J$13,"&lt;&gt;")</f>
        <v>0</v>
      </c>
      <c r="E23" s="13" t="n">
        <f aca="false">C23-D23</f>
        <v>1</v>
      </c>
      <c r="F23" s="14" t="n">
        <f aca="false">IF(C23=0,0,D23/C23)</f>
        <v>0</v>
      </c>
      <c r="G23" s="13" t="n">
        <f aca="false">COUNTIFS(西日本第二ブロック!$D$5:$D$13,$B23,西日本第二ブロック!$J$5:$J$13,"A：23時完全閉店")</f>
        <v>0</v>
      </c>
      <c r="H23" s="13" t="n">
        <f aca="false">COUNTIFS(西日本第二ブロック!$D$5:$D$13,$B23,西日本第二ブロック!$J$5:$J$13,"B：最終入店から100分確保")</f>
        <v>0</v>
      </c>
      <c r="I23" s="13" t="n">
        <f aca="false">COUNTIFS(西日本第二ブロック!$D$5:$D$13,$B23,西日本第二ブロック!$J$5:$J$13,"店舗により異なる")</f>
        <v>0</v>
      </c>
      <c r="J23" s="13" t="n">
        <f aca="false">COUNTIFS(西日本第二ブロック!$D$5:$D$13,$B23,西日本第二ブロック!$J$5:$J$13,"検討中")</f>
        <v>0</v>
      </c>
      <c r="K23" s="13" t="n">
        <f aca="false">COUNTIF(店舗別明細!$B$5:$B$134,B23)</f>
        <v>2</v>
      </c>
      <c r="L23" s="13" t="n">
        <f aca="false">COUNTIFS(店舗別明細!$B$5:$B$134,B23,店舗別明細!$H$5:$H$134,"A：23時完全閉店")</f>
        <v>0</v>
      </c>
      <c r="M23" s="13" t="n">
        <f aca="false">COUNTIFS(店舗別明細!$B$5:$B$134,B23,店舗別明細!$H$5:$H$134,"B：最終入店から100分確保")</f>
        <v>0</v>
      </c>
    </row>
    <row r="24" customFormat="false" ht="15" hidden="false" customHeight="false" outlineLevel="0" collapsed="false">
      <c r="A24" s="12" t="s">
        <v>61</v>
      </c>
      <c r="B24" s="12" t="s">
        <v>66</v>
      </c>
      <c r="C24" s="13" t="n">
        <f aca="false">COUNTIF(西日本第二ブロック!$D$5:$D$13,B24)</f>
        <v>2</v>
      </c>
      <c r="D24" s="13" t="n">
        <f aca="false">COUNTIFS(西日本第二ブロック!$D$5:$D$13,B24,西日本第二ブロック!$J$5:$J$13,"&lt;&gt;")</f>
        <v>0</v>
      </c>
      <c r="E24" s="13" t="n">
        <f aca="false">C24-D24</f>
        <v>2</v>
      </c>
      <c r="F24" s="14" t="n">
        <f aca="false">IF(C24=0,0,D24/C24)</f>
        <v>0</v>
      </c>
      <c r="G24" s="13" t="n">
        <f aca="false">COUNTIFS(西日本第二ブロック!$D$5:$D$13,$B24,西日本第二ブロック!$J$5:$J$13,"A：23時完全閉店")</f>
        <v>0</v>
      </c>
      <c r="H24" s="13" t="n">
        <f aca="false">COUNTIFS(西日本第二ブロック!$D$5:$D$13,$B24,西日本第二ブロック!$J$5:$J$13,"B：最終入店から100分確保")</f>
        <v>0</v>
      </c>
      <c r="I24" s="13" t="n">
        <f aca="false">COUNTIFS(西日本第二ブロック!$D$5:$D$13,$B24,西日本第二ブロック!$J$5:$J$13,"店舗により異なる")</f>
        <v>0</v>
      </c>
      <c r="J24" s="13" t="n">
        <f aca="false">COUNTIFS(西日本第二ブロック!$D$5:$D$13,$B24,西日本第二ブロック!$J$5:$J$13,"検討中")</f>
        <v>0</v>
      </c>
      <c r="K24" s="13" t="n">
        <f aca="false">COUNTIF(店舗別明細!$B$5:$B$134,B24)</f>
        <v>3</v>
      </c>
      <c r="L24" s="13" t="n">
        <f aca="false">COUNTIFS(店舗別明細!$B$5:$B$134,B24,店舗別明細!$H$5:$H$134,"A：23時完全閉店")</f>
        <v>0</v>
      </c>
      <c r="M24" s="13" t="n">
        <f aca="false">COUNTIFS(店舗別明細!$B$5:$B$134,B24,店舗別明細!$H$5:$H$134,"B：最終入店から100分確保")</f>
        <v>0</v>
      </c>
    </row>
    <row r="25" customFormat="false" ht="15" hidden="false" customHeight="false" outlineLevel="0" collapsed="false">
      <c r="A25" s="12" t="s">
        <v>61</v>
      </c>
      <c r="B25" s="12" t="s">
        <v>67</v>
      </c>
      <c r="C25" s="13" t="n">
        <f aca="false">COUNTIF(西日本第二ブロック!$D$5:$D$13,B25)</f>
        <v>1</v>
      </c>
      <c r="D25" s="13" t="n">
        <f aca="false">COUNTIFS(西日本第二ブロック!$D$5:$D$13,B25,西日本第二ブロック!$J$5:$J$13,"&lt;&gt;")</f>
        <v>0</v>
      </c>
      <c r="E25" s="13" t="n">
        <f aca="false">C25-D25</f>
        <v>1</v>
      </c>
      <c r="F25" s="14" t="n">
        <f aca="false">IF(C25=0,0,D25/C25)</f>
        <v>0</v>
      </c>
      <c r="G25" s="13" t="n">
        <f aca="false">COUNTIFS(西日本第二ブロック!$D$5:$D$13,$B25,西日本第二ブロック!$J$5:$J$13,"A：23時完全閉店")</f>
        <v>0</v>
      </c>
      <c r="H25" s="13" t="n">
        <f aca="false">COUNTIFS(西日本第二ブロック!$D$5:$D$13,$B25,西日本第二ブロック!$J$5:$J$13,"B：最終入店から100分確保")</f>
        <v>0</v>
      </c>
      <c r="I25" s="13" t="n">
        <f aca="false">COUNTIFS(西日本第二ブロック!$D$5:$D$13,$B25,西日本第二ブロック!$J$5:$J$13,"店舗により異なる")</f>
        <v>0</v>
      </c>
      <c r="J25" s="13" t="n">
        <f aca="false">COUNTIFS(西日本第二ブロック!$D$5:$D$13,$B25,西日本第二ブロック!$J$5:$J$13,"検討中")</f>
        <v>0</v>
      </c>
      <c r="K25" s="13" t="n">
        <f aca="false">COUNTIF(店舗別明細!$B$5:$B$134,B25)</f>
        <v>43</v>
      </c>
      <c r="L25" s="13" t="n">
        <f aca="false">COUNTIFS(店舗別明細!$B$5:$B$134,B25,店舗別明細!$H$5:$H$134,"A：23時完全閉店")</f>
        <v>0</v>
      </c>
      <c r="M25" s="13" t="n">
        <f aca="false">COUNTIFS(店舗別明細!$B$5:$B$134,B25,店舗別明細!$H$5:$H$134,"B：最終入店から100分確保")</f>
        <v>0</v>
      </c>
    </row>
    <row r="26" customFormat="false" ht="26.85" hidden="false" customHeight="false" outlineLevel="0" collapsed="false">
      <c r="A26" s="15" t="s">
        <v>68</v>
      </c>
      <c r="B26" s="16" t="s">
        <v>69</v>
      </c>
      <c r="C26" s="17" t="n">
        <f aca="false">SUM(C20:C25)</f>
        <v>9</v>
      </c>
      <c r="D26" s="17" t="n">
        <f aca="false">SUM(D20:D25)</f>
        <v>0</v>
      </c>
      <c r="E26" s="17" t="n">
        <f aca="false">SUM(E20:E25)</f>
        <v>9</v>
      </c>
      <c r="F26" s="18" t="n">
        <f aca="false">IF(C26=0,0,D26/C26)</f>
        <v>0</v>
      </c>
      <c r="G26" s="17" t="n">
        <f aca="false">SUM(G20:G25)</f>
        <v>0</v>
      </c>
      <c r="H26" s="17" t="n">
        <f aca="false">SUM(H20:H25)</f>
        <v>0</v>
      </c>
      <c r="I26" s="17" t="n">
        <f aca="false">SUM(I20:I25)</f>
        <v>0</v>
      </c>
      <c r="J26" s="17" t="n">
        <f aca="false">SUM(J20:J25)</f>
        <v>0</v>
      </c>
      <c r="K26" s="17" t="n">
        <f aca="false">SUM(K20:K25)</f>
        <v>59</v>
      </c>
      <c r="L26" s="17" t="n">
        <f aca="false">SUM(L20:L25)</f>
        <v>0</v>
      </c>
      <c r="M26" s="17" t="n">
        <f aca="false">SUM(M20:M25)</f>
        <v>0</v>
      </c>
    </row>
    <row r="27" customFormat="false" ht="15" hidden="false" customHeight="false" outlineLevel="0" collapsed="false">
      <c r="A27" s="19" t="s">
        <v>70</v>
      </c>
      <c r="B27" s="19"/>
      <c r="C27" s="20" t="n">
        <f aca="false">C9+C14+C19+C26</f>
        <v>28</v>
      </c>
      <c r="D27" s="20" t="n">
        <f aca="false">D9+D14+D19+D26</f>
        <v>0</v>
      </c>
      <c r="E27" s="20" t="n">
        <f aca="false">E9+E14+E19+E26</f>
        <v>28</v>
      </c>
      <c r="F27" s="21" t="n">
        <f aca="false">IF(C27=0,0,D27/C27)</f>
        <v>0</v>
      </c>
      <c r="G27" s="20" t="n">
        <f aca="false">G9+G14+G19+G26</f>
        <v>0</v>
      </c>
      <c r="H27" s="20" t="n">
        <f aca="false">H9+H14+H19+H26</f>
        <v>0</v>
      </c>
      <c r="I27" s="20" t="n">
        <f aca="false">I9+I14+I19+I26</f>
        <v>0</v>
      </c>
      <c r="J27" s="20" t="n">
        <f aca="false">J9+J14+J19+J26</f>
        <v>0</v>
      </c>
      <c r="K27" s="20" t="n">
        <f aca="false">K9+K14+K19+K26</f>
        <v>130</v>
      </c>
      <c r="L27" s="20" t="n">
        <f aca="false">L9+L14+L19+L26</f>
        <v>0</v>
      </c>
      <c r="M27" s="20" t="n">
        <f aca="false">M9+M14+M19+M26</f>
        <v>0</v>
      </c>
    </row>
    <row r="29" customFormat="false" ht="15" hidden="false" customHeight="false" outlineLevel="0" collapsed="false">
      <c r="A29" s="2" t="s">
        <v>71</v>
      </c>
    </row>
  </sheetData>
  <conditionalFormatting sqref="F5:F27">
    <cfRule type="dataBar" priority="2">
      <dataBar showValue="1" minLength="10" maxLength="90">
        <cfvo type="num" val="0"/>
        <cfvo type="num" val="1"/>
        <color rgb="FF70AD47"/>
      </dataBar>
      <extLst>
        <ext xmlns:x14="http://schemas.microsoft.com/office/spreadsheetml/2009/9/main" uri="{B025F937-C7B1-47D3-B67F-A62EFF666E3E}">
          <x14:id>{D5815B6D-5690-47F4-9A66-B7EFCCF05BC1}</x14:id>
        </ext>
      </extLst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815B6D-5690-47F4-9A66-B7EFCCF05BC1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70AD47"/>
              <x14:axisColor rgb="FF000000"/>
            </x14:dataBar>
          </x14:cfRule>
          <xm:sqref>F5:F27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2" min="11" style="0" width="32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true" outlineLevel="0" max="15" min="15" style="0" width="4"/>
  </cols>
  <sheetData>
    <row r="1" customFormat="false" ht="17.35" hidden="false" customHeight="false" outlineLevel="0" collapsed="false">
      <c r="A1" s="1" t="s">
        <v>72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11" t="s">
        <v>74</v>
      </c>
      <c r="B4" s="10" t="s">
        <v>28</v>
      </c>
      <c r="C4" s="10" t="s">
        <v>75</v>
      </c>
      <c r="D4" s="11" t="s">
        <v>29</v>
      </c>
      <c r="E4" s="10" t="s">
        <v>76</v>
      </c>
      <c r="F4" s="10" t="s">
        <v>37</v>
      </c>
      <c r="G4" s="10" t="s">
        <v>77</v>
      </c>
      <c r="H4" s="10" t="s">
        <v>78</v>
      </c>
      <c r="I4" s="10" t="s">
        <v>79</v>
      </c>
      <c r="J4" s="10" t="s">
        <v>17</v>
      </c>
      <c r="K4" s="10" t="s">
        <v>80</v>
      </c>
      <c r="L4" s="10" t="s">
        <v>81</v>
      </c>
      <c r="M4" s="10" t="s">
        <v>82</v>
      </c>
      <c r="N4" s="10" t="s">
        <v>23</v>
      </c>
      <c r="O4" s="11" t="s">
        <v>83</v>
      </c>
    </row>
    <row r="5" customFormat="false" ht="105.95" hidden="false" customHeight="false" outlineLevel="0" collapsed="false">
      <c r="A5" s="22" t="n">
        <v>1</v>
      </c>
      <c r="B5" s="12" t="s">
        <v>40</v>
      </c>
      <c r="C5" s="12" t="s">
        <v>84</v>
      </c>
      <c r="D5" s="12" t="s">
        <v>41</v>
      </c>
      <c r="E5" s="12" t="s">
        <v>85</v>
      </c>
      <c r="F5" s="22" t="n">
        <f aca="false">COUNTIFS(店舗別明細!$B$5:$B$134,D5,店舗別明細!$C$5:$C$134,E5)</f>
        <v>4</v>
      </c>
      <c r="G5" s="12" t="s">
        <v>86</v>
      </c>
      <c r="H5" s="23"/>
      <c r="I5" s="24"/>
      <c r="J5" s="25"/>
      <c r="K5" s="24"/>
      <c r="L5" s="24"/>
      <c r="M5" s="25"/>
      <c r="N5" s="24"/>
      <c r="O5" s="26" t="str">
        <f aca="false">D5&amp;"|"&amp;E5</f>
        <v>星 雄二|㈱グローバル・ノースジャパン</v>
      </c>
    </row>
    <row r="6" customFormat="false" ht="43.25" hidden="false" customHeight="false" outlineLevel="0" collapsed="false">
      <c r="A6" s="22" t="n">
        <v>2</v>
      </c>
      <c r="B6" s="12" t="s">
        <v>40</v>
      </c>
      <c r="C6" s="12" t="s">
        <v>84</v>
      </c>
      <c r="D6" s="12" t="s">
        <v>41</v>
      </c>
      <c r="E6" s="12" t="s">
        <v>87</v>
      </c>
      <c r="F6" s="22" t="n">
        <f aca="false">COUNTIFS(店舗別明細!$B$5:$B$134,D6,店舗別明細!$C$5:$C$134,E6)</f>
        <v>1</v>
      </c>
      <c r="G6" s="12" t="s">
        <v>88</v>
      </c>
      <c r="H6" s="23"/>
      <c r="I6" s="24"/>
      <c r="J6" s="25"/>
      <c r="K6" s="24"/>
      <c r="L6" s="24"/>
      <c r="M6" s="25"/>
      <c r="N6" s="24"/>
      <c r="O6" s="26" t="str">
        <f aca="false">D6&amp;"|"&amp;E6</f>
        <v>星 雄二|㈱北星</v>
      </c>
    </row>
    <row r="7" customFormat="false" ht="74.6" hidden="false" customHeight="false" outlineLevel="0" collapsed="false">
      <c r="A7" s="27" t="n">
        <v>3</v>
      </c>
      <c r="B7" s="28" t="s">
        <v>40</v>
      </c>
      <c r="C7" s="28" t="s">
        <v>84</v>
      </c>
      <c r="D7" s="28" t="s">
        <v>42</v>
      </c>
      <c r="E7" s="28" t="s">
        <v>89</v>
      </c>
      <c r="F7" s="27" t="n">
        <f aca="false">COUNTIFS(店舗別明細!$B$5:$B$134,D7,店舗別明細!$C$5:$C$134,E7)</f>
        <v>1</v>
      </c>
      <c r="G7" s="28" t="s">
        <v>90</v>
      </c>
      <c r="H7" s="29"/>
      <c r="I7" s="30"/>
      <c r="J7" s="31"/>
      <c r="K7" s="30"/>
      <c r="L7" s="30"/>
      <c r="M7" s="31"/>
      <c r="N7" s="30"/>
      <c r="O7" s="26" t="str">
        <f aca="false">D7&amp;"|"&amp;E7</f>
        <v>佐々木 潤|㈱MAGNETIC</v>
      </c>
    </row>
    <row r="8" customFormat="false" ht="74.6" hidden="false" customHeight="false" outlineLevel="0" collapsed="false">
      <c r="A8" s="22" t="n">
        <v>4</v>
      </c>
      <c r="B8" s="12" t="s">
        <v>40</v>
      </c>
      <c r="C8" s="12" t="s">
        <v>84</v>
      </c>
      <c r="D8" s="12" t="s">
        <v>42</v>
      </c>
      <c r="E8" s="12" t="s">
        <v>91</v>
      </c>
      <c r="F8" s="22" t="n">
        <f aca="false">COUNTIFS(店舗別明細!$B$5:$B$134,D8,店舗別明細!$C$5:$C$134,E8)</f>
        <v>2</v>
      </c>
      <c r="G8" s="12" t="s">
        <v>92</v>
      </c>
      <c r="H8" s="23"/>
      <c r="I8" s="24"/>
      <c r="J8" s="25"/>
      <c r="K8" s="24"/>
      <c r="L8" s="24"/>
      <c r="M8" s="25"/>
      <c r="N8" s="24"/>
      <c r="O8" s="26" t="str">
        <f aca="false">D8&amp;"|"&amp;E8</f>
        <v>佐々木 潤|㈱テイザンフーズ</v>
      </c>
    </row>
    <row r="9" customFormat="false" ht="53.7" hidden="false" customHeight="false" outlineLevel="0" collapsed="false">
      <c r="A9" s="27" t="n">
        <v>5</v>
      </c>
      <c r="B9" s="28" t="s">
        <v>40</v>
      </c>
      <c r="C9" s="28" t="s">
        <v>84</v>
      </c>
      <c r="D9" s="28" t="s">
        <v>43</v>
      </c>
      <c r="E9" s="28" t="s">
        <v>93</v>
      </c>
      <c r="F9" s="27" t="n">
        <f aca="false">COUNTIFS(店舗別明細!$B$5:$B$134,D9,店舗別明細!$C$5:$C$134,E9)</f>
        <v>5</v>
      </c>
      <c r="G9" s="28" t="s">
        <v>94</v>
      </c>
      <c r="H9" s="29"/>
      <c r="I9" s="30"/>
      <c r="J9" s="31"/>
      <c r="K9" s="30"/>
      <c r="L9" s="30"/>
      <c r="M9" s="31"/>
      <c r="N9" s="30"/>
      <c r="O9" s="26" t="str">
        <f aca="false">D9&amp;"|"&amp;E9</f>
        <v>平田 裕治|㈱ホコタ</v>
      </c>
    </row>
    <row r="10" customFormat="false" ht="74.6" hidden="false" customHeight="false" outlineLevel="0" collapsed="false">
      <c r="A10" s="27" t="n">
        <v>6</v>
      </c>
      <c r="B10" s="28" t="s">
        <v>40</v>
      </c>
      <c r="C10" s="28" t="s">
        <v>84</v>
      </c>
      <c r="D10" s="28" t="s">
        <v>44</v>
      </c>
      <c r="E10" s="28" t="s">
        <v>95</v>
      </c>
      <c r="F10" s="27" t="n">
        <f aca="false">COUNTIFS(店舗別明細!$B$5:$B$134,D10,店舗別明細!$C$5:$C$134,E10)</f>
        <v>6</v>
      </c>
      <c r="G10" s="28" t="s">
        <v>96</v>
      </c>
      <c r="H10" s="29"/>
      <c r="I10" s="30"/>
      <c r="J10" s="31"/>
      <c r="K10" s="30"/>
      <c r="L10" s="30"/>
      <c r="M10" s="31"/>
      <c r="N10" s="30"/>
      <c r="O10" s="26" t="str">
        <f aca="false">D10&amp;"|"&amp;E10</f>
        <v>西山 幸大|㈱サンフジフーズ</v>
      </c>
    </row>
    <row r="11" customFormat="false" ht="74.6" hidden="false" customHeight="false" outlineLevel="0" collapsed="false">
      <c r="A11" s="22" t="n">
        <v>7</v>
      </c>
      <c r="B11" s="12" t="s">
        <v>40</v>
      </c>
      <c r="C11" s="12" t="s">
        <v>84</v>
      </c>
      <c r="D11" s="12" t="s">
        <v>44</v>
      </c>
      <c r="E11" s="12" t="s">
        <v>97</v>
      </c>
      <c r="F11" s="22" t="n">
        <f aca="false">COUNTIFS(店舗別明細!$B$5:$B$134,D11,店舗別明細!$C$5:$C$134,E11)</f>
        <v>5</v>
      </c>
      <c r="G11" s="12" t="s">
        <v>98</v>
      </c>
      <c r="H11" s="23"/>
      <c r="I11" s="24"/>
      <c r="J11" s="25"/>
      <c r="K11" s="24"/>
      <c r="L11" s="24"/>
      <c r="M11" s="25"/>
      <c r="N11" s="24"/>
      <c r="O11" s="26" t="str">
        <f aca="false">D11&amp;"|"&amp;E11</f>
        <v>西山 幸大|㈱しおさいフーズ</v>
      </c>
    </row>
  </sheetData>
  <autoFilter ref="A4:N11"/>
  <conditionalFormatting sqref="A5:N11">
    <cfRule type="expression" priority="2" aboveAverage="0" equalAverage="0" bottom="0" percent="0" rank="0" text="" dxfId="4">
      <formula>$J5&lt;&gt;""</formula>
    </cfRule>
  </conditionalFormatting>
  <dataValidations count="2">
    <dataValidation allowBlank="true" errorStyle="stop" operator="between" showDropDown="false" showErrorMessage="false" showInputMessage="false" sqref="J5:J11" type="list">
      <formula1>"A：23時完全閉店,B：最終入店から100分確保,店舗により異なる,検討中"</formula1>
      <formula2>0</formula2>
    </dataValidation>
    <dataValidation allowBlank="true" errorStyle="stop" operator="greaterThan" showDropDown="false" showErrorMessage="false" showInputMessage="false" sqref="H5:H11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8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2" min="11" style="0" width="32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true" outlineLevel="0" max="15" min="15" style="0" width="4"/>
  </cols>
  <sheetData>
    <row r="1" customFormat="false" ht="17.35" hidden="false" customHeight="false" outlineLevel="0" collapsed="false">
      <c r="A1" s="1" t="s">
        <v>99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11" t="s">
        <v>74</v>
      </c>
      <c r="B4" s="10" t="s">
        <v>28</v>
      </c>
      <c r="C4" s="10" t="s">
        <v>75</v>
      </c>
      <c r="D4" s="11" t="s">
        <v>29</v>
      </c>
      <c r="E4" s="10" t="s">
        <v>76</v>
      </c>
      <c r="F4" s="10" t="s">
        <v>37</v>
      </c>
      <c r="G4" s="10" t="s">
        <v>77</v>
      </c>
      <c r="H4" s="10" t="s">
        <v>78</v>
      </c>
      <c r="I4" s="10" t="s">
        <v>79</v>
      </c>
      <c r="J4" s="10" t="s">
        <v>17</v>
      </c>
      <c r="K4" s="10" t="s">
        <v>80</v>
      </c>
      <c r="L4" s="10" t="s">
        <v>81</v>
      </c>
      <c r="M4" s="10" t="s">
        <v>82</v>
      </c>
      <c r="N4" s="10" t="s">
        <v>23</v>
      </c>
      <c r="O4" s="11" t="s">
        <v>83</v>
      </c>
    </row>
    <row r="5" customFormat="false" ht="43.25" hidden="false" customHeight="false" outlineLevel="0" collapsed="false">
      <c r="A5" s="22" t="n">
        <v>1</v>
      </c>
      <c r="B5" s="12" t="s">
        <v>47</v>
      </c>
      <c r="C5" s="12" t="s">
        <v>100</v>
      </c>
      <c r="D5" s="12" t="s">
        <v>48</v>
      </c>
      <c r="E5" s="12" t="s">
        <v>101</v>
      </c>
      <c r="F5" s="22" t="n">
        <f aca="false">COUNTIFS(店舗別明細!$B$5:$B$134,D5,店舗別明細!$C$5:$C$134,E5)</f>
        <v>6</v>
      </c>
      <c r="G5" s="12" t="s">
        <v>102</v>
      </c>
      <c r="H5" s="23"/>
      <c r="I5" s="24"/>
      <c r="J5" s="25"/>
      <c r="K5" s="24"/>
      <c r="L5" s="24"/>
      <c r="M5" s="25"/>
      <c r="N5" s="24"/>
      <c r="O5" s="26" t="str">
        <f aca="false">D5&amp;"|"&amp;E5</f>
        <v>片寄 蒼|㈱本久</v>
      </c>
    </row>
    <row r="6" customFormat="false" ht="95.5" hidden="false" customHeight="false" outlineLevel="0" collapsed="false">
      <c r="A6" s="27" t="n">
        <v>2</v>
      </c>
      <c r="B6" s="28" t="s">
        <v>47</v>
      </c>
      <c r="C6" s="28" t="s">
        <v>100</v>
      </c>
      <c r="D6" s="28" t="s">
        <v>49</v>
      </c>
      <c r="E6" s="28" t="s">
        <v>103</v>
      </c>
      <c r="F6" s="27" t="n">
        <f aca="false">COUNTIFS(店舗別明細!$B$5:$B$134,D6,店舗別明細!$C$5:$C$134,E6)</f>
        <v>3</v>
      </c>
      <c r="G6" s="28" t="s">
        <v>104</v>
      </c>
      <c r="H6" s="29"/>
      <c r="I6" s="30"/>
      <c r="J6" s="31"/>
      <c r="K6" s="30"/>
      <c r="L6" s="30"/>
      <c r="M6" s="31"/>
      <c r="N6" s="30"/>
      <c r="O6" s="26" t="str">
        <f aca="false">D6&amp;"|"&amp;E6</f>
        <v>永田 翔馬|株式会社フードフォワード</v>
      </c>
    </row>
    <row r="7" customFormat="false" ht="85.05" hidden="false" customHeight="false" outlineLevel="0" collapsed="false">
      <c r="A7" s="27" t="n">
        <v>3</v>
      </c>
      <c r="B7" s="28" t="s">
        <v>47</v>
      </c>
      <c r="C7" s="28" t="s">
        <v>100</v>
      </c>
      <c r="D7" s="28" t="s">
        <v>50</v>
      </c>
      <c r="E7" s="28" t="s">
        <v>105</v>
      </c>
      <c r="F7" s="27" t="n">
        <f aca="false">COUNTIFS(店舗別明細!$B$5:$B$134,D7,店舗別明細!$C$5:$C$134,E7)</f>
        <v>7</v>
      </c>
      <c r="G7" s="28" t="s">
        <v>106</v>
      </c>
      <c r="H7" s="29"/>
      <c r="I7" s="30"/>
      <c r="J7" s="31"/>
      <c r="K7" s="30"/>
      <c r="L7" s="30"/>
      <c r="M7" s="31"/>
      <c r="N7" s="30"/>
      <c r="O7" s="26" t="str">
        <f aca="false">D7&amp;"|"&amp;E7</f>
        <v>酒井 胤樹|ノヴィルフォーワード㈱</v>
      </c>
    </row>
    <row r="8" customFormat="false" ht="43.25" hidden="false" customHeight="false" outlineLevel="0" collapsed="false">
      <c r="A8" s="27" t="n">
        <v>4</v>
      </c>
      <c r="B8" s="28" t="s">
        <v>47</v>
      </c>
      <c r="C8" s="28" t="s">
        <v>100</v>
      </c>
      <c r="D8" s="28" t="s">
        <v>51</v>
      </c>
      <c r="E8" s="28" t="s">
        <v>101</v>
      </c>
      <c r="F8" s="27" t="n">
        <f aca="false">COUNTIFS(店舗別明細!$B$5:$B$134,D8,店舗別明細!$C$5:$C$134,E8)</f>
        <v>2</v>
      </c>
      <c r="G8" s="28" t="s">
        <v>107</v>
      </c>
      <c r="H8" s="29"/>
      <c r="I8" s="30"/>
      <c r="J8" s="31"/>
      <c r="K8" s="30"/>
      <c r="L8" s="30"/>
      <c r="M8" s="31"/>
      <c r="N8" s="30"/>
      <c r="O8" s="26" t="str">
        <f aca="false">D8&amp;"|"&amp;E8</f>
        <v>佐藤 恵介|㈱本久</v>
      </c>
    </row>
  </sheetData>
  <autoFilter ref="A4:N8"/>
  <conditionalFormatting sqref="A5:N8">
    <cfRule type="expression" priority="2" aboveAverage="0" equalAverage="0" bottom="0" percent="0" rank="0" text="" dxfId="4">
      <formula>$J5&lt;&gt;""</formula>
    </cfRule>
  </conditionalFormatting>
  <dataValidations count="2">
    <dataValidation allowBlank="true" errorStyle="stop" operator="between" showDropDown="false" showErrorMessage="false" showInputMessage="false" sqref="J5:J8" type="list">
      <formula1>"A：23時完全閉店,B：最終入店から100分確保,店舗により異なる,検討中"</formula1>
      <formula2>0</formula2>
    </dataValidation>
    <dataValidation allowBlank="true" errorStyle="stop" operator="greaterThan" showDropDown="false" showErrorMessage="false" showInputMessage="false" sqref="H5:H8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2" min="11" style="0" width="32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true" outlineLevel="0" max="15" min="15" style="0" width="4"/>
  </cols>
  <sheetData>
    <row r="1" customFormat="false" ht="17.35" hidden="false" customHeight="false" outlineLevel="0" collapsed="false">
      <c r="A1" s="1" t="s">
        <v>108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11" t="s">
        <v>74</v>
      </c>
      <c r="B4" s="10" t="s">
        <v>28</v>
      </c>
      <c r="C4" s="10" t="s">
        <v>75</v>
      </c>
      <c r="D4" s="11" t="s">
        <v>29</v>
      </c>
      <c r="E4" s="10" t="s">
        <v>76</v>
      </c>
      <c r="F4" s="10" t="s">
        <v>37</v>
      </c>
      <c r="G4" s="10" t="s">
        <v>77</v>
      </c>
      <c r="H4" s="10" t="s">
        <v>78</v>
      </c>
      <c r="I4" s="10" t="s">
        <v>79</v>
      </c>
      <c r="J4" s="10" t="s">
        <v>17</v>
      </c>
      <c r="K4" s="10" t="s">
        <v>80</v>
      </c>
      <c r="L4" s="10" t="s">
        <v>81</v>
      </c>
      <c r="M4" s="10" t="s">
        <v>82</v>
      </c>
      <c r="N4" s="10" t="s">
        <v>23</v>
      </c>
      <c r="O4" s="11" t="s">
        <v>83</v>
      </c>
    </row>
    <row r="5" customFormat="false" ht="43.25" hidden="false" customHeight="false" outlineLevel="0" collapsed="false">
      <c r="A5" s="22" t="n">
        <v>1</v>
      </c>
      <c r="B5" s="12" t="s">
        <v>54</v>
      </c>
      <c r="C5" s="12" t="s">
        <v>109</v>
      </c>
      <c r="D5" s="12" t="s">
        <v>55</v>
      </c>
      <c r="E5" s="12" t="s">
        <v>101</v>
      </c>
      <c r="F5" s="22" t="n">
        <f aca="false">COUNTIFS(店舗別明細!$B$5:$B$134,D5,店舗別明細!$C$5:$C$134,E5)</f>
        <v>2</v>
      </c>
      <c r="G5" s="12" t="s">
        <v>110</v>
      </c>
      <c r="H5" s="23"/>
      <c r="I5" s="24"/>
      <c r="J5" s="25"/>
      <c r="K5" s="24"/>
      <c r="L5" s="24"/>
      <c r="M5" s="25"/>
      <c r="N5" s="24"/>
      <c r="O5" s="26" t="str">
        <f aca="false">D5&amp;"|"&amp;E5</f>
        <v>松山 哲弘|㈱本久</v>
      </c>
    </row>
    <row r="6" customFormat="false" ht="53.7" hidden="false" customHeight="false" outlineLevel="0" collapsed="false">
      <c r="A6" s="22" t="n">
        <v>2</v>
      </c>
      <c r="B6" s="12" t="s">
        <v>54</v>
      </c>
      <c r="C6" s="12" t="s">
        <v>109</v>
      </c>
      <c r="D6" s="12" t="s">
        <v>55</v>
      </c>
      <c r="E6" s="12" t="s">
        <v>111</v>
      </c>
      <c r="F6" s="22" t="n">
        <f aca="false">COUNTIFS(店舗別明細!$B$5:$B$134,D6,店舗別明細!$C$5:$C$134,E6)</f>
        <v>1</v>
      </c>
      <c r="G6" s="12" t="s">
        <v>112</v>
      </c>
      <c r="H6" s="23"/>
      <c r="I6" s="24"/>
      <c r="J6" s="25"/>
      <c r="K6" s="24"/>
      <c r="L6" s="24"/>
      <c r="M6" s="25"/>
      <c r="N6" s="24"/>
      <c r="O6" s="26" t="str">
        <f aca="false">D6&amp;"|"&amp;E6</f>
        <v>松山 哲弘|中信興業㈱</v>
      </c>
    </row>
    <row r="7" customFormat="false" ht="64.15" hidden="false" customHeight="false" outlineLevel="0" collapsed="false">
      <c r="A7" s="27" t="n">
        <v>3</v>
      </c>
      <c r="B7" s="28" t="s">
        <v>54</v>
      </c>
      <c r="C7" s="28" t="s">
        <v>109</v>
      </c>
      <c r="D7" s="28" t="s">
        <v>56</v>
      </c>
      <c r="E7" s="28" t="s">
        <v>113</v>
      </c>
      <c r="F7" s="27" t="n">
        <f aca="false">COUNTIFS(店舗別明細!$B$5:$B$134,D7,店舗別明細!$C$5:$C$134,E7)</f>
        <v>2</v>
      </c>
      <c r="G7" s="28" t="s">
        <v>114</v>
      </c>
      <c r="H7" s="29"/>
      <c r="I7" s="30"/>
      <c r="J7" s="31"/>
      <c r="K7" s="30"/>
      <c r="L7" s="30"/>
      <c r="M7" s="31"/>
      <c r="N7" s="30"/>
      <c r="O7" s="26" t="str">
        <f aca="false">D7&amp;"|"&amp;E7</f>
        <v>金 ヨンギョン|日映㈱</v>
      </c>
    </row>
    <row r="8" customFormat="false" ht="64.15" hidden="false" customHeight="false" outlineLevel="0" collapsed="false">
      <c r="A8" s="22" t="n">
        <v>4</v>
      </c>
      <c r="B8" s="12" t="s">
        <v>54</v>
      </c>
      <c r="C8" s="12" t="s">
        <v>109</v>
      </c>
      <c r="D8" s="12" t="s">
        <v>56</v>
      </c>
      <c r="E8" s="12" t="s">
        <v>115</v>
      </c>
      <c r="F8" s="22" t="n">
        <f aca="false">COUNTIFS(店舗別明細!$B$5:$B$134,D8,店舗別明細!$C$5:$C$134,E8)</f>
        <v>1</v>
      </c>
      <c r="G8" s="12" t="s">
        <v>116</v>
      </c>
      <c r="H8" s="23"/>
      <c r="I8" s="24"/>
      <c r="J8" s="25"/>
      <c r="K8" s="24"/>
      <c r="L8" s="24"/>
      <c r="M8" s="25"/>
      <c r="N8" s="24"/>
      <c r="O8" s="26" t="str">
        <f aca="false">D8&amp;"|"&amp;E8</f>
        <v>金 ヨンギョン|㈱呉竹荘</v>
      </c>
    </row>
    <row r="9" customFormat="false" ht="53.7" hidden="false" customHeight="false" outlineLevel="0" collapsed="false">
      <c r="A9" s="27" t="n">
        <v>5</v>
      </c>
      <c r="B9" s="28" t="s">
        <v>54</v>
      </c>
      <c r="C9" s="28" t="s">
        <v>109</v>
      </c>
      <c r="D9" s="28" t="s">
        <v>57</v>
      </c>
      <c r="E9" s="28" t="s">
        <v>117</v>
      </c>
      <c r="F9" s="27" t="n">
        <f aca="false">COUNTIFS(店舗別明細!$B$5:$B$134,D9,店舗別明細!$C$5:$C$134,E9)</f>
        <v>7</v>
      </c>
      <c r="G9" s="28" t="s">
        <v>118</v>
      </c>
      <c r="H9" s="29"/>
      <c r="I9" s="30"/>
      <c r="J9" s="31"/>
      <c r="K9" s="30"/>
      <c r="L9" s="30"/>
      <c r="M9" s="31"/>
      <c r="N9" s="30"/>
      <c r="O9" s="26" t="str">
        <f aca="false">D9&amp;"|"&amp;E9</f>
        <v>名越 康祐|豊田産業㈱</v>
      </c>
    </row>
    <row r="10" customFormat="false" ht="53.7" hidden="false" customHeight="false" outlineLevel="0" collapsed="false">
      <c r="A10" s="22" t="n">
        <v>6</v>
      </c>
      <c r="B10" s="12" t="s">
        <v>54</v>
      </c>
      <c r="C10" s="12" t="s">
        <v>109</v>
      </c>
      <c r="D10" s="12" t="s">
        <v>57</v>
      </c>
      <c r="E10" s="12" t="s">
        <v>119</v>
      </c>
      <c r="F10" s="22" t="n">
        <f aca="false">COUNTIFS(店舗別明細!$B$5:$B$134,D10,店舗別明細!$C$5:$C$134,E10)</f>
        <v>10</v>
      </c>
      <c r="G10" s="12" t="s">
        <v>120</v>
      </c>
      <c r="H10" s="23"/>
      <c r="I10" s="24"/>
      <c r="J10" s="25"/>
      <c r="K10" s="24"/>
      <c r="L10" s="24"/>
      <c r="M10" s="25"/>
      <c r="N10" s="24"/>
      <c r="O10" s="26" t="str">
        <f aca="false">D10&amp;"|"&amp;E10</f>
        <v>名越 康祐|㈱食物語</v>
      </c>
    </row>
    <row r="11" customFormat="false" ht="74.6" hidden="false" customHeight="false" outlineLevel="0" collapsed="false">
      <c r="A11" s="22" t="n">
        <v>7</v>
      </c>
      <c r="B11" s="12" t="s">
        <v>54</v>
      </c>
      <c r="C11" s="12" t="s">
        <v>109</v>
      </c>
      <c r="D11" s="12" t="s">
        <v>57</v>
      </c>
      <c r="E11" s="12" t="s">
        <v>121</v>
      </c>
      <c r="F11" s="22" t="n">
        <f aca="false">COUNTIFS(店舗別明細!$B$5:$B$134,D11,店舗別明細!$C$5:$C$134,E11)</f>
        <v>1</v>
      </c>
      <c r="G11" s="12" t="s">
        <v>122</v>
      </c>
      <c r="H11" s="23"/>
      <c r="I11" s="24"/>
      <c r="J11" s="25"/>
      <c r="K11" s="24"/>
      <c r="L11" s="24"/>
      <c r="M11" s="25"/>
      <c r="N11" s="24"/>
      <c r="O11" s="26" t="str">
        <f aca="false">D11&amp;"|"&amp;E11</f>
        <v>名越 康祐|㈱名鉄ミライート</v>
      </c>
    </row>
    <row r="12" customFormat="false" ht="95.5" hidden="false" customHeight="false" outlineLevel="0" collapsed="false">
      <c r="A12" s="27" t="n">
        <v>8</v>
      </c>
      <c r="B12" s="28" t="s">
        <v>54</v>
      </c>
      <c r="C12" s="28" t="s">
        <v>109</v>
      </c>
      <c r="D12" s="28" t="s">
        <v>58</v>
      </c>
      <c r="E12" s="28" t="s">
        <v>123</v>
      </c>
      <c r="F12" s="27" t="n">
        <f aca="false">COUNTIFS(店舗別明細!$B$5:$B$134,D12,店舗別明細!$C$5:$C$134,E12)</f>
        <v>5</v>
      </c>
      <c r="G12" s="28" t="s">
        <v>124</v>
      </c>
      <c r="H12" s="29"/>
      <c r="I12" s="30"/>
      <c r="J12" s="31"/>
      <c r="K12" s="30"/>
      <c r="L12" s="30"/>
      <c r="M12" s="31"/>
      <c r="N12" s="30"/>
      <c r="O12" s="26" t="str">
        <f aca="false">D12&amp;"|"&amp;E12</f>
        <v>髙谷 祥平|㈱デイリーカフェ＆フーズ</v>
      </c>
    </row>
  </sheetData>
  <autoFilter ref="A4:N12"/>
  <conditionalFormatting sqref="A5:N12">
    <cfRule type="expression" priority="2" aboveAverage="0" equalAverage="0" bottom="0" percent="0" rank="0" text="" dxfId="4">
      <formula>$J5&lt;&gt;""</formula>
    </cfRule>
  </conditionalFormatting>
  <dataValidations count="2">
    <dataValidation allowBlank="true" errorStyle="stop" operator="between" showDropDown="false" showErrorMessage="false" showInputMessage="false" sqref="J5:J12" type="list">
      <formula1>"A：23時完全閉店,B：最終入店から100分確保,店舗により異なる,検討中"</formula1>
      <formula2>0</formula2>
    </dataValidation>
    <dataValidation allowBlank="true" errorStyle="stop" operator="greaterThan" showDropDown="false" showErrorMessage="false" showInputMessage="false" sqref="H5:H12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11"/>
    <col collapsed="false" customWidth="true" hidden="false" outlineLevel="0" max="4" min="4" style="0" width="13"/>
    <col collapsed="false" customWidth="true" hidden="false" outlineLevel="0" max="5" min="5" style="0" width="26"/>
    <col collapsed="false" customWidth="true" hidden="false" outlineLevel="0" max="6" min="6" style="0" width="8"/>
    <col collapsed="false" customWidth="true" hidden="false" outlineLevel="0" max="7" min="7" style="0" width="36"/>
    <col collapsed="false" customWidth="true" hidden="false" outlineLevel="0" max="8" min="8" style="0" width="12"/>
    <col collapsed="false" customWidth="true" hidden="false" outlineLevel="0" max="9" min="9" style="0" width="18"/>
    <col collapsed="false" customWidth="true" hidden="false" outlineLevel="0" max="10" min="10" style="0" width="24"/>
    <col collapsed="false" customWidth="true" hidden="false" outlineLevel="0" max="12" min="11" style="0" width="32"/>
    <col collapsed="false" customWidth="true" hidden="false" outlineLevel="0" max="13" min="13" style="0" width="14"/>
    <col collapsed="false" customWidth="true" hidden="false" outlineLevel="0" max="14" min="14" style="0" width="24"/>
    <col collapsed="false" customWidth="true" hidden="true" outlineLevel="0" max="15" min="15" style="0" width="4"/>
  </cols>
  <sheetData>
    <row r="1" customFormat="false" ht="17.35" hidden="false" customHeight="false" outlineLevel="0" collapsed="false">
      <c r="A1" s="1" t="s">
        <v>125</v>
      </c>
    </row>
    <row r="2" customFormat="false" ht="15" hidden="false" customHeight="false" outlineLevel="0" collapsed="false">
      <c r="A2" s="2" t="s">
        <v>73</v>
      </c>
    </row>
    <row r="4" customFormat="false" ht="30" hidden="false" customHeight="true" outlineLevel="0" collapsed="false">
      <c r="A4" s="11" t="s">
        <v>74</v>
      </c>
      <c r="B4" s="10" t="s">
        <v>28</v>
      </c>
      <c r="C4" s="10" t="s">
        <v>75</v>
      </c>
      <c r="D4" s="11" t="s">
        <v>29</v>
      </c>
      <c r="E4" s="10" t="s">
        <v>76</v>
      </c>
      <c r="F4" s="10" t="s">
        <v>37</v>
      </c>
      <c r="G4" s="10" t="s">
        <v>77</v>
      </c>
      <c r="H4" s="10" t="s">
        <v>78</v>
      </c>
      <c r="I4" s="10" t="s">
        <v>79</v>
      </c>
      <c r="J4" s="10" t="s">
        <v>17</v>
      </c>
      <c r="K4" s="10" t="s">
        <v>80</v>
      </c>
      <c r="L4" s="10" t="s">
        <v>81</v>
      </c>
      <c r="M4" s="10" t="s">
        <v>82</v>
      </c>
      <c r="N4" s="10" t="s">
        <v>23</v>
      </c>
      <c r="O4" s="11" t="s">
        <v>83</v>
      </c>
    </row>
    <row r="5" customFormat="false" ht="74.6" hidden="false" customHeight="false" outlineLevel="0" collapsed="false">
      <c r="A5" s="22" t="n">
        <v>1</v>
      </c>
      <c r="B5" s="12" t="s">
        <v>61</v>
      </c>
      <c r="C5" s="12" t="s">
        <v>126</v>
      </c>
      <c r="D5" s="12" t="s">
        <v>62</v>
      </c>
      <c r="E5" s="12" t="s">
        <v>127</v>
      </c>
      <c r="F5" s="22" t="n">
        <f aca="false">COUNTIFS(店舗別明細!$B$5:$B$134,D5,店舗別明細!$C$5:$C$134,E5)</f>
        <v>3</v>
      </c>
      <c r="G5" s="12" t="s">
        <v>128</v>
      </c>
      <c r="H5" s="23"/>
      <c r="I5" s="24"/>
      <c r="J5" s="25"/>
      <c r="K5" s="24"/>
      <c r="L5" s="24"/>
      <c r="M5" s="25"/>
      <c r="N5" s="24"/>
      <c r="O5" s="26" t="str">
        <f aca="false">D5&amp;"|"&amp;E5</f>
        <v>上野 正裕|㈱平和ダイニング</v>
      </c>
    </row>
    <row r="6" customFormat="false" ht="64.15" hidden="false" customHeight="false" outlineLevel="0" collapsed="false">
      <c r="A6" s="27" t="n">
        <v>2</v>
      </c>
      <c r="B6" s="28" t="s">
        <v>61</v>
      </c>
      <c r="C6" s="28" t="s">
        <v>126</v>
      </c>
      <c r="D6" s="28" t="s">
        <v>63</v>
      </c>
      <c r="E6" s="28" t="s">
        <v>129</v>
      </c>
      <c r="F6" s="27" t="n">
        <f aca="false">COUNTIFS(店舗別明細!$B$5:$B$134,D6,店舗別明細!$C$5:$C$134,E6)</f>
        <v>3</v>
      </c>
      <c r="G6" s="28" t="s">
        <v>130</v>
      </c>
      <c r="H6" s="29"/>
      <c r="I6" s="30"/>
      <c r="J6" s="31"/>
      <c r="K6" s="30"/>
      <c r="L6" s="30"/>
      <c r="M6" s="31"/>
      <c r="N6" s="30"/>
      <c r="O6" s="26" t="str">
        <f aca="false">D6&amp;"|"&amp;E6</f>
        <v>武田 聖志|㈱コロンブス</v>
      </c>
    </row>
    <row r="7" customFormat="false" ht="64.15" hidden="false" customHeight="false" outlineLevel="0" collapsed="false">
      <c r="A7" s="22" t="n">
        <v>3</v>
      </c>
      <c r="B7" s="12" t="s">
        <v>61</v>
      </c>
      <c r="C7" s="12" t="s">
        <v>126</v>
      </c>
      <c r="D7" s="12" t="s">
        <v>63</v>
      </c>
      <c r="E7" s="12" t="s">
        <v>131</v>
      </c>
      <c r="F7" s="22" t="n">
        <f aca="false">COUNTIFS(店舗別明細!$B$5:$B$134,D7,店舗別明細!$C$5:$C$134,E7)</f>
        <v>1</v>
      </c>
      <c r="G7" s="12" t="s">
        <v>132</v>
      </c>
      <c r="H7" s="23"/>
      <c r="I7" s="24"/>
      <c r="J7" s="25"/>
      <c r="K7" s="24"/>
      <c r="L7" s="24"/>
      <c r="M7" s="25"/>
      <c r="N7" s="24"/>
      <c r="O7" s="26" t="str">
        <f aca="false">D7&amp;"|"&amp;E7</f>
        <v>武田 聖志|㈱ヨロチョー</v>
      </c>
    </row>
    <row r="8" customFormat="false" ht="64.15" hidden="false" customHeight="false" outlineLevel="0" collapsed="false">
      <c r="A8" s="27" t="n">
        <v>4</v>
      </c>
      <c r="B8" s="28" t="s">
        <v>61</v>
      </c>
      <c r="C8" s="28" t="s">
        <v>126</v>
      </c>
      <c r="D8" s="28" t="s">
        <v>64</v>
      </c>
      <c r="E8" s="28" t="s">
        <v>133</v>
      </c>
      <c r="F8" s="27" t="n">
        <f aca="false">COUNTIFS(店舗別明細!$B$5:$B$134,D8,店舗別明細!$C$5:$C$134,E8)</f>
        <v>1</v>
      </c>
      <c r="G8" s="28" t="s">
        <v>134</v>
      </c>
      <c r="H8" s="29"/>
      <c r="I8" s="30"/>
      <c r="J8" s="31"/>
      <c r="K8" s="30"/>
      <c r="L8" s="30"/>
      <c r="M8" s="31"/>
      <c r="N8" s="30"/>
      <c r="O8" s="26" t="str">
        <f aca="false">D8&amp;"|"&amp;E8</f>
        <v>古川 智彦|㈱エスフーズ</v>
      </c>
    </row>
    <row r="9" customFormat="false" ht="85.05" hidden="false" customHeight="false" outlineLevel="0" collapsed="false">
      <c r="A9" s="22" t="n">
        <v>5</v>
      </c>
      <c r="B9" s="12" t="s">
        <v>61</v>
      </c>
      <c r="C9" s="12" t="s">
        <v>126</v>
      </c>
      <c r="D9" s="12" t="s">
        <v>64</v>
      </c>
      <c r="E9" s="12" t="s">
        <v>135</v>
      </c>
      <c r="F9" s="22" t="n">
        <f aca="false">COUNTIFS(店舗別明細!$B$5:$B$134,D9,店舗別明細!$C$5:$C$134,E9)</f>
        <v>3</v>
      </c>
      <c r="G9" s="12" t="s">
        <v>136</v>
      </c>
      <c r="H9" s="23"/>
      <c r="I9" s="24"/>
      <c r="J9" s="25"/>
      <c r="K9" s="24"/>
      <c r="L9" s="24"/>
      <c r="M9" s="25"/>
      <c r="N9" s="24"/>
      <c r="O9" s="26" t="str">
        <f aca="false">D9&amp;"|"&amp;E9</f>
        <v>古川 智彦|ノヴィルフロンティア㈱</v>
      </c>
    </row>
    <row r="10" customFormat="false" ht="43.25" hidden="false" customHeight="false" outlineLevel="0" collapsed="false">
      <c r="A10" s="27" t="n">
        <v>6</v>
      </c>
      <c r="B10" s="28" t="s">
        <v>61</v>
      </c>
      <c r="C10" s="28" t="s">
        <v>126</v>
      </c>
      <c r="D10" s="28" t="s">
        <v>65</v>
      </c>
      <c r="E10" s="28" t="s">
        <v>137</v>
      </c>
      <c r="F10" s="27" t="n">
        <f aca="false">COUNTIFS(店舗別明細!$B$5:$B$134,D10,店舗別明細!$C$5:$C$134,E10)</f>
        <v>2</v>
      </c>
      <c r="G10" s="28" t="s">
        <v>138</v>
      </c>
      <c r="H10" s="29"/>
      <c r="I10" s="30"/>
      <c r="J10" s="31"/>
      <c r="K10" s="30"/>
      <c r="L10" s="30"/>
      <c r="M10" s="31"/>
      <c r="N10" s="30"/>
      <c r="O10" s="26" t="str">
        <f aca="false">D10&amp;"|"&amp;E10</f>
        <v>岡村 愛理|㈱桜家</v>
      </c>
    </row>
    <row r="11" customFormat="false" ht="53.7" hidden="false" customHeight="false" outlineLevel="0" collapsed="false">
      <c r="A11" s="27" t="n">
        <v>7</v>
      </c>
      <c r="B11" s="28" t="s">
        <v>61</v>
      </c>
      <c r="C11" s="28" t="s">
        <v>126</v>
      </c>
      <c r="D11" s="28" t="s">
        <v>66</v>
      </c>
      <c r="E11" s="28" t="s">
        <v>139</v>
      </c>
      <c r="F11" s="27" t="n">
        <f aca="false">COUNTIFS(店舗別明細!$B$5:$B$134,D11,店舗別明細!$C$5:$C$134,E11)</f>
        <v>1</v>
      </c>
      <c r="G11" s="28" t="s">
        <v>140</v>
      </c>
      <c r="H11" s="29"/>
      <c r="I11" s="30"/>
      <c r="J11" s="31"/>
      <c r="K11" s="30"/>
      <c r="L11" s="30"/>
      <c r="M11" s="31"/>
      <c r="N11" s="30"/>
      <c r="O11" s="26" t="str">
        <f aca="false">D11&amp;"|"&amp;E11</f>
        <v>谷本 浩之|㈲林田飼料</v>
      </c>
    </row>
    <row r="12" customFormat="false" ht="43.25" hidden="false" customHeight="false" outlineLevel="0" collapsed="false">
      <c r="A12" s="22" t="n">
        <v>8</v>
      </c>
      <c r="B12" s="12" t="s">
        <v>61</v>
      </c>
      <c r="C12" s="12" t="s">
        <v>126</v>
      </c>
      <c r="D12" s="12" t="s">
        <v>66</v>
      </c>
      <c r="E12" s="12" t="s">
        <v>137</v>
      </c>
      <c r="F12" s="22" t="n">
        <f aca="false">COUNTIFS(店舗別明細!$B$5:$B$134,D12,店舗別明細!$C$5:$C$134,E12)</f>
        <v>2</v>
      </c>
      <c r="G12" s="12" t="s">
        <v>141</v>
      </c>
      <c r="H12" s="23"/>
      <c r="I12" s="24"/>
      <c r="J12" s="25"/>
      <c r="K12" s="24"/>
      <c r="L12" s="24"/>
      <c r="M12" s="25"/>
      <c r="N12" s="24"/>
      <c r="O12" s="26" t="str">
        <f aca="false">D12&amp;"|"&amp;E12</f>
        <v>谷本 浩之|㈱桜家</v>
      </c>
    </row>
    <row r="13" customFormat="false" ht="141" hidden="false" customHeight="false" outlineLevel="0" collapsed="false">
      <c r="A13" s="27" t="n">
        <v>9</v>
      </c>
      <c r="B13" s="28" t="s">
        <v>61</v>
      </c>
      <c r="C13" s="28" t="s">
        <v>126</v>
      </c>
      <c r="D13" s="28" t="s">
        <v>67</v>
      </c>
      <c r="E13" s="28" t="s">
        <v>142</v>
      </c>
      <c r="F13" s="27" t="n">
        <f aca="false">COUNTIFS(店舗別明細!$B$5:$B$134,D13,店舗別明細!$C$5:$C$134,E13)</f>
        <v>43</v>
      </c>
      <c r="G13" s="28" t="s">
        <v>143</v>
      </c>
      <c r="H13" s="29"/>
      <c r="I13" s="30"/>
      <c r="J13" s="31"/>
      <c r="K13" s="30"/>
      <c r="L13" s="30"/>
      <c r="M13" s="31"/>
      <c r="N13" s="30"/>
      <c r="O13" s="26" t="str">
        <f aca="false">D13&amp;"|"&amp;E13</f>
        <v>陳 学|㈱ｇlob</v>
      </c>
    </row>
  </sheetData>
  <autoFilter ref="A4:N13"/>
  <conditionalFormatting sqref="A5:N13">
    <cfRule type="expression" priority="2" aboveAverage="0" equalAverage="0" bottom="0" percent="0" rank="0" text="" dxfId="4">
      <formula>$J5&lt;&gt;""</formula>
    </cfRule>
  </conditionalFormatting>
  <dataValidations count="2">
    <dataValidation allowBlank="true" errorStyle="stop" operator="between" showDropDown="false" showErrorMessage="false" showInputMessage="false" sqref="J5:J13" type="list">
      <formula1>"A：23時完全閉店,B：最終入店から100分確保,店舗により異なる,検討中"</formula1>
      <formula2>0</formula2>
    </dataValidation>
    <dataValidation allowBlank="true" errorStyle="stop" operator="greaterThan" showDropDown="false" showErrorMessage="false" showInputMessage="false" sqref="H5:H13" type="date">
      <formula1>DATE(2026,1,1)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5" ySplit="4" topLeftCell="F5" activePane="bottomRight" state="frozen"/>
      <selection pane="topLeft" activeCell="A1" activeCellId="0" sqref="A1"/>
      <selection pane="topRight" activeCell="F1" activeCellId="0" sqref="F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26"/>
    <col collapsed="false" customWidth="true" hidden="false" outlineLevel="0" max="4" min="4" style="0" width="8"/>
    <col collapsed="false" customWidth="true" hidden="false" outlineLevel="0" max="5" min="5" style="0" width="18"/>
    <col collapsed="false" customWidth="true" hidden="false" outlineLevel="0" max="8" min="6" style="0" width="24"/>
    <col collapsed="false" customWidth="true" hidden="false" outlineLevel="0" max="10" min="9" style="0" width="12"/>
    <col collapsed="false" customWidth="true" hidden="false" outlineLevel="0" max="11" min="11" style="0" width="14"/>
    <col collapsed="false" customWidth="true" hidden="false" outlineLevel="0" max="12" min="12" style="0" width="28"/>
  </cols>
  <sheetData>
    <row r="1" customFormat="false" ht="19.4" hidden="false" customHeight="false" outlineLevel="0" collapsed="false">
      <c r="A1" s="32" t="s">
        <v>144</v>
      </c>
    </row>
    <row r="2" customFormat="false" ht="15" hidden="false" customHeight="false" outlineLevel="0" collapsed="false">
      <c r="A2" s="2" t="s">
        <v>145</v>
      </c>
    </row>
    <row r="4" customFormat="false" ht="30" hidden="false" customHeight="true" outlineLevel="0" collapsed="false">
      <c r="A4" s="10" t="s">
        <v>28</v>
      </c>
      <c r="B4" s="11" t="s">
        <v>29</v>
      </c>
      <c r="C4" s="10" t="s">
        <v>76</v>
      </c>
      <c r="D4" s="10" t="s">
        <v>146</v>
      </c>
      <c r="E4" s="10" t="s">
        <v>147</v>
      </c>
      <c r="F4" s="10" t="s">
        <v>148</v>
      </c>
      <c r="G4" s="10" t="s">
        <v>149</v>
      </c>
      <c r="H4" s="10" t="s">
        <v>150</v>
      </c>
      <c r="I4" s="10" t="s">
        <v>151</v>
      </c>
      <c r="J4" s="10" t="s">
        <v>152</v>
      </c>
      <c r="K4" s="11" t="s">
        <v>153</v>
      </c>
      <c r="L4" s="10" t="s">
        <v>23</v>
      </c>
    </row>
    <row r="5" customFormat="false" ht="26.85" hidden="false" customHeight="false" outlineLevel="0" collapsed="false">
      <c r="A5" s="12" t="s">
        <v>40</v>
      </c>
      <c r="B5" s="12" t="s">
        <v>41</v>
      </c>
      <c r="C5" s="12" t="s">
        <v>85</v>
      </c>
      <c r="D5" s="13" t="n">
        <v>2156</v>
      </c>
      <c r="E5" s="12" t="s">
        <v>154</v>
      </c>
      <c r="F5" s="12" t="str">
        <f aca="false">IFERROR(IF(INDEX(東日本第一ブロック!$J$5:$J$11,MATCH(B5&amp;"|"&amp;C5,東日本第一ブロック!$O$5:$O$11,0))="","未回答",INDEX(東日本第一ブロック!$J$5:$J$11,MATCH(B5&amp;"|"&amp;C5,東日本第一ブロック!$O$5:$O$11,0))),"未回答")</f>
        <v>未回答</v>
      </c>
      <c r="G5" s="24"/>
      <c r="H5" s="12" t="str">
        <f aca="false">IF(G5&lt;&gt;"",G5,F5)</f>
        <v>未回答</v>
      </c>
      <c r="I5" s="33"/>
      <c r="J5" s="33"/>
      <c r="K5" s="34" t="str">
        <f aca="false">IF(OR(J5="",LEFT(H5,1)&lt;&gt;"B"),"",MOD(J5+TIME(1,40,0),1))</f>
        <v/>
      </c>
      <c r="L5" s="24"/>
    </row>
    <row r="6" customFormat="false" ht="26.85" hidden="false" customHeight="false" outlineLevel="0" collapsed="false">
      <c r="A6" s="12" t="s">
        <v>40</v>
      </c>
      <c r="B6" s="12" t="s">
        <v>41</v>
      </c>
      <c r="C6" s="12" t="s">
        <v>85</v>
      </c>
      <c r="D6" s="13" t="n">
        <v>2183</v>
      </c>
      <c r="E6" s="12" t="s">
        <v>155</v>
      </c>
      <c r="F6" s="12" t="str">
        <f aca="false">IFERROR(IF(INDEX(東日本第一ブロック!$J$5:$J$11,MATCH(B6&amp;"|"&amp;C6,東日本第一ブロック!$O$5:$O$11,0))="","未回答",INDEX(東日本第一ブロック!$J$5:$J$11,MATCH(B6&amp;"|"&amp;C6,東日本第一ブロック!$O$5:$O$11,0))),"未回答")</f>
        <v>未回答</v>
      </c>
      <c r="G6" s="24"/>
      <c r="H6" s="12" t="str">
        <f aca="false">IF(G6&lt;&gt;"",G6,F6)</f>
        <v>未回答</v>
      </c>
      <c r="I6" s="33"/>
      <c r="J6" s="33"/>
      <c r="K6" s="34" t="str">
        <f aca="false">IF(OR(J6="",LEFT(H6,1)&lt;&gt;"B"),"",MOD(J6+TIME(1,40,0),1))</f>
        <v/>
      </c>
      <c r="L6" s="24"/>
    </row>
    <row r="7" customFormat="false" ht="26.85" hidden="false" customHeight="false" outlineLevel="0" collapsed="false">
      <c r="A7" s="12" t="s">
        <v>40</v>
      </c>
      <c r="B7" s="12" t="s">
        <v>41</v>
      </c>
      <c r="C7" s="12" t="s">
        <v>85</v>
      </c>
      <c r="D7" s="13" t="n">
        <v>2253</v>
      </c>
      <c r="E7" s="12" t="s">
        <v>156</v>
      </c>
      <c r="F7" s="12" t="str">
        <f aca="false">IFERROR(IF(INDEX(東日本第一ブロック!$J$5:$J$11,MATCH(B7&amp;"|"&amp;C7,東日本第一ブロック!$O$5:$O$11,0))="","未回答",INDEX(東日本第一ブロック!$J$5:$J$11,MATCH(B7&amp;"|"&amp;C7,東日本第一ブロック!$O$5:$O$11,0))),"未回答")</f>
        <v>未回答</v>
      </c>
      <c r="G7" s="24"/>
      <c r="H7" s="12" t="str">
        <f aca="false">IF(G7&lt;&gt;"",G7,F7)</f>
        <v>未回答</v>
      </c>
      <c r="I7" s="33"/>
      <c r="J7" s="33"/>
      <c r="K7" s="34" t="str">
        <f aca="false">IF(OR(J7="",LEFT(H7,1)&lt;&gt;"B"),"",MOD(J7+TIME(1,40,0),1))</f>
        <v/>
      </c>
      <c r="L7" s="24"/>
    </row>
    <row r="8" customFormat="false" ht="26.85" hidden="false" customHeight="false" outlineLevel="0" collapsed="false">
      <c r="A8" s="12" t="s">
        <v>40</v>
      </c>
      <c r="B8" s="12" t="s">
        <v>41</v>
      </c>
      <c r="C8" s="12" t="s">
        <v>85</v>
      </c>
      <c r="D8" s="13" t="n">
        <v>2388</v>
      </c>
      <c r="E8" s="12" t="s">
        <v>157</v>
      </c>
      <c r="F8" s="12" t="str">
        <f aca="false">IFERROR(IF(INDEX(東日本第一ブロック!$J$5:$J$11,MATCH(B8&amp;"|"&amp;C8,東日本第一ブロック!$O$5:$O$11,0))="","未回答",INDEX(東日本第一ブロック!$J$5:$J$11,MATCH(B8&amp;"|"&amp;C8,東日本第一ブロック!$O$5:$O$11,0))),"未回答")</f>
        <v>未回答</v>
      </c>
      <c r="G8" s="24"/>
      <c r="H8" s="12" t="str">
        <f aca="false">IF(G8&lt;&gt;"",G8,F8)</f>
        <v>未回答</v>
      </c>
      <c r="I8" s="33"/>
      <c r="J8" s="33"/>
      <c r="K8" s="34" t="str">
        <f aca="false">IF(OR(J8="",LEFT(H8,1)&lt;&gt;"B"),"",MOD(J8+TIME(1,40,0),1))</f>
        <v/>
      </c>
      <c r="L8" s="24"/>
    </row>
    <row r="9" customFormat="false" ht="26.85" hidden="false" customHeight="false" outlineLevel="0" collapsed="false">
      <c r="A9" s="12" t="s">
        <v>40</v>
      </c>
      <c r="B9" s="12" t="s">
        <v>41</v>
      </c>
      <c r="C9" s="12" t="s">
        <v>87</v>
      </c>
      <c r="D9" s="13" t="n">
        <v>2364</v>
      </c>
      <c r="E9" s="12" t="s">
        <v>88</v>
      </c>
      <c r="F9" s="12" t="str">
        <f aca="false">IFERROR(IF(INDEX(東日本第一ブロック!$J$5:$J$11,MATCH(B9&amp;"|"&amp;C9,東日本第一ブロック!$O$5:$O$11,0))="","未回答",INDEX(東日本第一ブロック!$J$5:$J$11,MATCH(B9&amp;"|"&amp;C9,東日本第一ブロック!$O$5:$O$11,0))),"未回答")</f>
        <v>未回答</v>
      </c>
      <c r="G9" s="24"/>
      <c r="H9" s="12" t="str">
        <f aca="false">IF(G9&lt;&gt;"",G9,F9)</f>
        <v>未回答</v>
      </c>
      <c r="I9" s="33"/>
      <c r="J9" s="33"/>
      <c r="K9" s="34" t="str">
        <f aca="false">IF(OR(J9="",LEFT(H9,1)&lt;&gt;"B"),"",MOD(J9+TIME(1,40,0),1))</f>
        <v/>
      </c>
      <c r="L9" s="24"/>
    </row>
    <row r="10" customFormat="false" ht="26.85" hidden="false" customHeight="false" outlineLevel="0" collapsed="false">
      <c r="A10" s="12" t="s">
        <v>40</v>
      </c>
      <c r="B10" s="12" t="s">
        <v>42</v>
      </c>
      <c r="C10" s="12" t="s">
        <v>89</v>
      </c>
      <c r="D10" s="13" t="n">
        <v>2073</v>
      </c>
      <c r="E10" s="12" t="s">
        <v>90</v>
      </c>
      <c r="F10" s="12" t="str">
        <f aca="false">IFERROR(IF(INDEX(東日本第一ブロック!$J$5:$J$11,MATCH(B10&amp;"|"&amp;C10,東日本第一ブロック!$O$5:$O$11,0))="","未回答",INDEX(東日本第一ブロック!$J$5:$J$11,MATCH(B10&amp;"|"&amp;C10,東日本第一ブロック!$O$5:$O$11,0))),"未回答")</f>
        <v>未回答</v>
      </c>
      <c r="G10" s="24"/>
      <c r="H10" s="12" t="str">
        <f aca="false">IF(G10&lt;&gt;"",G10,F10)</f>
        <v>未回答</v>
      </c>
      <c r="I10" s="33"/>
      <c r="J10" s="33"/>
      <c r="K10" s="34" t="str">
        <f aca="false">IF(OR(J10="",LEFT(H10,1)&lt;&gt;"B"),"",MOD(J10+TIME(1,40,0),1))</f>
        <v/>
      </c>
      <c r="L10" s="24"/>
    </row>
    <row r="11" customFormat="false" ht="26.85" hidden="false" customHeight="false" outlineLevel="0" collapsed="false">
      <c r="A11" s="12" t="s">
        <v>40</v>
      </c>
      <c r="B11" s="12" t="s">
        <v>42</v>
      </c>
      <c r="C11" s="12" t="s">
        <v>91</v>
      </c>
      <c r="D11" s="13" t="n">
        <v>2196</v>
      </c>
      <c r="E11" s="12" t="s">
        <v>158</v>
      </c>
      <c r="F11" s="12" t="str">
        <f aca="false">IFERROR(IF(INDEX(東日本第一ブロック!$J$5:$J$11,MATCH(B11&amp;"|"&amp;C11,東日本第一ブロック!$O$5:$O$11,0))="","未回答",INDEX(東日本第一ブロック!$J$5:$J$11,MATCH(B11&amp;"|"&amp;C11,東日本第一ブロック!$O$5:$O$11,0))),"未回答")</f>
        <v>未回答</v>
      </c>
      <c r="G11" s="24"/>
      <c r="H11" s="12" t="str">
        <f aca="false">IF(G11&lt;&gt;"",G11,F11)</f>
        <v>未回答</v>
      </c>
      <c r="I11" s="33"/>
      <c r="J11" s="33"/>
      <c r="K11" s="34" t="str">
        <f aca="false">IF(OR(J11="",LEFT(H11,1)&lt;&gt;"B"),"",MOD(J11+TIME(1,40,0),1))</f>
        <v/>
      </c>
      <c r="L11" s="24"/>
    </row>
    <row r="12" customFormat="false" ht="26.85" hidden="false" customHeight="false" outlineLevel="0" collapsed="false">
      <c r="A12" s="12" t="s">
        <v>40</v>
      </c>
      <c r="B12" s="12" t="s">
        <v>42</v>
      </c>
      <c r="C12" s="12" t="s">
        <v>91</v>
      </c>
      <c r="D12" s="13" t="n">
        <v>2390</v>
      </c>
      <c r="E12" s="12" t="s">
        <v>159</v>
      </c>
      <c r="F12" s="12" t="str">
        <f aca="false">IFERROR(IF(INDEX(東日本第一ブロック!$J$5:$J$11,MATCH(B12&amp;"|"&amp;C12,東日本第一ブロック!$O$5:$O$11,0))="","未回答",INDEX(東日本第一ブロック!$J$5:$J$11,MATCH(B12&amp;"|"&amp;C12,東日本第一ブロック!$O$5:$O$11,0))),"未回答")</f>
        <v>未回答</v>
      </c>
      <c r="G12" s="24"/>
      <c r="H12" s="12" t="str">
        <f aca="false">IF(G12&lt;&gt;"",G12,F12)</f>
        <v>未回答</v>
      </c>
      <c r="I12" s="33"/>
      <c r="J12" s="33"/>
      <c r="K12" s="34" t="str">
        <f aca="false">IF(OR(J12="",LEFT(H12,1)&lt;&gt;"B"),"",MOD(J12+TIME(1,40,0),1))</f>
        <v/>
      </c>
      <c r="L12" s="24"/>
    </row>
    <row r="13" customFormat="false" ht="26.85" hidden="false" customHeight="false" outlineLevel="0" collapsed="false">
      <c r="A13" s="12" t="s">
        <v>40</v>
      </c>
      <c r="B13" s="12" t="s">
        <v>43</v>
      </c>
      <c r="C13" s="12" t="s">
        <v>93</v>
      </c>
      <c r="D13" s="13" t="n">
        <v>2056</v>
      </c>
      <c r="E13" s="12" t="s">
        <v>160</v>
      </c>
      <c r="F13" s="12" t="str">
        <f aca="false">IFERROR(IF(INDEX(東日本第一ブロック!$J$5:$J$11,MATCH(B13&amp;"|"&amp;C13,東日本第一ブロック!$O$5:$O$11,0))="","未回答",INDEX(東日本第一ブロック!$J$5:$J$11,MATCH(B13&amp;"|"&amp;C13,東日本第一ブロック!$O$5:$O$11,0))),"未回答")</f>
        <v>未回答</v>
      </c>
      <c r="G13" s="24"/>
      <c r="H13" s="12" t="str">
        <f aca="false">IF(G13&lt;&gt;"",G13,F13)</f>
        <v>未回答</v>
      </c>
      <c r="I13" s="33"/>
      <c r="J13" s="33"/>
      <c r="K13" s="34" t="str">
        <f aca="false">IF(OR(J13="",LEFT(H13,1)&lt;&gt;"B"),"",MOD(J13+TIME(1,40,0),1))</f>
        <v/>
      </c>
      <c r="L13" s="24"/>
    </row>
    <row r="14" customFormat="false" ht="26.85" hidden="false" customHeight="false" outlineLevel="0" collapsed="false">
      <c r="A14" s="12" t="s">
        <v>40</v>
      </c>
      <c r="B14" s="12" t="s">
        <v>43</v>
      </c>
      <c r="C14" s="12" t="s">
        <v>93</v>
      </c>
      <c r="D14" s="13" t="n">
        <v>2152</v>
      </c>
      <c r="E14" s="12" t="s">
        <v>161</v>
      </c>
      <c r="F14" s="12" t="str">
        <f aca="false">IFERROR(IF(INDEX(東日本第一ブロック!$J$5:$J$11,MATCH(B14&amp;"|"&amp;C14,東日本第一ブロック!$O$5:$O$11,0))="","未回答",INDEX(東日本第一ブロック!$J$5:$J$11,MATCH(B14&amp;"|"&amp;C14,東日本第一ブロック!$O$5:$O$11,0))),"未回答")</f>
        <v>未回答</v>
      </c>
      <c r="G14" s="24"/>
      <c r="H14" s="12" t="str">
        <f aca="false">IF(G14&lt;&gt;"",G14,F14)</f>
        <v>未回答</v>
      </c>
      <c r="I14" s="33"/>
      <c r="J14" s="33"/>
      <c r="K14" s="34" t="str">
        <f aca="false">IF(OR(J14="",LEFT(H14,1)&lt;&gt;"B"),"",MOD(J14+TIME(1,40,0),1))</f>
        <v/>
      </c>
      <c r="L14" s="24"/>
    </row>
    <row r="15" customFormat="false" ht="26.85" hidden="false" customHeight="false" outlineLevel="0" collapsed="false">
      <c r="A15" s="12" t="s">
        <v>40</v>
      </c>
      <c r="B15" s="12" t="s">
        <v>43</v>
      </c>
      <c r="C15" s="12" t="s">
        <v>93</v>
      </c>
      <c r="D15" s="13" t="n">
        <v>2182</v>
      </c>
      <c r="E15" s="12" t="s">
        <v>162</v>
      </c>
      <c r="F15" s="12" t="str">
        <f aca="false">IFERROR(IF(INDEX(東日本第一ブロック!$J$5:$J$11,MATCH(B15&amp;"|"&amp;C15,東日本第一ブロック!$O$5:$O$11,0))="","未回答",INDEX(東日本第一ブロック!$J$5:$J$11,MATCH(B15&amp;"|"&amp;C15,東日本第一ブロック!$O$5:$O$11,0))),"未回答")</f>
        <v>未回答</v>
      </c>
      <c r="G15" s="24"/>
      <c r="H15" s="12" t="str">
        <f aca="false">IF(G15&lt;&gt;"",G15,F15)</f>
        <v>未回答</v>
      </c>
      <c r="I15" s="33"/>
      <c r="J15" s="33"/>
      <c r="K15" s="34" t="str">
        <f aca="false">IF(OR(J15="",LEFT(H15,1)&lt;&gt;"B"),"",MOD(J15+TIME(1,40,0),1))</f>
        <v/>
      </c>
      <c r="L15" s="24"/>
    </row>
    <row r="16" customFormat="false" ht="26.85" hidden="false" customHeight="false" outlineLevel="0" collapsed="false">
      <c r="A16" s="12" t="s">
        <v>40</v>
      </c>
      <c r="B16" s="12" t="s">
        <v>43</v>
      </c>
      <c r="C16" s="12" t="s">
        <v>93</v>
      </c>
      <c r="D16" s="13" t="n">
        <v>2262</v>
      </c>
      <c r="E16" s="12" t="s">
        <v>163</v>
      </c>
      <c r="F16" s="12" t="str">
        <f aca="false">IFERROR(IF(INDEX(東日本第一ブロック!$J$5:$J$11,MATCH(B16&amp;"|"&amp;C16,東日本第一ブロック!$O$5:$O$11,0))="","未回答",INDEX(東日本第一ブロック!$J$5:$J$11,MATCH(B16&amp;"|"&amp;C16,東日本第一ブロック!$O$5:$O$11,0))),"未回答")</f>
        <v>未回答</v>
      </c>
      <c r="G16" s="24"/>
      <c r="H16" s="12" t="str">
        <f aca="false">IF(G16&lt;&gt;"",G16,F16)</f>
        <v>未回答</v>
      </c>
      <c r="I16" s="33"/>
      <c r="J16" s="33"/>
      <c r="K16" s="34" t="str">
        <f aca="false">IF(OR(J16="",LEFT(H16,1)&lt;&gt;"B"),"",MOD(J16+TIME(1,40,0),1))</f>
        <v/>
      </c>
      <c r="L16" s="24"/>
    </row>
    <row r="17" customFormat="false" ht="26.85" hidden="false" customHeight="false" outlineLevel="0" collapsed="false">
      <c r="A17" s="12" t="s">
        <v>40</v>
      </c>
      <c r="B17" s="12" t="s">
        <v>43</v>
      </c>
      <c r="C17" s="12" t="s">
        <v>93</v>
      </c>
      <c r="D17" s="13" t="n">
        <v>2278</v>
      </c>
      <c r="E17" s="12" t="s">
        <v>164</v>
      </c>
      <c r="F17" s="12" t="str">
        <f aca="false">IFERROR(IF(INDEX(東日本第一ブロック!$J$5:$J$11,MATCH(B17&amp;"|"&amp;C17,東日本第一ブロック!$O$5:$O$11,0))="","未回答",INDEX(東日本第一ブロック!$J$5:$J$11,MATCH(B17&amp;"|"&amp;C17,東日本第一ブロック!$O$5:$O$11,0))),"未回答")</f>
        <v>未回答</v>
      </c>
      <c r="G17" s="24"/>
      <c r="H17" s="12" t="str">
        <f aca="false">IF(G17&lt;&gt;"",G17,F17)</f>
        <v>未回答</v>
      </c>
      <c r="I17" s="33"/>
      <c r="J17" s="33"/>
      <c r="K17" s="34" t="str">
        <f aca="false">IF(OR(J17="",LEFT(H17,1)&lt;&gt;"B"),"",MOD(J17+TIME(1,40,0),1))</f>
        <v/>
      </c>
      <c r="L17" s="24"/>
    </row>
    <row r="18" customFormat="false" ht="26.85" hidden="false" customHeight="false" outlineLevel="0" collapsed="false">
      <c r="A18" s="12" t="s">
        <v>40</v>
      </c>
      <c r="B18" s="12" t="s">
        <v>44</v>
      </c>
      <c r="C18" s="12" t="s">
        <v>95</v>
      </c>
      <c r="D18" s="13" t="n">
        <v>2023</v>
      </c>
      <c r="E18" s="12" t="s">
        <v>165</v>
      </c>
      <c r="F18" s="12" t="str">
        <f aca="false">IFERROR(IF(INDEX(東日本第一ブロック!$J$5:$J$11,MATCH(B18&amp;"|"&amp;C18,東日本第一ブロック!$O$5:$O$11,0))="","未回答",INDEX(東日本第一ブロック!$J$5:$J$11,MATCH(B18&amp;"|"&amp;C18,東日本第一ブロック!$O$5:$O$11,0))),"未回答")</f>
        <v>未回答</v>
      </c>
      <c r="G18" s="24"/>
      <c r="H18" s="12" t="str">
        <f aca="false">IF(G18&lt;&gt;"",G18,F18)</f>
        <v>未回答</v>
      </c>
      <c r="I18" s="33"/>
      <c r="J18" s="33"/>
      <c r="K18" s="34" t="str">
        <f aca="false">IF(OR(J18="",LEFT(H18,1)&lt;&gt;"B"),"",MOD(J18+TIME(1,40,0),1))</f>
        <v/>
      </c>
      <c r="L18" s="24"/>
    </row>
    <row r="19" customFormat="false" ht="26.85" hidden="false" customHeight="false" outlineLevel="0" collapsed="false">
      <c r="A19" s="12" t="s">
        <v>40</v>
      </c>
      <c r="B19" s="12" t="s">
        <v>44</v>
      </c>
      <c r="C19" s="12" t="s">
        <v>95</v>
      </c>
      <c r="D19" s="13" t="n">
        <v>2029</v>
      </c>
      <c r="E19" s="12" t="s">
        <v>166</v>
      </c>
      <c r="F19" s="12" t="str">
        <f aca="false">IFERROR(IF(INDEX(東日本第一ブロック!$J$5:$J$11,MATCH(B19&amp;"|"&amp;C19,東日本第一ブロック!$O$5:$O$11,0))="","未回答",INDEX(東日本第一ブロック!$J$5:$J$11,MATCH(B19&amp;"|"&amp;C19,東日本第一ブロック!$O$5:$O$11,0))),"未回答")</f>
        <v>未回答</v>
      </c>
      <c r="G19" s="24"/>
      <c r="H19" s="12" t="str">
        <f aca="false">IF(G19&lt;&gt;"",G19,F19)</f>
        <v>未回答</v>
      </c>
      <c r="I19" s="33"/>
      <c r="J19" s="33"/>
      <c r="K19" s="34" t="str">
        <f aca="false">IF(OR(J19="",LEFT(H19,1)&lt;&gt;"B"),"",MOD(J19+TIME(1,40,0),1))</f>
        <v/>
      </c>
      <c r="L19" s="24"/>
    </row>
    <row r="20" customFormat="false" ht="26.85" hidden="false" customHeight="false" outlineLevel="0" collapsed="false">
      <c r="A20" s="12" t="s">
        <v>40</v>
      </c>
      <c r="B20" s="12" t="s">
        <v>44</v>
      </c>
      <c r="C20" s="12" t="s">
        <v>95</v>
      </c>
      <c r="D20" s="13" t="n">
        <v>2034</v>
      </c>
      <c r="E20" s="12" t="s">
        <v>167</v>
      </c>
      <c r="F20" s="12" t="str">
        <f aca="false">IFERROR(IF(INDEX(東日本第一ブロック!$J$5:$J$11,MATCH(B20&amp;"|"&amp;C20,東日本第一ブロック!$O$5:$O$11,0))="","未回答",INDEX(東日本第一ブロック!$J$5:$J$11,MATCH(B20&amp;"|"&amp;C20,東日本第一ブロック!$O$5:$O$11,0))),"未回答")</f>
        <v>未回答</v>
      </c>
      <c r="G20" s="24"/>
      <c r="H20" s="12" t="str">
        <f aca="false">IF(G20&lt;&gt;"",G20,F20)</f>
        <v>未回答</v>
      </c>
      <c r="I20" s="33"/>
      <c r="J20" s="33"/>
      <c r="K20" s="34" t="str">
        <f aca="false">IF(OR(J20="",LEFT(H20,1)&lt;&gt;"B"),"",MOD(J20+TIME(1,40,0),1))</f>
        <v/>
      </c>
      <c r="L20" s="24"/>
    </row>
    <row r="21" customFormat="false" ht="26.85" hidden="false" customHeight="false" outlineLevel="0" collapsed="false">
      <c r="A21" s="12" t="s">
        <v>40</v>
      </c>
      <c r="B21" s="12" t="s">
        <v>44</v>
      </c>
      <c r="C21" s="12" t="s">
        <v>95</v>
      </c>
      <c r="D21" s="13" t="n">
        <v>2105</v>
      </c>
      <c r="E21" s="12" t="s">
        <v>168</v>
      </c>
      <c r="F21" s="12" t="str">
        <f aca="false">IFERROR(IF(INDEX(東日本第一ブロック!$J$5:$J$11,MATCH(B21&amp;"|"&amp;C21,東日本第一ブロック!$O$5:$O$11,0))="","未回答",INDEX(東日本第一ブロック!$J$5:$J$11,MATCH(B21&amp;"|"&amp;C21,東日本第一ブロック!$O$5:$O$11,0))),"未回答")</f>
        <v>未回答</v>
      </c>
      <c r="G21" s="24"/>
      <c r="H21" s="12" t="str">
        <f aca="false">IF(G21&lt;&gt;"",G21,F21)</f>
        <v>未回答</v>
      </c>
      <c r="I21" s="33"/>
      <c r="J21" s="33"/>
      <c r="K21" s="34" t="str">
        <f aca="false">IF(OR(J21="",LEFT(H21,1)&lt;&gt;"B"),"",MOD(J21+TIME(1,40,0),1))</f>
        <v/>
      </c>
      <c r="L21" s="24"/>
    </row>
    <row r="22" customFormat="false" ht="26.85" hidden="false" customHeight="false" outlineLevel="0" collapsed="false">
      <c r="A22" s="12" t="s">
        <v>40</v>
      </c>
      <c r="B22" s="12" t="s">
        <v>44</v>
      </c>
      <c r="C22" s="12" t="s">
        <v>95</v>
      </c>
      <c r="D22" s="13" t="n">
        <v>2108</v>
      </c>
      <c r="E22" s="12" t="s">
        <v>169</v>
      </c>
      <c r="F22" s="12" t="str">
        <f aca="false">IFERROR(IF(INDEX(東日本第一ブロック!$J$5:$J$11,MATCH(B22&amp;"|"&amp;C22,東日本第一ブロック!$O$5:$O$11,0))="","未回答",INDEX(東日本第一ブロック!$J$5:$J$11,MATCH(B22&amp;"|"&amp;C22,東日本第一ブロック!$O$5:$O$11,0))),"未回答")</f>
        <v>未回答</v>
      </c>
      <c r="G22" s="24"/>
      <c r="H22" s="12" t="str">
        <f aca="false">IF(G22&lt;&gt;"",G22,F22)</f>
        <v>未回答</v>
      </c>
      <c r="I22" s="33"/>
      <c r="J22" s="33"/>
      <c r="K22" s="34" t="str">
        <f aca="false">IF(OR(J22="",LEFT(H22,1)&lt;&gt;"B"),"",MOD(J22+TIME(1,40,0),1))</f>
        <v/>
      </c>
      <c r="L22" s="24"/>
    </row>
    <row r="23" customFormat="false" ht="26.85" hidden="false" customHeight="false" outlineLevel="0" collapsed="false">
      <c r="A23" s="12" t="s">
        <v>40</v>
      </c>
      <c r="B23" s="12" t="s">
        <v>44</v>
      </c>
      <c r="C23" s="12" t="s">
        <v>95</v>
      </c>
      <c r="D23" s="13" t="n">
        <v>2193</v>
      </c>
      <c r="E23" s="12" t="s">
        <v>170</v>
      </c>
      <c r="F23" s="12" t="str">
        <f aca="false">IFERROR(IF(INDEX(東日本第一ブロック!$J$5:$J$11,MATCH(B23&amp;"|"&amp;C23,東日本第一ブロック!$O$5:$O$11,0))="","未回答",INDEX(東日本第一ブロック!$J$5:$J$11,MATCH(B23&amp;"|"&amp;C23,東日本第一ブロック!$O$5:$O$11,0))),"未回答")</f>
        <v>未回答</v>
      </c>
      <c r="G23" s="24"/>
      <c r="H23" s="12" t="str">
        <f aca="false">IF(G23&lt;&gt;"",G23,F23)</f>
        <v>未回答</v>
      </c>
      <c r="I23" s="33"/>
      <c r="J23" s="33"/>
      <c r="K23" s="34" t="str">
        <f aca="false">IF(OR(J23="",LEFT(H23,1)&lt;&gt;"B"),"",MOD(J23+TIME(1,40,0),1))</f>
        <v/>
      </c>
      <c r="L23" s="24"/>
    </row>
    <row r="24" customFormat="false" ht="26.85" hidden="false" customHeight="false" outlineLevel="0" collapsed="false">
      <c r="A24" s="12" t="s">
        <v>40</v>
      </c>
      <c r="B24" s="12" t="s">
        <v>44</v>
      </c>
      <c r="C24" s="12" t="s">
        <v>97</v>
      </c>
      <c r="D24" s="13" t="n">
        <v>2033</v>
      </c>
      <c r="E24" s="12" t="s">
        <v>171</v>
      </c>
      <c r="F24" s="12" t="str">
        <f aca="false">IFERROR(IF(INDEX(東日本第一ブロック!$J$5:$J$11,MATCH(B24&amp;"|"&amp;C24,東日本第一ブロック!$O$5:$O$11,0))="","未回答",INDEX(東日本第一ブロック!$J$5:$J$11,MATCH(B24&amp;"|"&amp;C24,東日本第一ブロック!$O$5:$O$11,0))),"未回答")</f>
        <v>未回答</v>
      </c>
      <c r="G24" s="24"/>
      <c r="H24" s="12" t="str">
        <f aca="false">IF(G24&lt;&gt;"",G24,F24)</f>
        <v>未回答</v>
      </c>
      <c r="I24" s="33"/>
      <c r="J24" s="33"/>
      <c r="K24" s="34" t="str">
        <f aca="false">IF(OR(J24="",LEFT(H24,1)&lt;&gt;"B"),"",MOD(J24+TIME(1,40,0),1))</f>
        <v/>
      </c>
      <c r="L24" s="24"/>
    </row>
    <row r="25" customFormat="false" ht="26.85" hidden="false" customHeight="false" outlineLevel="0" collapsed="false">
      <c r="A25" s="12" t="s">
        <v>40</v>
      </c>
      <c r="B25" s="12" t="s">
        <v>44</v>
      </c>
      <c r="C25" s="12" t="s">
        <v>97</v>
      </c>
      <c r="D25" s="13" t="n">
        <v>2043</v>
      </c>
      <c r="E25" s="12" t="s">
        <v>172</v>
      </c>
      <c r="F25" s="12" t="str">
        <f aca="false">IFERROR(IF(INDEX(東日本第一ブロック!$J$5:$J$11,MATCH(B25&amp;"|"&amp;C25,東日本第一ブロック!$O$5:$O$11,0))="","未回答",INDEX(東日本第一ブロック!$J$5:$J$11,MATCH(B25&amp;"|"&amp;C25,東日本第一ブロック!$O$5:$O$11,0))),"未回答")</f>
        <v>未回答</v>
      </c>
      <c r="G25" s="24"/>
      <c r="H25" s="12" t="str">
        <f aca="false">IF(G25&lt;&gt;"",G25,F25)</f>
        <v>未回答</v>
      </c>
      <c r="I25" s="33"/>
      <c r="J25" s="33"/>
      <c r="K25" s="34" t="str">
        <f aca="false">IF(OR(J25="",LEFT(H25,1)&lt;&gt;"B"),"",MOD(J25+TIME(1,40,0),1))</f>
        <v/>
      </c>
      <c r="L25" s="24"/>
    </row>
    <row r="26" customFormat="false" ht="26.85" hidden="false" customHeight="false" outlineLevel="0" collapsed="false">
      <c r="A26" s="12" t="s">
        <v>40</v>
      </c>
      <c r="B26" s="12" t="s">
        <v>44</v>
      </c>
      <c r="C26" s="12" t="s">
        <v>97</v>
      </c>
      <c r="D26" s="13" t="n">
        <v>2115</v>
      </c>
      <c r="E26" s="12" t="s">
        <v>173</v>
      </c>
      <c r="F26" s="12" t="str">
        <f aca="false">IFERROR(IF(INDEX(東日本第一ブロック!$J$5:$J$11,MATCH(B26&amp;"|"&amp;C26,東日本第一ブロック!$O$5:$O$11,0))="","未回答",INDEX(東日本第一ブロック!$J$5:$J$11,MATCH(B26&amp;"|"&amp;C26,東日本第一ブロック!$O$5:$O$11,0))),"未回答")</f>
        <v>未回答</v>
      </c>
      <c r="G26" s="24"/>
      <c r="H26" s="12" t="str">
        <f aca="false">IF(G26&lt;&gt;"",G26,F26)</f>
        <v>未回答</v>
      </c>
      <c r="I26" s="33"/>
      <c r="J26" s="33"/>
      <c r="K26" s="34" t="str">
        <f aca="false">IF(OR(J26="",LEFT(H26,1)&lt;&gt;"B"),"",MOD(J26+TIME(1,40,0),1))</f>
        <v/>
      </c>
      <c r="L26" s="24"/>
    </row>
    <row r="27" customFormat="false" ht="26.85" hidden="false" customHeight="false" outlineLevel="0" collapsed="false">
      <c r="A27" s="12" t="s">
        <v>40</v>
      </c>
      <c r="B27" s="12" t="s">
        <v>44</v>
      </c>
      <c r="C27" s="12" t="s">
        <v>97</v>
      </c>
      <c r="D27" s="13" t="n">
        <v>2210</v>
      </c>
      <c r="E27" s="12" t="s">
        <v>174</v>
      </c>
      <c r="F27" s="12" t="str">
        <f aca="false">IFERROR(IF(INDEX(東日本第一ブロック!$J$5:$J$11,MATCH(B27&amp;"|"&amp;C27,東日本第一ブロック!$O$5:$O$11,0))="","未回答",INDEX(東日本第一ブロック!$J$5:$J$11,MATCH(B27&amp;"|"&amp;C27,東日本第一ブロック!$O$5:$O$11,0))),"未回答")</f>
        <v>未回答</v>
      </c>
      <c r="G27" s="24"/>
      <c r="H27" s="12" t="str">
        <f aca="false">IF(G27&lt;&gt;"",G27,F27)</f>
        <v>未回答</v>
      </c>
      <c r="I27" s="33"/>
      <c r="J27" s="33"/>
      <c r="K27" s="34" t="str">
        <f aca="false">IF(OR(J27="",LEFT(H27,1)&lt;&gt;"B"),"",MOD(J27+TIME(1,40,0),1))</f>
        <v/>
      </c>
      <c r="L27" s="24"/>
    </row>
    <row r="28" customFormat="false" ht="26.85" hidden="false" customHeight="false" outlineLevel="0" collapsed="false">
      <c r="A28" s="12" t="s">
        <v>40</v>
      </c>
      <c r="B28" s="12" t="s">
        <v>44</v>
      </c>
      <c r="C28" s="12" t="s">
        <v>97</v>
      </c>
      <c r="D28" s="13" t="n">
        <v>2259</v>
      </c>
      <c r="E28" s="12" t="s">
        <v>175</v>
      </c>
      <c r="F28" s="12" t="str">
        <f aca="false">IFERROR(IF(INDEX(東日本第一ブロック!$J$5:$J$11,MATCH(B28&amp;"|"&amp;C28,東日本第一ブロック!$O$5:$O$11,0))="","未回答",INDEX(東日本第一ブロック!$J$5:$J$11,MATCH(B28&amp;"|"&amp;C28,東日本第一ブロック!$O$5:$O$11,0))),"未回答")</f>
        <v>未回答</v>
      </c>
      <c r="G28" s="24"/>
      <c r="H28" s="12" t="str">
        <f aca="false">IF(G28&lt;&gt;"",G28,F28)</f>
        <v>未回答</v>
      </c>
      <c r="I28" s="33"/>
      <c r="J28" s="33"/>
      <c r="K28" s="34" t="str">
        <f aca="false">IF(OR(J28="",LEFT(H28,1)&lt;&gt;"B"),"",MOD(J28+TIME(1,40,0),1))</f>
        <v/>
      </c>
      <c r="L28" s="24"/>
    </row>
    <row r="29" customFormat="false" ht="26.85" hidden="false" customHeight="false" outlineLevel="0" collapsed="false">
      <c r="A29" s="12" t="s">
        <v>47</v>
      </c>
      <c r="B29" s="12" t="s">
        <v>48</v>
      </c>
      <c r="C29" s="12" t="s">
        <v>101</v>
      </c>
      <c r="D29" s="13" t="n">
        <v>2129</v>
      </c>
      <c r="E29" s="12" t="s">
        <v>176</v>
      </c>
      <c r="F29" s="12" t="str">
        <f aca="false">IFERROR(IF(INDEX(東日本第二ブロック!$J$5:$J$8,MATCH(B29&amp;"|"&amp;C29,東日本第二ブロック!$O$5:$O$8,0))="","未回答",INDEX(東日本第二ブロック!$J$5:$J$8,MATCH(B29&amp;"|"&amp;C29,東日本第二ブロック!$O$5:$O$8,0))),"未回答")</f>
        <v>未回答</v>
      </c>
      <c r="G29" s="24"/>
      <c r="H29" s="12" t="str">
        <f aca="false">IF(G29&lt;&gt;"",G29,F29)</f>
        <v>未回答</v>
      </c>
      <c r="I29" s="33"/>
      <c r="J29" s="33"/>
      <c r="K29" s="34" t="str">
        <f aca="false">IF(OR(J29="",LEFT(H29,1)&lt;&gt;"B"),"",MOD(J29+TIME(1,40,0),1))</f>
        <v/>
      </c>
      <c r="L29" s="24"/>
    </row>
    <row r="30" customFormat="false" ht="26.85" hidden="false" customHeight="false" outlineLevel="0" collapsed="false">
      <c r="A30" s="12" t="s">
        <v>47</v>
      </c>
      <c r="B30" s="12" t="s">
        <v>48</v>
      </c>
      <c r="C30" s="12" t="s">
        <v>101</v>
      </c>
      <c r="D30" s="13" t="n">
        <v>2141</v>
      </c>
      <c r="E30" s="12" t="s">
        <v>177</v>
      </c>
      <c r="F30" s="12" t="str">
        <f aca="false">IFERROR(IF(INDEX(東日本第二ブロック!$J$5:$J$8,MATCH(B30&amp;"|"&amp;C30,東日本第二ブロック!$O$5:$O$8,0))="","未回答",INDEX(東日本第二ブロック!$J$5:$J$8,MATCH(B30&amp;"|"&amp;C30,東日本第二ブロック!$O$5:$O$8,0))),"未回答")</f>
        <v>未回答</v>
      </c>
      <c r="G30" s="24"/>
      <c r="H30" s="12" t="str">
        <f aca="false">IF(G30&lt;&gt;"",G30,F30)</f>
        <v>未回答</v>
      </c>
      <c r="I30" s="33"/>
      <c r="J30" s="33"/>
      <c r="K30" s="34" t="str">
        <f aca="false">IF(OR(J30="",LEFT(H30,1)&lt;&gt;"B"),"",MOD(J30+TIME(1,40,0),1))</f>
        <v/>
      </c>
      <c r="L30" s="24"/>
    </row>
    <row r="31" customFormat="false" ht="26.85" hidden="false" customHeight="false" outlineLevel="0" collapsed="false">
      <c r="A31" s="12" t="s">
        <v>47</v>
      </c>
      <c r="B31" s="12" t="s">
        <v>48</v>
      </c>
      <c r="C31" s="12" t="s">
        <v>101</v>
      </c>
      <c r="D31" s="13" t="n">
        <v>2171</v>
      </c>
      <c r="E31" s="12" t="s">
        <v>178</v>
      </c>
      <c r="F31" s="12" t="str">
        <f aca="false">IFERROR(IF(INDEX(東日本第二ブロック!$J$5:$J$8,MATCH(B31&amp;"|"&amp;C31,東日本第二ブロック!$O$5:$O$8,0))="","未回答",INDEX(東日本第二ブロック!$J$5:$J$8,MATCH(B31&amp;"|"&amp;C31,東日本第二ブロック!$O$5:$O$8,0))),"未回答")</f>
        <v>未回答</v>
      </c>
      <c r="G31" s="24"/>
      <c r="H31" s="12" t="str">
        <f aca="false">IF(G31&lt;&gt;"",G31,F31)</f>
        <v>未回答</v>
      </c>
      <c r="I31" s="33"/>
      <c r="J31" s="33"/>
      <c r="K31" s="34" t="str">
        <f aca="false">IF(OR(J31="",LEFT(H31,1)&lt;&gt;"B"),"",MOD(J31+TIME(1,40,0),1))</f>
        <v/>
      </c>
      <c r="L31" s="24"/>
    </row>
    <row r="32" customFormat="false" ht="26.85" hidden="false" customHeight="false" outlineLevel="0" collapsed="false">
      <c r="A32" s="12" t="s">
        <v>47</v>
      </c>
      <c r="B32" s="12" t="s">
        <v>48</v>
      </c>
      <c r="C32" s="12" t="s">
        <v>101</v>
      </c>
      <c r="D32" s="13" t="n">
        <v>2176</v>
      </c>
      <c r="E32" s="12" t="s">
        <v>179</v>
      </c>
      <c r="F32" s="12" t="str">
        <f aca="false">IFERROR(IF(INDEX(東日本第二ブロック!$J$5:$J$8,MATCH(B32&amp;"|"&amp;C32,東日本第二ブロック!$O$5:$O$8,0))="","未回答",INDEX(東日本第二ブロック!$J$5:$J$8,MATCH(B32&amp;"|"&amp;C32,東日本第二ブロック!$O$5:$O$8,0))),"未回答")</f>
        <v>未回答</v>
      </c>
      <c r="G32" s="24"/>
      <c r="H32" s="12" t="str">
        <f aca="false">IF(G32&lt;&gt;"",G32,F32)</f>
        <v>未回答</v>
      </c>
      <c r="I32" s="33"/>
      <c r="J32" s="33"/>
      <c r="K32" s="34" t="str">
        <f aca="false">IF(OR(J32="",LEFT(H32,1)&lt;&gt;"B"),"",MOD(J32+TIME(1,40,0),1))</f>
        <v/>
      </c>
      <c r="L32" s="24"/>
    </row>
    <row r="33" customFormat="false" ht="26.85" hidden="false" customHeight="false" outlineLevel="0" collapsed="false">
      <c r="A33" s="12" t="s">
        <v>47</v>
      </c>
      <c r="B33" s="12" t="s">
        <v>48</v>
      </c>
      <c r="C33" s="12" t="s">
        <v>101</v>
      </c>
      <c r="D33" s="13" t="n">
        <v>2304</v>
      </c>
      <c r="E33" s="12" t="s">
        <v>180</v>
      </c>
      <c r="F33" s="12" t="str">
        <f aca="false">IFERROR(IF(INDEX(東日本第二ブロック!$J$5:$J$8,MATCH(B33&amp;"|"&amp;C33,東日本第二ブロック!$O$5:$O$8,0))="","未回答",INDEX(東日本第二ブロック!$J$5:$J$8,MATCH(B33&amp;"|"&amp;C33,東日本第二ブロック!$O$5:$O$8,0))),"未回答")</f>
        <v>未回答</v>
      </c>
      <c r="G33" s="24"/>
      <c r="H33" s="12" t="str">
        <f aca="false">IF(G33&lt;&gt;"",G33,F33)</f>
        <v>未回答</v>
      </c>
      <c r="I33" s="33"/>
      <c r="J33" s="33"/>
      <c r="K33" s="34" t="str">
        <f aca="false">IF(OR(J33="",LEFT(H33,1)&lt;&gt;"B"),"",MOD(J33+TIME(1,40,0),1))</f>
        <v/>
      </c>
      <c r="L33" s="24"/>
    </row>
    <row r="34" customFormat="false" ht="26.85" hidden="false" customHeight="false" outlineLevel="0" collapsed="false">
      <c r="A34" s="12" t="s">
        <v>47</v>
      </c>
      <c r="B34" s="12" t="s">
        <v>48</v>
      </c>
      <c r="C34" s="12" t="s">
        <v>101</v>
      </c>
      <c r="D34" s="13" t="n">
        <v>2387</v>
      </c>
      <c r="E34" s="12" t="s">
        <v>181</v>
      </c>
      <c r="F34" s="12" t="str">
        <f aca="false">IFERROR(IF(INDEX(東日本第二ブロック!$J$5:$J$8,MATCH(B34&amp;"|"&amp;C34,東日本第二ブロック!$O$5:$O$8,0))="","未回答",INDEX(東日本第二ブロック!$J$5:$J$8,MATCH(B34&amp;"|"&amp;C34,東日本第二ブロック!$O$5:$O$8,0))),"未回答")</f>
        <v>未回答</v>
      </c>
      <c r="G34" s="24"/>
      <c r="H34" s="12" t="str">
        <f aca="false">IF(G34&lt;&gt;"",G34,F34)</f>
        <v>未回答</v>
      </c>
      <c r="I34" s="33"/>
      <c r="J34" s="33"/>
      <c r="K34" s="34" t="str">
        <f aca="false">IF(OR(J34="",LEFT(H34,1)&lt;&gt;"B"),"",MOD(J34+TIME(1,40,0),1))</f>
        <v/>
      </c>
      <c r="L34" s="24"/>
    </row>
    <row r="35" customFormat="false" ht="26.85" hidden="false" customHeight="false" outlineLevel="0" collapsed="false">
      <c r="A35" s="12" t="s">
        <v>47</v>
      </c>
      <c r="B35" s="12" t="s">
        <v>49</v>
      </c>
      <c r="C35" s="12" t="s">
        <v>103</v>
      </c>
      <c r="D35" s="13" t="n">
        <v>2123</v>
      </c>
      <c r="E35" s="12" t="s">
        <v>182</v>
      </c>
      <c r="F35" s="12" t="str">
        <f aca="false">IFERROR(IF(INDEX(東日本第二ブロック!$J$5:$J$8,MATCH(B35&amp;"|"&amp;C35,東日本第二ブロック!$O$5:$O$8,0))="","未回答",INDEX(東日本第二ブロック!$J$5:$J$8,MATCH(B35&amp;"|"&amp;C35,東日本第二ブロック!$O$5:$O$8,0))),"未回答")</f>
        <v>未回答</v>
      </c>
      <c r="G35" s="24"/>
      <c r="H35" s="12" t="str">
        <f aca="false">IF(G35&lt;&gt;"",G35,F35)</f>
        <v>未回答</v>
      </c>
      <c r="I35" s="33"/>
      <c r="J35" s="33"/>
      <c r="K35" s="34" t="str">
        <f aca="false">IF(OR(J35="",LEFT(H35,1)&lt;&gt;"B"),"",MOD(J35+TIME(1,40,0),1))</f>
        <v/>
      </c>
      <c r="L35" s="24"/>
    </row>
    <row r="36" customFormat="false" ht="26.85" hidden="false" customHeight="false" outlineLevel="0" collapsed="false">
      <c r="A36" s="12" t="s">
        <v>47</v>
      </c>
      <c r="B36" s="12" t="s">
        <v>49</v>
      </c>
      <c r="C36" s="12" t="s">
        <v>103</v>
      </c>
      <c r="D36" s="13" t="n">
        <v>2200</v>
      </c>
      <c r="E36" s="12" t="s">
        <v>183</v>
      </c>
      <c r="F36" s="12" t="str">
        <f aca="false">IFERROR(IF(INDEX(東日本第二ブロック!$J$5:$J$8,MATCH(B36&amp;"|"&amp;C36,東日本第二ブロック!$O$5:$O$8,0))="","未回答",INDEX(東日本第二ブロック!$J$5:$J$8,MATCH(B36&amp;"|"&amp;C36,東日本第二ブロック!$O$5:$O$8,0))),"未回答")</f>
        <v>未回答</v>
      </c>
      <c r="G36" s="24"/>
      <c r="H36" s="12" t="str">
        <f aca="false">IF(G36&lt;&gt;"",G36,F36)</f>
        <v>未回答</v>
      </c>
      <c r="I36" s="33"/>
      <c r="J36" s="33"/>
      <c r="K36" s="34" t="str">
        <f aca="false">IF(OR(J36="",LEFT(H36,1)&lt;&gt;"B"),"",MOD(J36+TIME(1,40,0),1))</f>
        <v/>
      </c>
      <c r="L36" s="24"/>
    </row>
    <row r="37" customFormat="false" ht="26.85" hidden="false" customHeight="false" outlineLevel="0" collapsed="false">
      <c r="A37" s="12" t="s">
        <v>47</v>
      </c>
      <c r="B37" s="12" t="s">
        <v>49</v>
      </c>
      <c r="C37" s="12" t="s">
        <v>103</v>
      </c>
      <c r="D37" s="13" t="n">
        <v>2300</v>
      </c>
      <c r="E37" s="12" t="s">
        <v>184</v>
      </c>
      <c r="F37" s="12" t="str">
        <f aca="false">IFERROR(IF(INDEX(東日本第二ブロック!$J$5:$J$8,MATCH(B37&amp;"|"&amp;C37,東日本第二ブロック!$O$5:$O$8,0))="","未回答",INDEX(東日本第二ブロック!$J$5:$J$8,MATCH(B37&amp;"|"&amp;C37,東日本第二ブロック!$O$5:$O$8,0))),"未回答")</f>
        <v>未回答</v>
      </c>
      <c r="G37" s="24"/>
      <c r="H37" s="12" t="str">
        <f aca="false">IF(G37&lt;&gt;"",G37,F37)</f>
        <v>未回答</v>
      </c>
      <c r="I37" s="33"/>
      <c r="J37" s="33"/>
      <c r="K37" s="34" t="str">
        <f aca="false">IF(OR(J37="",LEFT(H37,1)&lt;&gt;"B"),"",MOD(J37+TIME(1,40,0),1))</f>
        <v/>
      </c>
      <c r="L37" s="24"/>
    </row>
    <row r="38" customFormat="false" ht="26.85" hidden="false" customHeight="false" outlineLevel="0" collapsed="false">
      <c r="A38" s="12" t="s">
        <v>47</v>
      </c>
      <c r="B38" s="12" t="s">
        <v>50</v>
      </c>
      <c r="C38" s="12" t="s">
        <v>105</v>
      </c>
      <c r="D38" s="13" t="n">
        <v>2202</v>
      </c>
      <c r="E38" s="12" t="s">
        <v>185</v>
      </c>
      <c r="F38" s="12" t="str">
        <f aca="false">IFERROR(IF(INDEX(東日本第二ブロック!$J$5:$J$8,MATCH(B38&amp;"|"&amp;C38,東日本第二ブロック!$O$5:$O$8,0))="","未回答",INDEX(東日本第二ブロック!$J$5:$J$8,MATCH(B38&amp;"|"&amp;C38,東日本第二ブロック!$O$5:$O$8,0))),"未回答")</f>
        <v>未回答</v>
      </c>
      <c r="G38" s="24"/>
      <c r="H38" s="12" t="str">
        <f aca="false">IF(G38&lt;&gt;"",G38,F38)</f>
        <v>未回答</v>
      </c>
      <c r="I38" s="33"/>
      <c r="J38" s="33"/>
      <c r="K38" s="34" t="str">
        <f aca="false">IF(OR(J38="",LEFT(H38,1)&lt;&gt;"B"),"",MOD(J38+TIME(1,40,0),1))</f>
        <v/>
      </c>
      <c r="L38" s="24"/>
    </row>
    <row r="39" customFormat="false" ht="26.85" hidden="false" customHeight="false" outlineLevel="0" collapsed="false">
      <c r="A39" s="12" t="s">
        <v>47</v>
      </c>
      <c r="B39" s="12" t="s">
        <v>50</v>
      </c>
      <c r="C39" s="12" t="s">
        <v>105</v>
      </c>
      <c r="D39" s="13" t="n">
        <v>2213</v>
      </c>
      <c r="E39" s="12" t="s">
        <v>186</v>
      </c>
      <c r="F39" s="12" t="str">
        <f aca="false">IFERROR(IF(INDEX(東日本第二ブロック!$J$5:$J$8,MATCH(B39&amp;"|"&amp;C39,東日本第二ブロック!$O$5:$O$8,0))="","未回答",INDEX(東日本第二ブロック!$J$5:$J$8,MATCH(B39&amp;"|"&amp;C39,東日本第二ブロック!$O$5:$O$8,0))),"未回答")</f>
        <v>未回答</v>
      </c>
      <c r="G39" s="24"/>
      <c r="H39" s="12" t="str">
        <f aca="false">IF(G39&lt;&gt;"",G39,F39)</f>
        <v>未回答</v>
      </c>
      <c r="I39" s="33"/>
      <c r="J39" s="33"/>
      <c r="K39" s="34" t="str">
        <f aca="false">IF(OR(J39="",LEFT(H39,1)&lt;&gt;"B"),"",MOD(J39+TIME(1,40,0),1))</f>
        <v/>
      </c>
      <c r="L39" s="24"/>
    </row>
    <row r="40" customFormat="false" ht="26.85" hidden="false" customHeight="false" outlineLevel="0" collapsed="false">
      <c r="A40" s="12" t="s">
        <v>47</v>
      </c>
      <c r="B40" s="12" t="s">
        <v>50</v>
      </c>
      <c r="C40" s="12" t="s">
        <v>105</v>
      </c>
      <c r="D40" s="13" t="n">
        <v>2230</v>
      </c>
      <c r="E40" s="12" t="s">
        <v>187</v>
      </c>
      <c r="F40" s="12" t="str">
        <f aca="false">IFERROR(IF(INDEX(東日本第二ブロック!$J$5:$J$8,MATCH(B40&amp;"|"&amp;C40,東日本第二ブロック!$O$5:$O$8,0))="","未回答",INDEX(東日本第二ブロック!$J$5:$J$8,MATCH(B40&amp;"|"&amp;C40,東日本第二ブロック!$O$5:$O$8,0))),"未回答")</f>
        <v>未回答</v>
      </c>
      <c r="G40" s="24"/>
      <c r="H40" s="12" t="str">
        <f aca="false">IF(G40&lt;&gt;"",G40,F40)</f>
        <v>未回答</v>
      </c>
      <c r="I40" s="33"/>
      <c r="J40" s="33"/>
      <c r="K40" s="34" t="str">
        <f aca="false">IF(OR(J40="",LEFT(H40,1)&lt;&gt;"B"),"",MOD(J40+TIME(1,40,0),1))</f>
        <v/>
      </c>
      <c r="L40" s="24"/>
    </row>
    <row r="41" customFormat="false" ht="26.85" hidden="false" customHeight="false" outlineLevel="0" collapsed="false">
      <c r="A41" s="12" t="s">
        <v>47</v>
      </c>
      <c r="B41" s="12" t="s">
        <v>50</v>
      </c>
      <c r="C41" s="12" t="s">
        <v>105</v>
      </c>
      <c r="D41" s="13" t="n">
        <v>2291</v>
      </c>
      <c r="E41" s="12" t="s">
        <v>188</v>
      </c>
      <c r="F41" s="12" t="str">
        <f aca="false">IFERROR(IF(INDEX(東日本第二ブロック!$J$5:$J$8,MATCH(B41&amp;"|"&amp;C41,東日本第二ブロック!$O$5:$O$8,0))="","未回答",INDEX(東日本第二ブロック!$J$5:$J$8,MATCH(B41&amp;"|"&amp;C41,東日本第二ブロック!$O$5:$O$8,0))),"未回答")</f>
        <v>未回答</v>
      </c>
      <c r="G41" s="24"/>
      <c r="H41" s="12" t="str">
        <f aca="false">IF(G41&lt;&gt;"",G41,F41)</f>
        <v>未回答</v>
      </c>
      <c r="I41" s="33"/>
      <c r="J41" s="33"/>
      <c r="K41" s="34" t="str">
        <f aca="false">IF(OR(J41="",LEFT(H41,1)&lt;&gt;"B"),"",MOD(J41+TIME(1,40,0),1))</f>
        <v/>
      </c>
      <c r="L41" s="24"/>
    </row>
    <row r="42" customFormat="false" ht="26.85" hidden="false" customHeight="false" outlineLevel="0" collapsed="false">
      <c r="A42" s="12" t="s">
        <v>47</v>
      </c>
      <c r="B42" s="12" t="s">
        <v>50</v>
      </c>
      <c r="C42" s="12" t="s">
        <v>105</v>
      </c>
      <c r="D42" s="13" t="n">
        <v>2296</v>
      </c>
      <c r="E42" s="12" t="s">
        <v>189</v>
      </c>
      <c r="F42" s="12" t="str">
        <f aca="false">IFERROR(IF(INDEX(東日本第二ブロック!$J$5:$J$8,MATCH(B42&amp;"|"&amp;C42,東日本第二ブロック!$O$5:$O$8,0))="","未回答",INDEX(東日本第二ブロック!$J$5:$J$8,MATCH(B42&amp;"|"&amp;C42,東日本第二ブロック!$O$5:$O$8,0))),"未回答")</f>
        <v>未回答</v>
      </c>
      <c r="G42" s="24"/>
      <c r="H42" s="12" t="str">
        <f aca="false">IF(G42&lt;&gt;"",G42,F42)</f>
        <v>未回答</v>
      </c>
      <c r="I42" s="33"/>
      <c r="J42" s="33"/>
      <c r="K42" s="34" t="str">
        <f aca="false">IF(OR(J42="",LEFT(H42,1)&lt;&gt;"B"),"",MOD(J42+TIME(1,40,0),1))</f>
        <v/>
      </c>
      <c r="L42" s="24"/>
    </row>
    <row r="43" customFormat="false" ht="26.85" hidden="false" customHeight="false" outlineLevel="0" collapsed="false">
      <c r="A43" s="12" t="s">
        <v>47</v>
      </c>
      <c r="B43" s="12" t="s">
        <v>50</v>
      </c>
      <c r="C43" s="12" t="s">
        <v>105</v>
      </c>
      <c r="D43" s="13" t="n">
        <v>2318</v>
      </c>
      <c r="E43" s="12" t="s">
        <v>190</v>
      </c>
      <c r="F43" s="12" t="str">
        <f aca="false">IFERROR(IF(INDEX(東日本第二ブロック!$J$5:$J$8,MATCH(B43&amp;"|"&amp;C43,東日本第二ブロック!$O$5:$O$8,0))="","未回答",INDEX(東日本第二ブロック!$J$5:$J$8,MATCH(B43&amp;"|"&amp;C43,東日本第二ブロック!$O$5:$O$8,0))),"未回答")</f>
        <v>未回答</v>
      </c>
      <c r="G43" s="24"/>
      <c r="H43" s="12" t="str">
        <f aca="false">IF(G43&lt;&gt;"",G43,F43)</f>
        <v>未回答</v>
      </c>
      <c r="I43" s="33"/>
      <c r="J43" s="33"/>
      <c r="K43" s="34" t="str">
        <f aca="false">IF(OR(J43="",LEFT(H43,1)&lt;&gt;"B"),"",MOD(J43+TIME(1,40,0),1))</f>
        <v/>
      </c>
      <c r="L43" s="24"/>
    </row>
    <row r="44" customFormat="false" ht="26.85" hidden="false" customHeight="false" outlineLevel="0" collapsed="false">
      <c r="A44" s="12" t="s">
        <v>47</v>
      </c>
      <c r="B44" s="12" t="s">
        <v>50</v>
      </c>
      <c r="C44" s="12" t="s">
        <v>105</v>
      </c>
      <c r="D44" s="13" t="n">
        <v>2330</v>
      </c>
      <c r="E44" s="12" t="s">
        <v>191</v>
      </c>
      <c r="F44" s="12" t="str">
        <f aca="false">IFERROR(IF(INDEX(東日本第二ブロック!$J$5:$J$8,MATCH(B44&amp;"|"&amp;C44,東日本第二ブロック!$O$5:$O$8,0))="","未回答",INDEX(東日本第二ブロック!$J$5:$J$8,MATCH(B44&amp;"|"&amp;C44,東日本第二ブロック!$O$5:$O$8,0))),"未回答")</f>
        <v>未回答</v>
      </c>
      <c r="G44" s="24"/>
      <c r="H44" s="12" t="str">
        <f aca="false">IF(G44&lt;&gt;"",G44,F44)</f>
        <v>未回答</v>
      </c>
      <c r="I44" s="33"/>
      <c r="J44" s="33"/>
      <c r="K44" s="34" t="str">
        <f aca="false">IF(OR(J44="",LEFT(H44,1)&lt;&gt;"B"),"",MOD(J44+TIME(1,40,0),1))</f>
        <v/>
      </c>
      <c r="L44" s="24"/>
    </row>
    <row r="45" customFormat="false" ht="26.85" hidden="false" customHeight="false" outlineLevel="0" collapsed="false">
      <c r="A45" s="12" t="s">
        <v>47</v>
      </c>
      <c r="B45" s="12" t="s">
        <v>51</v>
      </c>
      <c r="C45" s="12" t="s">
        <v>101</v>
      </c>
      <c r="D45" s="13" t="n">
        <v>2222</v>
      </c>
      <c r="E45" s="12" t="s">
        <v>192</v>
      </c>
      <c r="F45" s="12" t="str">
        <f aca="false">IFERROR(IF(INDEX(東日本第二ブロック!$J$5:$J$8,MATCH(B45&amp;"|"&amp;C45,東日本第二ブロック!$O$5:$O$8,0))="","未回答",INDEX(東日本第二ブロック!$J$5:$J$8,MATCH(B45&amp;"|"&amp;C45,東日本第二ブロック!$O$5:$O$8,0))),"未回答")</f>
        <v>未回答</v>
      </c>
      <c r="G45" s="24"/>
      <c r="H45" s="12" t="str">
        <f aca="false">IF(G45&lt;&gt;"",G45,F45)</f>
        <v>未回答</v>
      </c>
      <c r="I45" s="33"/>
      <c r="J45" s="33"/>
      <c r="K45" s="34" t="str">
        <f aca="false">IF(OR(J45="",LEFT(H45,1)&lt;&gt;"B"),"",MOD(J45+TIME(1,40,0),1))</f>
        <v/>
      </c>
      <c r="L45" s="24"/>
    </row>
    <row r="46" customFormat="false" ht="26.85" hidden="false" customHeight="false" outlineLevel="0" collapsed="false">
      <c r="A46" s="12" t="s">
        <v>47</v>
      </c>
      <c r="B46" s="12" t="s">
        <v>51</v>
      </c>
      <c r="C46" s="12" t="s">
        <v>101</v>
      </c>
      <c r="D46" s="13" t="n">
        <v>2275</v>
      </c>
      <c r="E46" s="12" t="s">
        <v>193</v>
      </c>
      <c r="F46" s="12" t="str">
        <f aca="false">IFERROR(IF(INDEX(東日本第二ブロック!$J$5:$J$8,MATCH(B46&amp;"|"&amp;C46,東日本第二ブロック!$O$5:$O$8,0))="","未回答",INDEX(東日本第二ブロック!$J$5:$J$8,MATCH(B46&amp;"|"&amp;C46,東日本第二ブロック!$O$5:$O$8,0))),"未回答")</f>
        <v>未回答</v>
      </c>
      <c r="G46" s="24"/>
      <c r="H46" s="12" t="str">
        <f aca="false">IF(G46&lt;&gt;"",G46,F46)</f>
        <v>未回答</v>
      </c>
      <c r="I46" s="33"/>
      <c r="J46" s="33"/>
      <c r="K46" s="34" t="str">
        <f aca="false">IF(OR(J46="",LEFT(H46,1)&lt;&gt;"B"),"",MOD(J46+TIME(1,40,0),1))</f>
        <v/>
      </c>
      <c r="L46" s="24"/>
    </row>
    <row r="47" customFormat="false" ht="26.85" hidden="false" customHeight="false" outlineLevel="0" collapsed="false">
      <c r="A47" s="12" t="s">
        <v>54</v>
      </c>
      <c r="B47" s="12" t="s">
        <v>55</v>
      </c>
      <c r="C47" s="12" t="s">
        <v>101</v>
      </c>
      <c r="D47" s="13" t="n">
        <v>2204</v>
      </c>
      <c r="E47" s="12" t="s">
        <v>194</v>
      </c>
      <c r="F47" s="12" t="str">
        <f aca="false">IFERROR(IF(INDEX(西日本第一ブロック!$J$5:$J$12,MATCH(B47&amp;"|"&amp;C47,西日本第一ブロック!$O$5:$O$12,0))="","未回答",INDEX(西日本第一ブロック!$J$5:$J$12,MATCH(B47&amp;"|"&amp;C47,西日本第一ブロック!$O$5:$O$12,0))),"未回答")</f>
        <v>未回答</v>
      </c>
      <c r="G47" s="24"/>
      <c r="H47" s="12" t="str">
        <f aca="false">IF(G47&lt;&gt;"",G47,F47)</f>
        <v>未回答</v>
      </c>
      <c r="I47" s="33"/>
      <c r="J47" s="33"/>
      <c r="K47" s="34" t="str">
        <f aca="false">IF(OR(J47="",LEFT(H47,1)&lt;&gt;"B"),"",MOD(J47+TIME(1,40,0),1))</f>
        <v/>
      </c>
      <c r="L47" s="24"/>
    </row>
    <row r="48" customFormat="false" ht="26.85" hidden="false" customHeight="false" outlineLevel="0" collapsed="false">
      <c r="A48" s="12" t="s">
        <v>54</v>
      </c>
      <c r="B48" s="12" t="s">
        <v>55</v>
      </c>
      <c r="C48" s="12" t="s">
        <v>101</v>
      </c>
      <c r="D48" s="13" t="n">
        <v>2238</v>
      </c>
      <c r="E48" s="12" t="s">
        <v>195</v>
      </c>
      <c r="F48" s="12" t="str">
        <f aca="false">IFERROR(IF(INDEX(西日本第一ブロック!$J$5:$J$12,MATCH(B48&amp;"|"&amp;C48,西日本第一ブロック!$O$5:$O$12,0))="","未回答",INDEX(西日本第一ブロック!$J$5:$J$12,MATCH(B48&amp;"|"&amp;C48,西日本第一ブロック!$O$5:$O$12,0))),"未回答")</f>
        <v>未回答</v>
      </c>
      <c r="G48" s="24"/>
      <c r="H48" s="12" t="str">
        <f aca="false">IF(G48&lt;&gt;"",G48,F48)</f>
        <v>未回答</v>
      </c>
      <c r="I48" s="33"/>
      <c r="J48" s="33"/>
      <c r="K48" s="34" t="str">
        <f aca="false">IF(OR(J48="",LEFT(H48,1)&lt;&gt;"B"),"",MOD(J48+TIME(1,40,0),1))</f>
        <v/>
      </c>
      <c r="L48" s="24"/>
    </row>
    <row r="49" customFormat="false" ht="26.85" hidden="false" customHeight="false" outlineLevel="0" collapsed="false">
      <c r="A49" s="12" t="s">
        <v>54</v>
      </c>
      <c r="B49" s="12" t="s">
        <v>55</v>
      </c>
      <c r="C49" s="12" t="s">
        <v>111</v>
      </c>
      <c r="D49" s="13" t="n">
        <v>2359</v>
      </c>
      <c r="E49" s="12" t="s">
        <v>112</v>
      </c>
      <c r="F49" s="12" t="str">
        <f aca="false">IFERROR(IF(INDEX(西日本第一ブロック!$J$5:$J$12,MATCH(B49&amp;"|"&amp;C49,西日本第一ブロック!$O$5:$O$12,0))="","未回答",INDEX(西日本第一ブロック!$J$5:$J$12,MATCH(B49&amp;"|"&amp;C49,西日本第一ブロック!$O$5:$O$12,0))),"未回答")</f>
        <v>未回答</v>
      </c>
      <c r="G49" s="24"/>
      <c r="H49" s="12" t="str">
        <f aca="false">IF(G49&lt;&gt;"",G49,F49)</f>
        <v>未回答</v>
      </c>
      <c r="I49" s="33"/>
      <c r="J49" s="33"/>
      <c r="K49" s="34" t="str">
        <f aca="false">IF(OR(J49="",LEFT(H49,1)&lt;&gt;"B"),"",MOD(J49+TIME(1,40,0),1))</f>
        <v/>
      </c>
      <c r="L49" s="24"/>
    </row>
    <row r="50" customFormat="false" ht="26.85" hidden="false" customHeight="false" outlineLevel="0" collapsed="false">
      <c r="A50" s="12" t="s">
        <v>54</v>
      </c>
      <c r="B50" s="12" t="s">
        <v>56</v>
      </c>
      <c r="C50" s="12" t="s">
        <v>113</v>
      </c>
      <c r="D50" s="13" t="n">
        <v>2047</v>
      </c>
      <c r="E50" s="12" t="s">
        <v>196</v>
      </c>
      <c r="F50" s="12" t="str">
        <f aca="false">IFERROR(IF(INDEX(西日本第一ブロック!$J$5:$J$12,MATCH(B50&amp;"|"&amp;C50,西日本第一ブロック!$O$5:$O$12,0))="","未回答",INDEX(西日本第一ブロック!$J$5:$J$12,MATCH(B50&amp;"|"&amp;C50,西日本第一ブロック!$O$5:$O$12,0))),"未回答")</f>
        <v>未回答</v>
      </c>
      <c r="G50" s="24"/>
      <c r="H50" s="12" t="str">
        <f aca="false">IF(G50&lt;&gt;"",G50,F50)</f>
        <v>未回答</v>
      </c>
      <c r="I50" s="33"/>
      <c r="J50" s="33"/>
      <c r="K50" s="34" t="str">
        <f aca="false">IF(OR(J50="",LEFT(H50,1)&lt;&gt;"B"),"",MOD(J50+TIME(1,40,0),1))</f>
        <v/>
      </c>
      <c r="L50" s="24"/>
    </row>
    <row r="51" customFormat="false" ht="26.85" hidden="false" customHeight="false" outlineLevel="0" collapsed="false">
      <c r="A51" s="12" t="s">
        <v>54</v>
      </c>
      <c r="B51" s="12" t="s">
        <v>56</v>
      </c>
      <c r="C51" s="12" t="s">
        <v>113</v>
      </c>
      <c r="D51" s="13" t="n">
        <v>2319</v>
      </c>
      <c r="E51" s="12" t="s">
        <v>197</v>
      </c>
      <c r="F51" s="12" t="str">
        <f aca="false">IFERROR(IF(INDEX(西日本第一ブロック!$J$5:$J$12,MATCH(B51&amp;"|"&amp;C51,西日本第一ブロック!$O$5:$O$12,0))="","未回答",INDEX(西日本第一ブロック!$J$5:$J$12,MATCH(B51&amp;"|"&amp;C51,西日本第一ブロック!$O$5:$O$12,0))),"未回答")</f>
        <v>未回答</v>
      </c>
      <c r="G51" s="24"/>
      <c r="H51" s="12" t="str">
        <f aca="false">IF(G51&lt;&gt;"",G51,F51)</f>
        <v>未回答</v>
      </c>
      <c r="I51" s="33"/>
      <c r="J51" s="33"/>
      <c r="K51" s="34" t="str">
        <f aca="false">IF(OR(J51="",LEFT(H51,1)&lt;&gt;"B"),"",MOD(J51+TIME(1,40,0),1))</f>
        <v/>
      </c>
      <c r="L51" s="24"/>
    </row>
    <row r="52" customFormat="false" ht="26.85" hidden="false" customHeight="false" outlineLevel="0" collapsed="false">
      <c r="A52" s="12" t="s">
        <v>54</v>
      </c>
      <c r="B52" s="12" t="s">
        <v>56</v>
      </c>
      <c r="C52" s="12" t="s">
        <v>115</v>
      </c>
      <c r="D52" s="13" t="n">
        <v>2281</v>
      </c>
      <c r="E52" s="12" t="s">
        <v>116</v>
      </c>
      <c r="F52" s="12" t="str">
        <f aca="false">IFERROR(IF(INDEX(西日本第一ブロック!$J$5:$J$12,MATCH(B52&amp;"|"&amp;C52,西日本第一ブロック!$O$5:$O$12,0))="","未回答",INDEX(西日本第一ブロック!$J$5:$J$12,MATCH(B52&amp;"|"&amp;C52,西日本第一ブロック!$O$5:$O$12,0))),"未回答")</f>
        <v>未回答</v>
      </c>
      <c r="G52" s="24"/>
      <c r="H52" s="12" t="str">
        <f aca="false">IF(G52&lt;&gt;"",G52,F52)</f>
        <v>未回答</v>
      </c>
      <c r="I52" s="33"/>
      <c r="J52" s="33"/>
      <c r="K52" s="34" t="str">
        <f aca="false">IF(OR(J52="",LEFT(H52,1)&lt;&gt;"B"),"",MOD(J52+TIME(1,40,0),1))</f>
        <v/>
      </c>
      <c r="L52" s="24"/>
    </row>
    <row r="53" customFormat="false" ht="26.85" hidden="false" customHeight="false" outlineLevel="0" collapsed="false">
      <c r="A53" s="12" t="s">
        <v>54</v>
      </c>
      <c r="B53" s="12" t="s">
        <v>57</v>
      </c>
      <c r="C53" s="12" t="s">
        <v>117</v>
      </c>
      <c r="D53" s="13" t="n">
        <v>2071</v>
      </c>
      <c r="E53" s="12" t="s">
        <v>198</v>
      </c>
      <c r="F53" s="12" t="str">
        <f aca="false">IFERROR(IF(INDEX(西日本第一ブロック!$J$5:$J$12,MATCH(B53&amp;"|"&amp;C53,西日本第一ブロック!$O$5:$O$12,0))="","未回答",INDEX(西日本第一ブロック!$J$5:$J$12,MATCH(B53&amp;"|"&amp;C53,西日本第一ブロック!$O$5:$O$12,0))),"未回答")</f>
        <v>未回答</v>
      </c>
      <c r="G53" s="24"/>
      <c r="H53" s="12" t="str">
        <f aca="false">IF(G53&lt;&gt;"",G53,F53)</f>
        <v>未回答</v>
      </c>
      <c r="I53" s="33"/>
      <c r="J53" s="33"/>
      <c r="K53" s="34" t="str">
        <f aca="false">IF(OR(J53="",LEFT(H53,1)&lt;&gt;"B"),"",MOD(J53+TIME(1,40,0),1))</f>
        <v/>
      </c>
      <c r="L53" s="24"/>
    </row>
    <row r="54" customFormat="false" ht="26.85" hidden="false" customHeight="false" outlineLevel="0" collapsed="false">
      <c r="A54" s="12" t="s">
        <v>54</v>
      </c>
      <c r="B54" s="12" t="s">
        <v>57</v>
      </c>
      <c r="C54" s="12" t="s">
        <v>117</v>
      </c>
      <c r="D54" s="13" t="n">
        <v>2097</v>
      </c>
      <c r="E54" s="12" t="s">
        <v>199</v>
      </c>
      <c r="F54" s="12" t="str">
        <f aca="false">IFERROR(IF(INDEX(西日本第一ブロック!$J$5:$J$12,MATCH(B54&amp;"|"&amp;C54,西日本第一ブロック!$O$5:$O$12,0))="","未回答",INDEX(西日本第一ブロック!$J$5:$J$12,MATCH(B54&amp;"|"&amp;C54,西日本第一ブロック!$O$5:$O$12,0))),"未回答")</f>
        <v>未回答</v>
      </c>
      <c r="G54" s="24"/>
      <c r="H54" s="12" t="str">
        <f aca="false">IF(G54&lt;&gt;"",G54,F54)</f>
        <v>未回答</v>
      </c>
      <c r="I54" s="33"/>
      <c r="J54" s="33"/>
      <c r="K54" s="34" t="str">
        <f aca="false">IF(OR(J54="",LEFT(H54,1)&lt;&gt;"B"),"",MOD(J54+TIME(1,40,0),1))</f>
        <v/>
      </c>
      <c r="L54" s="24"/>
    </row>
    <row r="55" customFormat="false" ht="26.85" hidden="false" customHeight="false" outlineLevel="0" collapsed="false">
      <c r="A55" s="12" t="s">
        <v>54</v>
      </c>
      <c r="B55" s="12" t="s">
        <v>57</v>
      </c>
      <c r="C55" s="12" t="s">
        <v>117</v>
      </c>
      <c r="D55" s="13" t="n">
        <v>2118</v>
      </c>
      <c r="E55" s="12" t="s">
        <v>200</v>
      </c>
      <c r="F55" s="12" t="str">
        <f aca="false">IFERROR(IF(INDEX(西日本第一ブロック!$J$5:$J$12,MATCH(B55&amp;"|"&amp;C55,西日本第一ブロック!$O$5:$O$12,0))="","未回答",INDEX(西日本第一ブロック!$J$5:$J$12,MATCH(B55&amp;"|"&amp;C55,西日本第一ブロック!$O$5:$O$12,0))),"未回答")</f>
        <v>未回答</v>
      </c>
      <c r="G55" s="24"/>
      <c r="H55" s="12" t="str">
        <f aca="false">IF(G55&lt;&gt;"",G55,F55)</f>
        <v>未回答</v>
      </c>
      <c r="I55" s="33"/>
      <c r="J55" s="33"/>
      <c r="K55" s="34" t="str">
        <f aca="false">IF(OR(J55="",LEFT(H55,1)&lt;&gt;"B"),"",MOD(J55+TIME(1,40,0),1))</f>
        <v/>
      </c>
      <c r="L55" s="24"/>
    </row>
    <row r="56" customFormat="false" ht="26.85" hidden="false" customHeight="false" outlineLevel="0" collapsed="false">
      <c r="A56" s="12" t="s">
        <v>54</v>
      </c>
      <c r="B56" s="12" t="s">
        <v>57</v>
      </c>
      <c r="C56" s="12" t="s">
        <v>117</v>
      </c>
      <c r="D56" s="13" t="n">
        <v>2161</v>
      </c>
      <c r="E56" s="12" t="s">
        <v>201</v>
      </c>
      <c r="F56" s="12" t="str">
        <f aca="false">IFERROR(IF(INDEX(西日本第一ブロック!$J$5:$J$12,MATCH(B56&amp;"|"&amp;C56,西日本第一ブロック!$O$5:$O$12,0))="","未回答",INDEX(西日本第一ブロック!$J$5:$J$12,MATCH(B56&amp;"|"&amp;C56,西日本第一ブロック!$O$5:$O$12,0))),"未回答")</f>
        <v>未回答</v>
      </c>
      <c r="G56" s="24"/>
      <c r="H56" s="12" t="str">
        <f aca="false">IF(G56&lt;&gt;"",G56,F56)</f>
        <v>未回答</v>
      </c>
      <c r="I56" s="33"/>
      <c r="J56" s="33"/>
      <c r="K56" s="34" t="str">
        <f aca="false">IF(OR(J56="",LEFT(H56,1)&lt;&gt;"B"),"",MOD(J56+TIME(1,40,0),1))</f>
        <v/>
      </c>
      <c r="L56" s="24"/>
    </row>
    <row r="57" customFormat="false" ht="26.85" hidden="false" customHeight="false" outlineLevel="0" collapsed="false">
      <c r="A57" s="12" t="s">
        <v>54</v>
      </c>
      <c r="B57" s="12" t="s">
        <v>57</v>
      </c>
      <c r="C57" s="12" t="s">
        <v>117</v>
      </c>
      <c r="D57" s="13" t="n">
        <v>2236</v>
      </c>
      <c r="E57" s="12" t="s">
        <v>202</v>
      </c>
      <c r="F57" s="12" t="str">
        <f aca="false">IFERROR(IF(INDEX(西日本第一ブロック!$J$5:$J$12,MATCH(B57&amp;"|"&amp;C57,西日本第一ブロック!$O$5:$O$12,0))="","未回答",INDEX(西日本第一ブロック!$J$5:$J$12,MATCH(B57&amp;"|"&amp;C57,西日本第一ブロック!$O$5:$O$12,0))),"未回答")</f>
        <v>未回答</v>
      </c>
      <c r="G57" s="24"/>
      <c r="H57" s="12" t="str">
        <f aca="false">IF(G57&lt;&gt;"",G57,F57)</f>
        <v>未回答</v>
      </c>
      <c r="I57" s="33"/>
      <c r="J57" s="33"/>
      <c r="K57" s="34" t="str">
        <f aca="false">IF(OR(J57="",LEFT(H57,1)&lt;&gt;"B"),"",MOD(J57+TIME(1,40,0),1))</f>
        <v/>
      </c>
      <c r="L57" s="24"/>
    </row>
    <row r="58" customFormat="false" ht="26.85" hidden="false" customHeight="false" outlineLevel="0" collapsed="false">
      <c r="A58" s="12" t="s">
        <v>54</v>
      </c>
      <c r="B58" s="12" t="s">
        <v>57</v>
      </c>
      <c r="C58" s="12" t="s">
        <v>117</v>
      </c>
      <c r="D58" s="13" t="n">
        <v>2280</v>
      </c>
      <c r="E58" s="12" t="s">
        <v>203</v>
      </c>
      <c r="F58" s="12" t="str">
        <f aca="false">IFERROR(IF(INDEX(西日本第一ブロック!$J$5:$J$12,MATCH(B58&amp;"|"&amp;C58,西日本第一ブロック!$O$5:$O$12,0))="","未回答",INDEX(西日本第一ブロック!$J$5:$J$12,MATCH(B58&amp;"|"&amp;C58,西日本第一ブロック!$O$5:$O$12,0))),"未回答")</f>
        <v>未回答</v>
      </c>
      <c r="G58" s="24"/>
      <c r="H58" s="12" t="str">
        <f aca="false">IF(G58&lt;&gt;"",G58,F58)</f>
        <v>未回答</v>
      </c>
      <c r="I58" s="33"/>
      <c r="J58" s="33"/>
      <c r="K58" s="34" t="str">
        <f aca="false">IF(OR(J58="",LEFT(H58,1)&lt;&gt;"B"),"",MOD(J58+TIME(1,40,0),1))</f>
        <v/>
      </c>
      <c r="L58" s="24"/>
    </row>
    <row r="59" customFormat="false" ht="26.85" hidden="false" customHeight="false" outlineLevel="0" collapsed="false">
      <c r="A59" s="12" t="s">
        <v>54</v>
      </c>
      <c r="B59" s="12" t="s">
        <v>57</v>
      </c>
      <c r="C59" s="12" t="s">
        <v>117</v>
      </c>
      <c r="D59" s="13" t="n">
        <v>2342</v>
      </c>
      <c r="E59" s="12" t="s">
        <v>204</v>
      </c>
      <c r="F59" s="12" t="str">
        <f aca="false">IFERROR(IF(INDEX(西日本第一ブロック!$J$5:$J$12,MATCH(B59&amp;"|"&amp;C59,西日本第一ブロック!$O$5:$O$12,0))="","未回答",INDEX(西日本第一ブロック!$J$5:$J$12,MATCH(B59&amp;"|"&amp;C59,西日本第一ブロック!$O$5:$O$12,0))),"未回答")</f>
        <v>未回答</v>
      </c>
      <c r="G59" s="24"/>
      <c r="H59" s="12" t="str">
        <f aca="false">IF(G59&lt;&gt;"",G59,F59)</f>
        <v>未回答</v>
      </c>
      <c r="I59" s="33"/>
      <c r="J59" s="33"/>
      <c r="K59" s="34" t="str">
        <f aca="false">IF(OR(J59="",LEFT(H59,1)&lt;&gt;"B"),"",MOD(J59+TIME(1,40,0),1))</f>
        <v/>
      </c>
      <c r="L59" s="24"/>
    </row>
    <row r="60" customFormat="false" ht="26.85" hidden="false" customHeight="false" outlineLevel="0" collapsed="false">
      <c r="A60" s="12" t="s">
        <v>54</v>
      </c>
      <c r="B60" s="12" t="s">
        <v>57</v>
      </c>
      <c r="C60" s="12" t="s">
        <v>119</v>
      </c>
      <c r="D60" s="13" t="n">
        <v>2114</v>
      </c>
      <c r="E60" s="12" t="s">
        <v>205</v>
      </c>
      <c r="F60" s="12" t="str">
        <f aca="false">IFERROR(IF(INDEX(西日本第一ブロック!$J$5:$J$12,MATCH(B60&amp;"|"&amp;C60,西日本第一ブロック!$O$5:$O$12,0))="","未回答",INDEX(西日本第一ブロック!$J$5:$J$12,MATCH(B60&amp;"|"&amp;C60,西日本第一ブロック!$O$5:$O$12,0))),"未回答")</f>
        <v>未回答</v>
      </c>
      <c r="G60" s="24"/>
      <c r="H60" s="12" t="str">
        <f aca="false">IF(G60&lt;&gt;"",G60,F60)</f>
        <v>未回答</v>
      </c>
      <c r="I60" s="33"/>
      <c r="J60" s="33"/>
      <c r="K60" s="34" t="str">
        <f aca="false">IF(OR(J60="",LEFT(H60,1)&lt;&gt;"B"),"",MOD(J60+TIME(1,40,0),1))</f>
        <v/>
      </c>
      <c r="L60" s="24"/>
    </row>
    <row r="61" customFormat="false" ht="26.85" hidden="false" customHeight="false" outlineLevel="0" collapsed="false">
      <c r="A61" s="12" t="s">
        <v>54</v>
      </c>
      <c r="B61" s="12" t="s">
        <v>57</v>
      </c>
      <c r="C61" s="12" t="s">
        <v>119</v>
      </c>
      <c r="D61" s="13" t="n">
        <v>2145</v>
      </c>
      <c r="E61" s="12" t="s">
        <v>206</v>
      </c>
      <c r="F61" s="12" t="str">
        <f aca="false">IFERROR(IF(INDEX(西日本第一ブロック!$J$5:$J$12,MATCH(B61&amp;"|"&amp;C61,西日本第一ブロック!$O$5:$O$12,0))="","未回答",INDEX(西日本第一ブロック!$J$5:$J$12,MATCH(B61&amp;"|"&amp;C61,西日本第一ブロック!$O$5:$O$12,0))),"未回答")</f>
        <v>未回答</v>
      </c>
      <c r="G61" s="24"/>
      <c r="H61" s="12" t="str">
        <f aca="false">IF(G61&lt;&gt;"",G61,F61)</f>
        <v>未回答</v>
      </c>
      <c r="I61" s="33"/>
      <c r="J61" s="33"/>
      <c r="K61" s="34" t="str">
        <f aca="false">IF(OR(J61="",LEFT(H61,1)&lt;&gt;"B"),"",MOD(J61+TIME(1,40,0),1))</f>
        <v/>
      </c>
      <c r="L61" s="24"/>
    </row>
    <row r="62" customFormat="false" ht="26.85" hidden="false" customHeight="false" outlineLevel="0" collapsed="false">
      <c r="A62" s="12" t="s">
        <v>54</v>
      </c>
      <c r="B62" s="12" t="s">
        <v>57</v>
      </c>
      <c r="C62" s="12" t="s">
        <v>119</v>
      </c>
      <c r="D62" s="13" t="n">
        <v>2177</v>
      </c>
      <c r="E62" s="12" t="s">
        <v>207</v>
      </c>
      <c r="F62" s="12" t="str">
        <f aca="false">IFERROR(IF(INDEX(西日本第一ブロック!$J$5:$J$12,MATCH(B62&amp;"|"&amp;C62,西日本第一ブロック!$O$5:$O$12,0))="","未回答",INDEX(西日本第一ブロック!$J$5:$J$12,MATCH(B62&amp;"|"&amp;C62,西日本第一ブロック!$O$5:$O$12,0))),"未回答")</f>
        <v>未回答</v>
      </c>
      <c r="G62" s="24"/>
      <c r="H62" s="12" t="str">
        <f aca="false">IF(G62&lt;&gt;"",G62,F62)</f>
        <v>未回答</v>
      </c>
      <c r="I62" s="33"/>
      <c r="J62" s="33"/>
      <c r="K62" s="34" t="str">
        <f aca="false">IF(OR(J62="",LEFT(H62,1)&lt;&gt;"B"),"",MOD(J62+TIME(1,40,0),1))</f>
        <v/>
      </c>
      <c r="L62" s="24"/>
    </row>
    <row r="63" customFormat="false" ht="26.85" hidden="false" customHeight="false" outlineLevel="0" collapsed="false">
      <c r="A63" s="12" t="s">
        <v>54</v>
      </c>
      <c r="B63" s="12" t="s">
        <v>57</v>
      </c>
      <c r="C63" s="12" t="s">
        <v>119</v>
      </c>
      <c r="D63" s="13" t="n">
        <v>2195</v>
      </c>
      <c r="E63" s="12" t="s">
        <v>208</v>
      </c>
      <c r="F63" s="12" t="str">
        <f aca="false">IFERROR(IF(INDEX(西日本第一ブロック!$J$5:$J$12,MATCH(B63&amp;"|"&amp;C63,西日本第一ブロック!$O$5:$O$12,0))="","未回答",INDEX(西日本第一ブロック!$J$5:$J$12,MATCH(B63&amp;"|"&amp;C63,西日本第一ブロック!$O$5:$O$12,0))),"未回答")</f>
        <v>未回答</v>
      </c>
      <c r="G63" s="24"/>
      <c r="H63" s="12" t="str">
        <f aca="false">IF(G63&lt;&gt;"",G63,F63)</f>
        <v>未回答</v>
      </c>
      <c r="I63" s="33"/>
      <c r="J63" s="33"/>
      <c r="K63" s="34" t="str">
        <f aca="false">IF(OR(J63="",LEFT(H63,1)&lt;&gt;"B"),"",MOD(J63+TIME(1,40,0),1))</f>
        <v/>
      </c>
      <c r="L63" s="24"/>
    </row>
    <row r="64" customFormat="false" ht="26.85" hidden="false" customHeight="false" outlineLevel="0" collapsed="false">
      <c r="A64" s="12" t="s">
        <v>54</v>
      </c>
      <c r="B64" s="12" t="s">
        <v>57</v>
      </c>
      <c r="C64" s="12" t="s">
        <v>119</v>
      </c>
      <c r="D64" s="13" t="n">
        <v>2264</v>
      </c>
      <c r="E64" s="12" t="s">
        <v>209</v>
      </c>
      <c r="F64" s="12" t="str">
        <f aca="false">IFERROR(IF(INDEX(西日本第一ブロック!$J$5:$J$12,MATCH(B64&amp;"|"&amp;C64,西日本第一ブロック!$O$5:$O$12,0))="","未回答",INDEX(西日本第一ブロック!$J$5:$J$12,MATCH(B64&amp;"|"&amp;C64,西日本第一ブロック!$O$5:$O$12,0))),"未回答")</f>
        <v>未回答</v>
      </c>
      <c r="G64" s="24"/>
      <c r="H64" s="12" t="str">
        <f aca="false">IF(G64&lt;&gt;"",G64,F64)</f>
        <v>未回答</v>
      </c>
      <c r="I64" s="33"/>
      <c r="J64" s="33"/>
      <c r="K64" s="34" t="str">
        <f aca="false">IF(OR(J64="",LEFT(H64,1)&lt;&gt;"B"),"",MOD(J64+TIME(1,40,0),1))</f>
        <v/>
      </c>
      <c r="L64" s="24"/>
    </row>
    <row r="65" customFormat="false" ht="26.85" hidden="false" customHeight="false" outlineLevel="0" collapsed="false">
      <c r="A65" s="12" t="s">
        <v>54</v>
      </c>
      <c r="B65" s="12" t="s">
        <v>57</v>
      </c>
      <c r="C65" s="12" t="s">
        <v>119</v>
      </c>
      <c r="D65" s="13" t="n">
        <v>2301</v>
      </c>
      <c r="E65" s="12" t="s">
        <v>210</v>
      </c>
      <c r="F65" s="12" t="str">
        <f aca="false">IFERROR(IF(INDEX(西日本第一ブロック!$J$5:$J$12,MATCH(B65&amp;"|"&amp;C65,西日本第一ブロック!$O$5:$O$12,0))="","未回答",INDEX(西日本第一ブロック!$J$5:$J$12,MATCH(B65&amp;"|"&amp;C65,西日本第一ブロック!$O$5:$O$12,0))),"未回答")</f>
        <v>未回答</v>
      </c>
      <c r="G65" s="24"/>
      <c r="H65" s="12" t="str">
        <f aca="false">IF(G65&lt;&gt;"",G65,F65)</f>
        <v>未回答</v>
      </c>
      <c r="I65" s="33"/>
      <c r="J65" s="33"/>
      <c r="K65" s="34" t="str">
        <f aca="false">IF(OR(J65="",LEFT(H65,1)&lt;&gt;"B"),"",MOD(J65+TIME(1,40,0),1))</f>
        <v/>
      </c>
      <c r="L65" s="24"/>
    </row>
    <row r="66" customFormat="false" ht="26.85" hidden="false" customHeight="false" outlineLevel="0" collapsed="false">
      <c r="A66" s="12" t="s">
        <v>54</v>
      </c>
      <c r="B66" s="12" t="s">
        <v>57</v>
      </c>
      <c r="C66" s="12" t="s">
        <v>119</v>
      </c>
      <c r="D66" s="13" t="n">
        <v>2327</v>
      </c>
      <c r="E66" s="12" t="s">
        <v>211</v>
      </c>
      <c r="F66" s="12" t="str">
        <f aca="false">IFERROR(IF(INDEX(西日本第一ブロック!$J$5:$J$12,MATCH(B66&amp;"|"&amp;C66,西日本第一ブロック!$O$5:$O$12,0))="","未回答",INDEX(西日本第一ブロック!$J$5:$J$12,MATCH(B66&amp;"|"&amp;C66,西日本第一ブロック!$O$5:$O$12,0))),"未回答")</f>
        <v>未回答</v>
      </c>
      <c r="G66" s="24"/>
      <c r="H66" s="12" t="str">
        <f aca="false">IF(G66&lt;&gt;"",G66,F66)</f>
        <v>未回答</v>
      </c>
      <c r="I66" s="33"/>
      <c r="J66" s="33"/>
      <c r="K66" s="34" t="str">
        <f aca="false">IF(OR(J66="",LEFT(H66,1)&lt;&gt;"B"),"",MOD(J66+TIME(1,40,0),1))</f>
        <v/>
      </c>
      <c r="L66" s="24"/>
    </row>
    <row r="67" customFormat="false" ht="26.85" hidden="false" customHeight="false" outlineLevel="0" collapsed="false">
      <c r="A67" s="12" t="s">
        <v>54</v>
      </c>
      <c r="B67" s="12" t="s">
        <v>57</v>
      </c>
      <c r="C67" s="12" t="s">
        <v>119</v>
      </c>
      <c r="D67" s="13" t="n">
        <v>2338</v>
      </c>
      <c r="E67" s="12" t="s">
        <v>212</v>
      </c>
      <c r="F67" s="12" t="str">
        <f aca="false">IFERROR(IF(INDEX(西日本第一ブロック!$J$5:$J$12,MATCH(B67&amp;"|"&amp;C67,西日本第一ブロック!$O$5:$O$12,0))="","未回答",INDEX(西日本第一ブロック!$J$5:$J$12,MATCH(B67&amp;"|"&amp;C67,西日本第一ブロック!$O$5:$O$12,0))),"未回答")</f>
        <v>未回答</v>
      </c>
      <c r="G67" s="24"/>
      <c r="H67" s="12" t="str">
        <f aca="false">IF(G67&lt;&gt;"",G67,F67)</f>
        <v>未回答</v>
      </c>
      <c r="I67" s="33"/>
      <c r="J67" s="33"/>
      <c r="K67" s="34" t="str">
        <f aca="false">IF(OR(J67="",LEFT(H67,1)&lt;&gt;"B"),"",MOD(J67+TIME(1,40,0),1))</f>
        <v/>
      </c>
      <c r="L67" s="24"/>
    </row>
    <row r="68" customFormat="false" ht="26.85" hidden="false" customHeight="false" outlineLevel="0" collapsed="false">
      <c r="A68" s="12" t="s">
        <v>54</v>
      </c>
      <c r="B68" s="12" t="s">
        <v>57</v>
      </c>
      <c r="C68" s="12" t="s">
        <v>119</v>
      </c>
      <c r="D68" s="13" t="n">
        <v>2384</v>
      </c>
      <c r="E68" s="12" t="s">
        <v>213</v>
      </c>
      <c r="F68" s="12" t="str">
        <f aca="false">IFERROR(IF(INDEX(西日本第一ブロック!$J$5:$J$12,MATCH(B68&amp;"|"&amp;C68,西日本第一ブロック!$O$5:$O$12,0))="","未回答",INDEX(西日本第一ブロック!$J$5:$J$12,MATCH(B68&amp;"|"&amp;C68,西日本第一ブロック!$O$5:$O$12,0))),"未回答")</f>
        <v>未回答</v>
      </c>
      <c r="G68" s="24"/>
      <c r="H68" s="12" t="str">
        <f aca="false">IF(G68&lt;&gt;"",G68,F68)</f>
        <v>未回答</v>
      </c>
      <c r="I68" s="33"/>
      <c r="J68" s="33"/>
      <c r="K68" s="34" t="str">
        <f aca="false">IF(OR(J68="",LEFT(H68,1)&lt;&gt;"B"),"",MOD(J68+TIME(1,40,0),1))</f>
        <v/>
      </c>
      <c r="L68" s="24"/>
    </row>
    <row r="69" customFormat="false" ht="26.85" hidden="false" customHeight="false" outlineLevel="0" collapsed="false">
      <c r="A69" s="12" t="s">
        <v>54</v>
      </c>
      <c r="B69" s="12" t="s">
        <v>57</v>
      </c>
      <c r="C69" s="12" t="s">
        <v>119</v>
      </c>
      <c r="D69" s="13" t="n">
        <v>2395</v>
      </c>
      <c r="E69" s="12" t="s">
        <v>214</v>
      </c>
      <c r="F69" s="12" t="str">
        <f aca="false">IFERROR(IF(INDEX(西日本第一ブロック!$J$5:$J$12,MATCH(B69&amp;"|"&amp;C69,西日本第一ブロック!$O$5:$O$12,0))="","未回答",INDEX(西日本第一ブロック!$J$5:$J$12,MATCH(B69&amp;"|"&amp;C69,西日本第一ブロック!$O$5:$O$12,0))),"未回答")</f>
        <v>未回答</v>
      </c>
      <c r="G69" s="24"/>
      <c r="H69" s="12" t="str">
        <f aca="false">IF(G69&lt;&gt;"",G69,F69)</f>
        <v>未回答</v>
      </c>
      <c r="I69" s="33"/>
      <c r="J69" s="33"/>
      <c r="K69" s="34" t="str">
        <f aca="false">IF(OR(J69="",LEFT(H69,1)&lt;&gt;"B"),"",MOD(J69+TIME(1,40,0),1))</f>
        <v/>
      </c>
      <c r="L69" s="24"/>
    </row>
    <row r="70" customFormat="false" ht="26.85" hidden="false" customHeight="false" outlineLevel="0" collapsed="false">
      <c r="A70" s="12" t="s">
        <v>54</v>
      </c>
      <c r="B70" s="12" t="s">
        <v>57</v>
      </c>
      <c r="C70" s="12" t="s">
        <v>121</v>
      </c>
      <c r="D70" s="13" t="n">
        <v>2215</v>
      </c>
      <c r="E70" s="12" t="s">
        <v>122</v>
      </c>
      <c r="F70" s="12" t="str">
        <f aca="false">IFERROR(IF(INDEX(西日本第一ブロック!$J$5:$J$12,MATCH(B70&amp;"|"&amp;C70,西日本第一ブロック!$O$5:$O$12,0))="","未回答",INDEX(西日本第一ブロック!$J$5:$J$12,MATCH(B70&amp;"|"&amp;C70,西日本第一ブロック!$O$5:$O$12,0))),"未回答")</f>
        <v>未回答</v>
      </c>
      <c r="G70" s="24"/>
      <c r="H70" s="12" t="str">
        <f aca="false">IF(G70&lt;&gt;"",G70,F70)</f>
        <v>未回答</v>
      </c>
      <c r="I70" s="33"/>
      <c r="J70" s="33"/>
      <c r="K70" s="34" t="str">
        <f aca="false">IF(OR(J70="",LEFT(H70,1)&lt;&gt;"B"),"",MOD(J70+TIME(1,40,0),1))</f>
        <v/>
      </c>
      <c r="L70" s="24"/>
    </row>
    <row r="71" customFormat="false" ht="26.85" hidden="false" customHeight="false" outlineLevel="0" collapsed="false">
      <c r="A71" s="12" t="s">
        <v>54</v>
      </c>
      <c r="B71" s="12" t="s">
        <v>58</v>
      </c>
      <c r="C71" s="12" t="s">
        <v>123</v>
      </c>
      <c r="D71" s="13" t="n">
        <v>2002</v>
      </c>
      <c r="E71" s="12" t="s">
        <v>215</v>
      </c>
      <c r="F71" s="12" t="str">
        <f aca="false">IFERROR(IF(INDEX(西日本第一ブロック!$J$5:$J$12,MATCH(B71&amp;"|"&amp;C71,西日本第一ブロック!$O$5:$O$12,0))="","未回答",INDEX(西日本第一ブロック!$J$5:$J$12,MATCH(B71&amp;"|"&amp;C71,西日本第一ブロック!$O$5:$O$12,0))),"未回答")</f>
        <v>未回答</v>
      </c>
      <c r="G71" s="24"/>
      <c r="H71" s="12" t="str">
        <f aca="false">IF(G71&lt;&gt;"",G71,F71)</f>
        <v>未回答</v>
      </c>
      <c r="I71" s="33"/>
      <c r="J71" s="33"/>
      <c r="K71" s="34" t="str">
        <f aca="false">IF(OR(J71="",LEFT(H71,1)&lt;&gt;"B"),"",MOD(J71+TIME(1,40,0),1))</f>
        <v/>
      </c>
      <c r="L71" s="24"/>
    </row>
    <row r="72" customFormat="false" ht="26.85" hidden="false" customHeight="false" outlineLevel="0" collapsed="false">
      <c r="A72" s="12" t="s">
        <v>54</v>
      </c>
      <c r="B72" s="12" t="s">
        <v>58</v>
      </c>
      <c r="C72" s="12" t="s">
        <v>123</v>
      </c>
      <c r="D72" s="13" t="n">
        <v>2036</v>
      </c>
      <c r="E72" s="12" t="s">
        <v>216</v>
      </c>
      <c r="F72" s="12" t="str">
        <f aca="false">IFERROR(IF(INDEX(西日本第一ブロック!$J$5:$J$12,MATCH(B72&amp;"|"&amp;C72,西日本第一ブロック!$O$5:$O$12,0))="","未回答",INDEX(西日本第一ブロック!$J$5:$J$12,MATCH(B72&amp;"|"&amp;C72,西日本第一ブロック!$O$5:$O$12,0))),"未回答")</f>
        <v>未回答</v>
      </c>
      <c r="G72" s="24"/>
      <c r="H72" s="12" t="str">
        <f aca="false">IF(G72&lt;&gt;"",G72,F72)</f>
        <v>未回答</v>
      </c>
      <c r="I72" s="33"/>
      <c r="J72" s="33"/>
      <c r="K72" s="34" t="str">
        <f aca="false">IF(OR(J72="",LEFT(H72,1)&lt;&gt;"B"),"",MOD(J72+TIME(1,40,0),1))</f>
        <v/>
      </c>
      <c r="L72" s="24"/>
    </row>
    <row r="73" customFormat="false" ht="26.85" hidden="false" customHeight="false" outlineLevel="0" collapsed="false">
      <c r="A73" s="12" t="s">
        <v>54</v>
      </c>
      <c r="B73" s="12" t="s">
        <v>58</v>
      </c>
      <c r="C73" s="12" t="s">
        <v>123</v>
      </c>
      <c r="D73" s="13" t="n">
        <v>2293</v>
      </c>
      <c r="E73" s="12" t="s">
        <v>217</v>
      </c>
      <c r="F73" s="12" t="str">
        <f aca="false">IFERROR(IF(INDEX(西日本第一ブロック!$J$5:$J$12,MATCH(B73&amp;"|"&amp;C73,西日本第一ブロック!$O$5:$O$12,0))="","未回答",INDEX(西日本第一ブロック!$J$5:$J$12,MATCH(B73&amp;"|"&amp;C73,西日本第一ブロック!$O$5:$O$12,0))),"未回答")</f>
        <v>未回答</v>
      </c>
      <c r="G73" s="24"/>
      <c r="H73" s="12" t="str">
        <f aca="false">IF(G73&lt;&gt;"",G73,F73)</f>
        <v>未回答</v>
      </c>
      <c r="I73" s="33"/>
      <c r="J73" s="33"/>
      <c r="K73" s="34" t="str">
        <f aca="false">IF(OR(J73="",LEFT(H73,1)&lt;&gt;"B"),"",MOD(J73+TIME(1,40,0),1))</f>
        <v/>
      </c>
      <c r="L73" s="24"/>
    </row>
    <row r="74" customFormat="false" ht="26.85" hidden="false" customHeight="false" outlineLevel="0" collapsed="false">
      <c r="A74" s="12" t="s">
        <v>54</v>
      </c>
      <c r="B74" s="12" t="s">
        <v>58</v>
      </c>
      <c r="C74" s="12" t="s">
        <v>123</v>
      </c>
      <c r="D74" s="13" t="n">
        <v>2329</v>
      </c>
      <c r="E74" s="12" t="s">
        <v>218</v>
      </c>
      <c r="F74" s="12" t="str">
        <f aca="false">IFERROR(IF(INDEX(西日本第一ブロック!$J$5:$J$12,MATCH(B74&amp;"|"&amp;C74,西日本第一ブロック!$O$5:$O$12,0))="","未回答",INDEX(西日本第一ブロック!$J$5:$J$12,MATCH(B74&amp;"|"&amp;C74,西日本第一ブロック!$O$5:$O$12,0))),"未回答")</f>
        <v>未回答</v>
      </c>
      <c r="G74" s="24"/>
      <c r="H74" s="12" t="str">
        <f aca="false">IF(G74&lt;&gt;"",G74,F74)</f>
        <v>未回答</v>
      </c>
      <c r="I74" s="33"/>
      <c r="J74" s="33"/>
      <c r="K74" s="34" t="str">
        <f aca="false">IF(OR(J74="",LEFT(H74,1)&lt;&gt;"B"),"",MOD(J74+TIME(1,40,0),1))</f>
        <v/>
      </c>
      <c r="L74" s="24"/>
    </row>
    <row r="75" customFormat="false" ht="26.85" hidden="false" customHeight="false" outlineLevel="0" collapsed="false">
      <c r="A75" s="12" t="s">
        <v>54</v>
      </c>
      <c r="B75" s="12" t="s">
        <v>58</v>
      </c>
      <c r="C75" s="12" t="s">
        <v>123</v>
      </c>
      <c r="D75" s="13" t="n">
        <v>2365</v>
      </c>
      <c r="E75" s="12" t="s">
        <v>219</v>
      </c>
      <c r="F75" s="12" t="str">
        <f aca="false">IFERROR(IF(INDEX(西日本第一ブロック!$J$5:$J$12,MATCH(B75&amp;"|"&amp;C75,西日本第一ブロック!$O$5:$O$12,0))="","未回答",INDEX(西日本第一ブロック!$J$5:$J$12,MATCH(B75&amp;"|"&amp;C75,西日本第一ブロック!$O$5:$O$12,0))),"未回答")</f>
        <v>未回答</v>
      </c>
      <c r="G75" s="24"/>
      <c r="H75" s="12" t="str">
        <f aca="false">IF(G75&lt;&gt;"",G75,F75)</f>
        <v>未回答</v>
      </c>
      <c r="I75" s="33"/>
      <c r="J75" s="33"/>
      <c r="K75" s="34" t="str">
        <f aca="false">IF(OR(J75="",LEFT(H75,1)&lt;&gt;"B"),"",MOD(J75+TIME(1,40,0),1))</f>
        <v/>
      </c>
      <c r="L75" s="24"/>
    </row>
    <row r="76" customFormat="false" ht="26.85" hidden="false" customHeight="false" outlineLevel="0" collapsed="false">
      <c r="A76" s="12" t="s">
        <v>61</v>
      </c>
      <c r="B76" s="12" t="s">
        <v>62</v>
      </c>
      <c r="C76" s="12" t="s">
        <v>127</v>
      </c>
      <c r="D76" s="13" t="n">
        <v>2159</v>
      </c>
      <c r="E76" s="12" t="s">
        <v>220</v>
      </c>
      <c r="F76" s="12" t="str">
        <f aca="false">IFERROR(IF(INDEX(西日本第二ブロック!$J$5:$J$13,MATCH(B76&amp;"|"&amp;C76,西日本第二ブロック!$O$5:$O$13,0))="","未回答",INDEX(西日本第二ブロック!$J$5:$J$13,MATCH(B76&amp;"|"&amp;C76,西日本第二ブロック!$O$5:$O$13,0))),"未回答")</f>
        <v>未回答</v>
      </c>
      <c r="G76" s="24"/>
      <c r="H76" s="12" t="str">
        <f aca="false">IF(G76&lt;&gt;"",G76,F76)</f>
        <v>未回答</v>
      </c>
      <c r="I76" s="33"/>
      <c r="J76" s="33"/>
      <c r="K76" s="34" t="str">
        <f aca="false">IF(OR(J76="",LEFT(H76,1)&lt;&gt;"B"),"",MOD(J76+TIME(1,40,0),1))</f>
        <v/>
      </c>
      <c r="L76" s="24"/>
    </row>
    <row r="77" customFormat="false" ht="26.85" hidden="false" customHeight="false" outlineLevel="0" collapsed="false">
      <c r="A77" s="12" t="s">
        <v>61</v>
      </c>
      <c r="B77" s="12" t="s">
        <v>62</v>
      </c>
      <c r="C77" s="12" t="s">
        <v>127</v>
      </c>
      <c r="D77" s="13" t="n">
        <v>2294</v>
      </c>
      <c r="E77" s="12" t="s">
        <v>221</v>
      </c>
      <c r="F77" s="12" t="str">
        <f aca="false">IFERROR(IF(INDEX(西日本第二ブロック!$J$5:$J$13,MATCH(B77&amp;"|"&amp;C77,西日本第二ブロック!$O$5:$O$13,0))="","未回答",INDEX(西日本第二ブロック!$J$5:$J$13,MATCH(B77&amp;"|"&amp;C77,西日本第二ブロック!$O$5:$O$13,0))),"未回答")</f>
        <v>未回答</v>
      </c>
      <c r="G77" s="24"/>
      <c r="H77" s="12" t="str">
        <f aca="false">IF(G77&lt;&gt;"",G77,F77)</f>
        <v>未回答</v>
      </c>
      <c r="I77" s="33"/>
      <c r="J77" s="33"/>
      <c r="K77" s="34" t="str">
        <f aca="false">IF(OR(J77="",LEFT(H77,1)&lt;&gt;"B"),"",MOD(J77+TIME(1,40,0),1))</f>
        <v/>
      </c>
      <c r="L77" s="24"/>
    </row>
    <row r="78" customFormat="false" ht="26.85" hidden="false" customHeight="false" outlineLevel="0" collapsed="false">
      <c r="A78" s="12" t="s">
        <v>61</v>
      </c>
      <c r="B78" s="12" t="s">
        <v>62</v>
      </c>
      <c r="C78" s="12" t="s">
        <v>127</v>
      </c>
      <c r="D78" s="13" t="n">
        <v>2363</v>
      </c>
      <c r="E78" s="12" t="s">
        <v>222</v>
      </c>
      <c r="F78" s="12" t="str">
        <f aca="false">IFERROR(IF(INDEX(西日本第二ブロック!$J$5:$J$13,MATCH(B78&amp;"|"&amp;C78,西日本第二ブロック!$O$5:$O$13,0))="","未回答",INDEX(西日本第二ブロック!$J$5:$J$13,MATCH(B78&amp;"|"&amp;C78,西日本第二ブロック!$O$5:$O$13,0))),"未回答")</f>
        <v>未回答</v>
      </c>
      <c r="G78" s="24"/>
      <c r="H78" s="12" t="str">
        <f aca="false">IF(G78&lt;&gt;"",G78,F78)</f>
        <v>未回答</v>
      </c>
      <c r="I78" s="33"/>
      <c r="J78" s="33"/>
      <c r="K78" s="34" t="str">
        <f aca="false">IF(OR(J78="",LEFT(H78,1)&lt;&gt;"B"),"",MOD(J78+TIME(1,40,0),1))</f>
        <v/>
      </c>
      <c r="L78" s="24"/>
    </row>
    <row r="79" customFormat="false" ht="26.85" hidden="false" customHeight="false" outlineLevel="0" collapsed="false">
      <c r="A79" s="12" t="s">
        <v>61</v>
      </c>
      <c r="B79" s="12" t="s">
        <v>63</v>
      </c>
      <c r="C79" s="12" t="s">
        <v>129</v>
      </c>
      <c r="D79" s="13" t="n">
        <v>2179</v>
      </c>
      <c r="E79" s="12" t="s">
        <v>223</v>
      </c>
      <c r="F79" s="12" t="str">
        <f aca="false">IFERROR(IF(INDEX(西日本第二ブロック!$J$5:$J$13,MATCH(B79&amp;"|"&amp;C79,西日本第二ブロック!$O$5:$O$13,0))="","未回答",INDEX(西日本第二ブロック!$J$5:$J$13,MATCH(B79&amp;"|"&amp;C79,西日本第二ブロック!$O$5:$O$13,0))),"未回答")</f>
        <v>未回答</v>
      </c>
      <c r="G79" s="24"/>
      <c r="H79" s="12" t="str">
        <f aca="false">IF(G79&lt;&gt;"",G79,F79)</f>
        <v>未回答</v>
      </c>
      <c r="I79" s="33"/>
      <c r="J79" s="33"/>
      <c r="K79" s="34" t="str">
        <f aca="false">IF(OR(J79="",LEFT(H79,1)&lt;&gt;"B"),"",MOD(J79+TIME(1,40,0),1))</f>
        <v/>
      </c>
      <c r="L79" s="24"/>
    </row>
    <row r="80" customFormat="false" ht="26.85" hidden="false" customHeight="false" outlineLevel="0" collapsed="false">
      <c r="A80" s="12" t="s">
        <v>61</v>
      </c>
      <c r="B80" s="12" t="s">
        <v>63</v>
      </c>
      <c r="C80" s="12" t="s">
        <v>129</v>
      </c>
      <c r="D80" s="13" t="n">
        <v>2205</v>
      </c>
      <c r="E80" s="12" t="s">
        <v>224</v>
      </c>
      <c r="F80" s="12" t="str">
        <f aca="false">IFERROR(IF(INDEX(西日本第二ブロック!$J$5:$J$13,MATCH(B80&amp;"|"&amp;C80,西日本第二ブロック!$O$5:$O$13,0))="","未回答",INDEX(西日本第二ブロック!$J$5:$J$13,MATCH(B80&amp;"|"&amp;C80,西日本第二ブロック!$O$5:$O$13,0))),"未回答")</f>
        <v>未回答</v>
      </c>
      <c r="G80" s="24"/>
      <c r="H80" s="12" t="str">
        <f aca="false">IF(G80&lt;&gt;"",G80,F80)</f>
        <v>未回答</v>
      </c>
      <c r="I80" s="33"/>
      <c r="J80" s="33"/>
      <c r="K80" s="34" t="str">
        <f aca="false">IF(OR(J80="",LEFT(H80,1)&lt;&gt;"B"),"",MOD(J80+TIME(1,40,0),1))</f>
        <v/>
      </c>
      <c r="L80" s="24"/>
    </row>
    <row r="81" customFormat="false" ht="26.85" hidden="false" customHeight="false" outlineLevel="0" collapsed="false">
      <c r="A81" s="12" t="s">
        <v>61</v>
      </c>
      <c r="B81" s="12" t="s">
        <v>63</v>
      </c>
      <c r="C81" s="12" t="s">
        <v>129</v>
      </c>
      <c r="D81" s="13" t="n">
        <v>2317</v>
      </c>
      <c r="E81" s="12" t="s">
        <v>225</v>
      </c>
      <c r="F81" s="12" t="str">
        <f aca="false">IFERROR(IF(INDEX(西日本第二ブロック!$J$5:$J$13,MATCH(B81&amp;"|"&amp;C81,西日本第二ブロック!$O$5:$O$13,0))="","未回答",INDEX(西日本第二ブロック!$J$5:$J$13,MATCH(B81&amp;"|"&amp;C81,西日本第二ブロック!$O$5:$O$13,0))),"未回答")</f>
        <v>未回答</v>
      </c>
      <c r="G81" s="24"/>
      <c r="H81" s="12" t="str">
        <f aca="false">IF(G81&lt;&gt;"",G81,F81)</f>
        <v>未回答</v>
      </c>
      <c r="I81" s="33"/>
      <c r="J81" s="33"/>
      <c r="K81" s="34" t="str">
        <f aca="false">IF(OR(J81="",LEFT(H81,1)&lt;&gt;"B"),"",MOD(J81+TIME(1,40,0),1))</f>
        <v/>
      </c>
      <c r="L81" s="24"/>
    </row>
    <row r="82" customFormat="false" ht="26.85" hidden="false" customHeight="false" outlineLevel="0" collapsed="false">
      <c r="A82" s="12" t="s">
        <v>61</v>
      </c>
      <c r="B82" s="12" t="s">
        <v>63</v>
      </c>
      <c r="C82" s="12" t="s">
        <v>131</v>
      </c>
      <c r="D82" s="13" t="n">
        <v>2355</v>
      </c>
      <c r="E82" s="12" t="s">
        <v>132</v>
      </c>
      <c r="F82" s="12" t="str">
        <f aca="false">IFERROR(IF(INDEX(西日本第二ブロック!$J$5:$J$13,MATCH(B82&amp;"|"&amp;C82,西日本第二ブロック!$O$5:$O$13,0))="","未回答",INDEX(西日本第二ブロック!$J$5:$J$13,MATCH(B82&amp;"|"&amp;C82,西日本第二ブロック!$O$5:$O$13,0))),"未回答")</f>
        <v>未回答</v>
      </c>
      <c r="G82" s="24"/>
      <c r="H82" s="12" t="str">
        <f aca="false">IF(G82&lt;&gt;"",G82,F82)</f>
        <v>未回答</v>
      </c>
      <c r="I82" s="33"/>
      <c r="J82" s="33"/>
      <c r="K82" s="34" t="str">
        <f aca="false">IF(OR(J82="",LEFT(H82,1)&lt;&gt;"B"),"",MOD(J82+TIME(1,40,0),1))</f>
        <v/>
      </c>
      <c r="L82" s="24"/>
    </row>
    <row r="83" customFormat="false" ht="26.85" hidden="false" customHeight="false" outlineLevel="0" collapsed="false">
      <c r="A83" s="12" t="s">
        <v>61</v>
      </c>
      <c r="B83" s="12" t="s">
        <v>64</v>
      </c>
      <c r="C83" s="12" t="s">
        <v>133</v>
      </c>
      <c r="D83" s="13" t="n">
        <v>2310</v>
      </c>
      <c r="E83" s="12" t="s">
        <v>134</v>
      </c>
      <c r="F83" s="12" t="str">
        <f aca="false">IFERROR(IF(INDEX(西日本第二ブロック!$J$5:$J$13,MATCH(B83&amp;"|"&amp;C83,西日本第二ブロック!$O$5:$O$13,0))="","未回答",INDEX(西日本第二ブロック!$J$5:$J$13,MATCH(B83&amp;"|"&amp;C83,西日本第二ブロック!$O$5:$O$13,0))),"未回答")</f>
        <v>未回答</v>
      </c>
      <c r="G83" s="24"/>
      <c r="H83" s="12" t="str">
        <f aca="false">IF(G83&lt;&gt;"",G83,F83)</f>
        <v>未回答</v>
      </c>
      <c r="I83" s="33"/>
      <c r="J83" s="33"/>
      <c r="K83" s="34" t="str">
        <f aca="false">IF(OR(J83="",LEFT(H83,1)&lt;&gt;"B"),"",MOD(J83+TIME(1,40,0),1))</f>
        <v/>
      </c>
      <c r="L83" s="24"/>
    </row>
    <row r="84" customFormat="false" ht="26.85" hidden="false" customHeight="false" outlineLevel="0" collapsed="false">
      <c r="A84" s="12" t="s">
        <v>61</v>
      </c>
      <c r="B84" s="12" t="s">
        <v>64</v>
      </c>
      <c r="C84" s="12" t="s">
        <v>135</v>
      </c>
      <c r="D84" s="13" t="n">
        <v>2169</v>
      </c>
      <c r="E84" s="12" t="s">
        <v>226</v>
      </c>
      <c r="F84" s="12" t="str">
        <f aca="false">IFERROR(IF(INDEX(西日本第二ブロック!$J$5:$J$13,MATCH(B84&amp;"|"&amp;C84,西日本第二ブロック!$O$5:$O$13,0))="","未回答",INDEX(西日本第二ブロック!$J$5:$J$13,MATCH(B84&amp;"|"&amp;C84,西日本第二ブロック!$O$5:$O$13,0))),"未回答")</f>
        <v>未回答</v>
      </c>
      <c r="G84" s="24"/>
      <c r="H84" s="12" t="str">
        <f aca="false">IF(G84&lt;&gt;"",G84,F84)</f>
        <v>未回答</v>
      </c>
      <c r="I84" s="33"/>
      <c r="J84" s="33"/>
      <c r="K84" s="34" t="str">
        <f aca="false">IF(OR(J84="",LEFT(H84,1)&lt;&gt;"B"),"",MOD(J84+TIME(1,40,0),1))</f>
        <v/>
      </c>
      <c r="L84" s="24"/>
    </row>
    <row r="85" customFormat="false" ht="26.85" hidden="false" customHeight="false" outlineLevel="0" collapsed="false">
      <c r="A85" s="12" t="s">
        <v>61</v>
      </c>
      <c r="B85" s="12" t="s">
        <v>64</v>
      </c>
      <c r="C85" s="12" t="s">
        <v>135</v>
      </c>
      <c r="D85" s="13" t="n">
        <v>2350</v>
      </c>
      <c r="E85" s="12" t="s">
        <v>227</v>
      </c>
      <c r="F85" s="12" t="str">
        <f aca="false">IFERROR(IF(INDEX(西日本第二ブロック!$J$5:$J$13,MATCH(B85&amp;"|"&amp;C85,西日本第二ブロック!$O$5:$O$13,0))="","未回答",INDEX(西日本第二ブロック!$J$5:$J$13,MATCH(B85&amp;"|"&amp;C85,西日本第二ブロック!$O$5:$O$13,0))),"未回答")</f>
        <v>未回答</v>
      </c>
      <c r="G85" s="24"/>
      <c r="H85" s="12" t="str">
        <f aca="false">IF(G85&lt;&gt;"",G85,F85)</f>
        <v>未回答</v>
      </c>
      <c r="I85" s="33"/>
      <c r="J85" s="33"/>
      <c r="K85" s="34" t="str">
        <f aca="false">IF(OR(J85="",LEFT(H85,1)&lt;&gt;"B"),"",MOD(J85+TIME(1,40,0),1))</f>
        <v/>
      </c>
      <c r="L85" s="24"/>
    </row>
    <row r="86" customFormat="false" ht="26.85" hidden="false" customHeight="false" outlineLevel="0" collapsed="false">
      <c r="A86" s="12" t="s">
        <v>61</v>
      </c>
      <c r="B86" s="12" t="s">
        <v>64</v>
      </c>
      <c r="C86" s="12" t="s">
        <v>135</v>
      </c>
      <c r="D86" s="13" t="n">
        <v>2368</v>
      </c>
      <c r="E86" s="12" t="s">
        <v>228</v>
      </c>
      <c r="F86" s="12" t="str">
        <f aca="false">IFERROR(IF(INDEX(西日本第二ブロック!$J$5:$J$13,MATCH(B86&amp;"|"&amp;C86,西日本第二ブロック!$O$5:$O$13,0))="","未回答",INDEX(西日本第二ブロック!$J$5:$J$13,MATCH(B86&amp;"|"&amp;C86,西日本第二ブロック!$O$5:$O$13,0))),"未回答")</f>
        <v>未回答</v>
      </c>
      <c r="G86" s="24"/>
      <c r="H86" s="12" t="str">
        <f aca="false">IF(G86&lt;&gt;"",G86,F86)</f>
        <v>未回答</v>
      </c>
      <c r="I86" s="33"/>
      <c r="J86" s="33"/>
      <c r="K86" s="34" t="str">
        <f aca="false">IF(OR(J86="",LEFT(H86,1)&lt;&gt;"B"),"",MOD(J86+TIME(1,40,0),1))</f>
        <v/>
      </c>
      <c r="L86" s="24"/>
    </row>
    <row r="87" customFormat="false" ht="26.85" hidden="false" customHeight="false" outlineLevel="0" collapsed="false">
      <c r="A87" s="12" t="s">
        <v>61</v>
      </c>
      <c r="B87" s="12" t="s">
        <v>65</v>
      </c>
      <c r="C87" s="12" t="s">
        <v>137</v>
      </c>
      <c r="D87" s="13" t="n">
        <v>2167</v>
      </c>
      <c r="E87" s="12" t="s">
        <v>229</v>
      </c>
      <c r="F87" s="12" t="str">
        <f aca="false">IFERROR(IF(INDEX(西日本第二ブロック!$J$5:$J$13,MATCH(B87&amp;"|"&amp;C87,西日本第二ブロック!$O$5:$O$13,0))="","未回答",INDEX(西日本第二ブロック!$J$5:$J$13,MATCH(B87&amp;"|"&amp;C87,西日本第二ブロック!$O$5:$O$13,0))),"未回答")</f>
        <v>未回答</v>
      </c>
      <c r="G87" s="24"/>
      <c r="H87" s="12" t="str">
        <f aca="false">IF(G87&lt;&gt;"",G87,F87)</f>
        <v>未回答</v>
      </c>
      <c r="I87" s="33"/>
      <c r="J87" s="33"/>
      <c r="K87" s="34" t="str">
        <f aca="false">IF(OR(J87="",LEFT(H87,1)&lt;&gt;"B"),"",MOD(J87+TIME(1,40,0),1))</f>
        <v/>
      </c>
      <c r="L87" s="24"/>
    </row>
    <row r="88" customFormat="false" ht="26.85" hidden="false" customHeight="false" outlineLevel="0" collapsed="false">
      <c r="A88" s="12" t="s">
        <v>61</v>
      </c>
      <c r="B88" s="12" t="s">
        <v>65</v>
      </c>
      <c r="C88" s="12" t="s">
        <v>137</v>
      </c>
      <c r="D88" s="13" t="n">
        <v>2203</v>
      </c>
      <c r="E88" s="12" t="s">
        <v>230</v>
      </c>
      <c r="F88" s="12" t="str">
        <f aca="false">IFERROR(IF(INDEX(西日本第二ブロック!$J$5:$J$13,MATCH(B88&amp;"|"&amp;C88,西日本第二ブロック!$O$5:$O$13,0))="","未回答",INDEX(西日本第二ブロック!$J$5:$J$13,MATCH(B88&amp;"|"&amp;C88,西日本第二ブロック!$O$5:$O$13,0))),"未回答")</f>
        <v>未回答</v>
      </c>
      <c r="G88" s="24"/>
      <c r="H88" s="12" t="str">
        <f aca="false">IF(G88&lt;&gt;"",G88,F88)</f>
        <v>未回答</v>
      </c>
      <c r="I88" s="33"/>
      <c r="J88" s="33"/>
      <c r="K88" s="34" t="str">
        <f aca="false">IF(OR(J88="",LEFT(H88,1)&lt;&gt;"B"),"",MOD(J88+TIME(1,40,0),1))</f>
        <v/>
      </c>
      <c r="L88" s="24"/>
    </row>
    <row r="89" customFormat="false" ht="26.85" hidden="false" customHeight="false" outlineLevel="0" collapsed="false">
      <c r="A89" s="12" t="s">
        <v>61</v>
      </c>
      <c r="B89" s="12" t="s">
        <v>66</v>
      </c>
      <c r="C89" s="12" t="s">
        <v>139</v>
      </c>
      <c r="D89" s="13" t="n">
        <v>2106</v>
      </c>
      <c r="E89" s="12" t="s">
        <v>140</v>
      </c>
      <c r="F89" s="12" t="str">
        <f aca="false">IFERROR(IF(INDEX(西日本第二ブロック!$J$5:$J$13,MATCH(B89&amp;"|"&amp;C89,西日本第二ブロック!$O$5:$O$13,0))="","未回答",INDEX(西日本第二ブロック!$J$5:$J$13,MATCH(B89&amp;"|"&amp;C89,西日本第二ブロック!$O$5:$O$13,0))),"未回答")</f>
        <v>未回答</v>
      </c>
      <c r="G89" s="24"/>
      <c r="H89" s="12" t="str">
        <f aca="false">IF(G89&lt;&gt;"",G89,F89)</f>
        <v>未回答</v>
      </c>
      <c r="I89" s="33"/>
      <c r="J89" s="33"/>
      <c r="K89" s="34" t="str">
        <f aca="false">IF(OR(J89="",LEFT(H89,1)&lt;&gt;"B"),"",MOD(J89+TIME(1,40,0),1))</f>
        <v/>
      </c>
      <c r="L89" s="24"/>
    </row>
    <row r="90" customFormat="false" ht="26.85" hidden="false" customHeight="false" outlineLevel="0" collapsed="false">
      <c r="A90" s="12" t="s">
        <v>61</v>
      </c>
      <c r="B90" s="12" t="s">
        <v>66</v>
      </c>
      <c r="C90" s="12" t="s">
        <v>137</v>
      </c>
      <c r="D90" s="13" t="n">
        <v>2153</v>
      </c>
      <c r="E90" s="12" t="s">
        <v>231</v>
      </c>
      <c r="F90" s="12" t="str">
        <f aca="false">IFERROR(IF(INDEX(西日本第二ブロック!$J$5:$J$13,MATCH(B90&amp;"|"&amp;C90,西日本第二ブロック!$O$5:$O$13,0))="","未回答",INDEX(西日本第二ブロック!$J$5:$J$13,MATCH(B90&amp;"|"&amp;C90,西日本第二ブロック!$O$5:$O$13,0))),"未回答")</f>
        <v>未回答</v>
      </c>
      <c r="G90" s="24"/>
      <c r="H90" s="12" t="str">
        <f aca="false">IF(G90&lt;&gt;"",G90,F90)</f>
        <v>未回答</v>
      </c>
      <c r="I90" s="33"/>
      <c r="J90" s="33"/>
      <c r="K90" s="34" t="str">
        <f aca="false">IF(OR(J90="",LEFT(H90,1)&lt;&gt;"B"),"",MOD(J90+TIME(1,40,0),1))</f>
        <v/>
      </c>
      <c r="L90" s="24"/>
    </row>
    <row r="91" customFormat="false" ht="26.85" hidden="false" customHeight="false" outlineLevel="0" collapsed="false">
      <c r="A91" s="12" t="s">
        <v>61</v>
      </c>
      <c r="B91" s="12" t="s">
        <v>66</v>
      </c>
      <c r="C91" s="12" t="s">
        <v>137</v>
      </c>
      <c r="D91" s="13" t="n">
        <v>2231</v>
      </c>
      <c r="E91" s="12" t="s">
        <v>232</v>
      </c>
      <c r="F91" s="12" t="str">
        <f aca="false">IFERROR(IF(INDEX(西日本第二ブロック!$J$5:$J$13,MATCH(B91&amp;"|"&amp;C91,西日本第二ブロック!$O$5:$O$13,0))="","未回答",INDEX(西日本第二ブロック!$J$5:$J$13,MATCH(B91&amp;"|"&amp;C91,西日本第二ブロック!$O$5:$O$13,0))),"未回答")</f>
        <v>未回答</v>
      </c>
      <c r="G91" s="24"/>
      <c r="H91" s="12" t="str">
        <f aca="false">IF(G91&lt;&gt;"",G91,F91)</f>
        <v>未回答</v>
      </c>
      <c r="I91" s="33"/>
      <c r="J91" s="33"/>
      <c r="K91" s="34" t="str">
        <f aca="false">IF(OR(J91="",LEFT(H91,1)&lt;&gt;"B"),"",MOD(J91+TIME(1,40,0),1))</f>
        <v/>
      </c>
      <c r="L91" s="24"/>
    </row>
    <row r="92" customFormat="false" ht="26.85" hidden="false" customHeight="false" outlineLevel="0" collapsed="false">
      <c r="A92" s="12" t="s">
        <v>61</v>
      </c>
      <c r="B92" s="12" t="s">
        <v>67</v>
      </c>
      <c r="C92" s="12" t="s">
        <v>142</v>
      </c>
      <c r="D92" s="13" t="n">
        <v>2084</v>
      </c>
      <c r="E92" s="12" t="s">
        <v>233</v>
      </c>
      <c r="F92" s="12" t="str">
        <f aca="false">IFERROR(IF(INDEX(西日本第二ブロック!$J$5:$J$13,MATCH(B92&amp;"|"&amp;C92,西日本第二ブロック!$O$5:$O$13,0))="","未回答",INDEX(西日本第二ブロック!$J$5:$J$13,MATCH(B92&amp;"|"&amp;C92,西日本第二ブロック!$O$5:$O$13,0))),"未回答")</f>
        <v>未回答</v>
      </c>
      <c r="G92" s="24"/>
      <c r="H92" s="12" t="str">
        <f aca="false">IF(G92&lt;&gt;"",G92,F92)</f>
        <v>未回答</v>
      </c>
      <c r="I92" s="33"/>
      <c r="J92" s="33"/>
      <c r="K92" s="34" t="str">
        <f aca="false">IF(OR(J92="",LEFT(H92,1)&lt;&gt;"B"),"",MOD(J92+TIME(1,40,0),1))</f>
        <v/>
      </c>
      <c r="L92" s="24"/>
    </row>
    <row r="93" customFormat="false" ht="26.85" hidden="false" customHeight="false" outlineLevel="0" collapsed="false">
      <c r="A93" s="12" t="s">
        <v>61</v>
      </c>
      <c r="B93" s="12" t="s">
        <v>67</v>
      </c>
      <c r="C93" s="12" t="s">
        <v>142</v>
      </c>
      <c r="D93" s="13" t="n">
        <v>2085</v>
      </c>
      <c r="E93" s="12" t="s">
        <v>234</v>
      </c>
      <c r="F93" s="12" t="str">
        <f aca="false">IFERROR(IF(INDEX(西日本第二ブロック!$J$5:$J$13,MATCH(B93&amp;"|"&amp;C93,西日本第二ブロック!$O$5:$O$13,0))="","未回答",INDEX(西日本第二ブロック!$J$5:$J$13,MATCH(B93&amp;"|"&amp;C93,西日本第二ブロック!$O$5:$O$13,0))),"未回答")</f>
        <v>未回答</v>
      </c>
      <c r="G93" s="24"/>
      <c r="H93" s="12" t="str">
        <f aca="false">IF(G93&lt;&gt;"",G93,F93)</f>
        <v>未回答</v>
      </c>
      <c r="I93" s="33"/>
      <c r="J93" s="33"/>
      <c r="K93" s="34" t="str">
        <f aca="false">IF(OR(J93="",LEFT(H93,1)&lt;&gt;"B"),"",MOD(J93+TIME(1,40,0),1))</f>
        <v/>
      </c>
      <c r="L93" s="24"/>
    </row>
    <row r="94" customFormat="false" ht="26.85" hidden="false" customHeight="false" outlineLevel="0" collapsed="false">
      <c r="A94" s="12" t="s">
        <v>61</v>
      </c>
      <c r="B94" s="12" t="s">
        <v>67</v>
      </c>
      <c r="C94" s="12" t="s">
        <v>142</v>
      </c>
      <c r="D94" s="13" t="n">
        <v>2086</v>
      </c>
      <c r="E94" s="12" t="s">
        <v>235</v>
      </c>
      <c r="F94" s="12" t="str">
        <f aca="false">IFERROR(IF(INDEX(西日本第二ブロック!$J$5:$J$13,MATCH(B94&amp;"|"&amp;C94,西日本第二ブロック!$O$5:$O$13,0))="","未回答",INDEX(西日本第二ブロック!$J$5:$J$13,MATCH(B94&amp;"|"&amp;C94,西日本第二ブロック!$O$5:$O$13,0))),"未回答")</f>
        <v>未回答</v>
      </c>
      <c r="G94" s="24"/>
      <c r="H94" s="12" t="str">
        <f aca="false">IF(G94&lt;&gt;"",G94,F94)</f>
        <v>未回答</v>
      </c>
      <c r="I94" s="33"/>
      <c r="J94" s="33"/>
      <c r="K94" s="34" t="str">
        <f aca="false">IF(OR(J94="",LEFT(H94,1)&lt;&gt;"B"),"",MOD(J94+TIME(1,40,0),1))</f>
        <v/>
      </c>
      <c r="L94" s="24"/>
    </row>
    <row r="95" customFormat="false" ht="26.85" hidden="false" customHeight="false" outlineLevel="0" collapsed="false">
      <c r="A95" s="12" t="s">
        <v>61</v>
      </c>
      <c r="B95" s="12" t="s">
        <v>67</v>
      </c>
      <c r="C95" s="12" t="s">
        <v>142</v>
      </c>
      <c r="D95" s="13" t="n">
        <v>2087</v>
      </c>
      <c r="E95" s="12" t="s">
        <v>236</v>
      </c>
      <c r="F95" s="12" t="str">
        <f aca="false">IFERROR(IF(INDEX(西日本第二ブロック!$J$5:$J$13,MATCH(B95&amp;"|"&amp;C95,西日本第二ブロック!$O$5:$O$13,0))="","未回答",INDEX(西日本第二ブロック!$J$5:$J$13,MATCH(B95&amp;"|"&amp;C95,西日本第二ブロック!$O$5:$O$13,0))),"未回答")</f>
        <v>未回答</v>
      </c>
      <c r="G95" s="24"/>
      <c r="H95" s="12" t="str">
        <f aca="false">IF(G95&lt;&gt;"",G95,F95)</f>
        <v>未回答</v>
      </c>
      <c r="I95" s="33"/>
      <c r="J95" s="33"/>
      <c r="K95" s="34" t="str">
        <f aca="false">IF(OR(J95="",LEFT(H95,1)&lt;&gt;"B"),"",MOD(J95+TIME(1,40,0),1))</f>
        <v/>
      </c>
      <c r="L95" s="24"/>
    </row>
    <row r="96" customFormat="false" ht="26.85" hidden="false" customHeight="false" outlineLevel="0" collapsed="false">
      <c r="A96" s="12" t="s">
        <v>61</v>
      </c>
      <c r="B96" s="12" t="s">
        <v>67</v>
      </c>
      <c r="C96" s="12" t="s">
        <v>142</v>
      </c>
      <c r="D96" s="13" t="n">
        <v>2088</v>
      </c>
      <c r="E96" s="12" t="s">
        <v>237</v>
      </c>
      <c r="F96" s="12" t="str">
        <f aca="false">IFERROR(IF(INDEX(西日本第二ブロック!$J$5:$J$13,MATCH(B96&amp;"|"&amp;C96,西日本第二ブロック!$O$5:$O$13,0))="","未回答",INDEX(西日本第二ブロック!$J$5:$J$13,MATCH(B96&amp;"|"&amp;C96,西日本第二ブロック!$O$5:$O$13,0))),"未回答")</f>
        <v>未回答</v>
      </c>
      <c r="G96" s="24"/>
      <c r="H96" s="12" t="str">
        <f aca="false">IF(G96&lt;&gt;"",G96,F96)</f>
        <v>未回答</v>
      </c>
      <c r="I96" s="33"/>
      <c r="J96" s="33"/>
      <c r="K96" s="34" t="str">
        <f aca="false">IF(OR(J96="",LEFT(H96,1)&lt;&gt;"B"),"",MOD(J96+TIME(1,40,0),1))</f>
        <v/>
      </c>
      <c r="L96" s="24"/>
    </row>
    <row r="97" customFormat="false" ht="26.85" hidden="false" customHeight="false" outlineLevel="0" collapsed="false">
      <c r="A97" s="12" t="s">
        <v>61</v>
      </c>
      <c r="B97" s="12" t="s">
        <v>67</v>
      </c>
      <c r="C97" s="12" t="s">
        <v>142</v>
      </c>
      <c r="D97" s="13" t="n">
        <v>2092</v>
      </c>
      <c r="E97" s="12" t="s">
        <v>238</v>
      </c>
      <c r="F97" s="12" t="str">
        <f aca="false">IFERROR(IF(INDEX(西日本第二ブロック!$J$5:$J$13,MATCH(B97&amp;"|"&amp;C97,西日本第二ブロック!$O$5:$O$13,0))="","未回答",INDEX(西日本第二ブロック!$J$5:$J$13,MATCH(B97&amp;"|"&amp;C97,西日本第二ブロック!$O$5:$O$13,0))),"未回答")</f>
        <v>未回答</v>
      </c>
      <c r="G97" s="24"/>
      <c r="H97" s="12" t="str">
        <f aca="false">IF(G97&lt;&gt;"",G97,F97)</f>
        <v>未回答</v>
      </c>
      <c r="I97" s="33"/>
      <c r="J97" s="33"/>
      <c r="K97" s="34" t="str">
        <f aca="false">IF(OR(J97="",LEFT(H97,1)&lt;&gt;"B"),"",MOD(J97+TIME(1,40,0),1))</f>
        <v/>
      </c>
      <c r="L97" s="24"/>
    </row>
    <row r="98" customFormat="false" ht="26.85" hidden="false" customHeight="false" outlineLevel="0" collapsed="false">
      <c r="A98" s="12" t="s">
        <v>61</v>
      </c>
      <c r="B98" s="12" t="s">
        <v>67</v>
      </c>
      <c r="C98" s="12" t="s">
        <v>142</v>
      </c>
      <c r="D98" s="13" t="n">
        <v>2093</v>
      </c>
      <c r="E98" s="12" t="s">
        <v>239</v>
      </c>
      <c r="F98" s="12" t="str">
        <f aca="false">IFERROR(IF(INDEX(西日本第二ブロック!$J$5:$J$13,MATCH(B98&amp;"|"&amp;C98,西日本第二ブロック!$O$5:$O$13,0))="","未回答",INDEX(西日本第二ブロック!$J$5:$J$13,MATCH(B98&amp;"|"&amp;C98,西日本第二ブロック!$O$5:$O$13,0))),"未回答")</f>
        <v>未回答</v>
      </c>
      <c r="G98" s="24"/>
      <c r="H98" s="12" t="str">
        <f aca="false">IF(G98&lt;&gt;"",G98,F98)</f>
        <v>未回答</v>
      </c>
      <c r="I98" s="33"/>
      <c r="J98" s="33"/>
      <c r="K98" s="34" t="str">
        <f aca="false">IF(OR(J98="",LEFT(H98,1)&lt;&gt;"B"),"",MOD(J98+TIME(1,40,0),1))</f>
        <v/>
      </c>
      <c r="L98" s="24"/>
    </row>
    <row r="99" customFormat="false" ht="26.85" hidden="false" customHeight="false" outlineLevel="0" collapsed="false">
      <c r="A99" s="12" t="s">
        <v>61</v>
      </c>
      <c r="B99" s="12" t="s">
        <v>67</v>
      </c>
      <c r="C99" s="12" t="s">
        <v>142</v>
      </c>
      <c r="D99" s="13" t="n">
        <v>2098</v>
      </c>
      <c r="E99" s="12" t="s">
        <v>240</v>
      </c>
      <c r="F99" s="12" t="str">
        <f aca="false">IFERROR(IF(INDEX(西日本第二ブロック!$J$5:$J$13,MATCH(B99&amp;"|"&amp;C99,西日本第二ブロック!$O$5:$O$13,0))="","未回答",INDEX(西日本第二ブロック!$J$5:$J$13,MATCH(B99&amp;"|"&amp;C99,西日本第二ブロック!$O$5:$O$13,0))),"未回答")</f>
        <v>未回答</v>
      </c>
      <c r="G99" s="24"/>
      <c r="H99" s="12" t="str">
        <f aca="false">IF(G99&lt;&gt;"",G99,F99)</f>
        <v>未回答</v>
      </c>
      <c r="I99" s="33"/>
      <c r="J99" s="33"/>
      <c r="K99" s="34" t="str">
        <f aca="false">IF(OR(J99="",LEFT(H99,1)&lt;&gt;"B"),"",MOD(J99+TIME(1,40,0),1))</f>
        <v/>
      </c>
      <c r="L99" s="24"/>
    </row>
    <row r="100" customFormat="false" ht="26.85" hidden="false" customHeight="false" outlineLevel="0" collapsed="false">
      <c r="A100" s="12" t="s">
        <v>61</v>
      </c>
      <c r="B100" s="12" t="s">
        <v>67</v>
      </c>
      <c r="C100" s="12" t="s">
        <v>142</v>
      </c>
      <c r="D100" s="13" t="n">
        <v>2107</v>
      </c>
      <c r="E100" s="12" t="s">
        <v>241</v>
      </c>
      <c r="F100" s="12" t="str">
        <f aca="false">IFERROR(IF(INDEX(西日本第二ブロック!$J$5:$J$13,MATCH(B100&amp;"|"&amp;C100,西日本第二ブロック!$O$5:$O$13,0))="","未回答",INDEX(西日本第二ブロック!$J$5:$J$13,MATCH(B100&amp;"|"&amp;C100,西日本第二ブロック!$O$5:$O$13,0))),"未回答")</f>
        <v>未回答</v>
      </c>
      <c r="G100" s="24"/>
      <c r="H100" s="12" t="str">
        <f aca="false">IF(G100&lt;&gt;"",G100,F100)</f>
        <v>未回答</v>
      </c>
      <c r="I100" s="33"/>
      <c r="J100" s="33"/>
      <c r="K100" s="34" t="str">
        <f aca="false">IF(OR(J100="",LEFT(H100,1)&lt;&gt;"B"),"",MOD(J100+TIME(1,40,0),1))</f>
        <v/>
      </c>
      <c r="L100" s="24"/>
    </row>
    <row r="101" customFormat="false" ht="26.85" hidden="false" customHeight="false" outlineLevel="0" collapsed="false">
      <c r="A101" s="12" t="s">
        <v>61</v>
      </c>
      <c r="B101" s="12" t="s">
        <v>67</v>
      </c>
      <c r="C101" s="12" t="s">
        <v>142</v>
      </c>
      <c r="D101" s="13" t="n">
        <v>2109</v>
      </c>
      <c r="E101" s="12" t="s">
        <v>242</v>
      </c>
      <c r="F101" s="12" t="str">
        <f aca="false">IFERROR(IF(INDEX(西日本第二ブロック!$J$5:$J$13,MATCH(B101&amp;"|"&amp;C101,西日本第二ブロック!$O$5:$O$13,0))="","未回答",INDEX(西日本第二ブロック!$J$5:$J$13,MATCH(B101&amp;"|"&amp;C101,西日本第二ブロック!$O$5:$O$13,0))),"未回答")</f>
        <v>未回答</v>
      </c>
      <c r="G101" s="24"/>
      <c r="H101" s="12" t="str">
        <f aca="false">IF(G101&lt;&gt;"",G101,F101)</f>
        <v>未回答</v>
      </c>
      <c r="I101" s="33"/>
      <c r="J101" s="33"/>
      <c r="K101" s="34" t="str">
        <f aca="false">IF(OR(J101="",LEFT(H101,1)&lt;&gt;"B"),"",MOD(J101+TIME(1,40,0),1))</f>
        <v/>
      </c>
      <c r="L101" s="24"/>
    </row>
    <row r="102" customFormat="false" ht="26.85" hidden="false" customHeight="false" outlineLevel="0" collapsed="false">
      <c r="A102" s="12" t="s">
        <v>61</v>
      </c>
      <c r="B102" s="12" t="s">
        <v>67</v>
      </c>
      <c r="C102" s="12" t="s">
        <v>142</v>
      </c>
      <c r="D102" s="13" t="n">
        <v>2117</v>
      </c>
      <c r="E102" s="12" t="s">
        <v>243</v>
      </c>
      <c r="F102" s="12" t="str">
        <f aca="false">IFERROR(IF(INDEX(西日本第二ブロック!$J$5:$J$13,MATCH(B102&amp;"|"&amp;C102,西日本第二ブロック!$O$5:$O$13,0))="","未回答",INDEX(西日本第二ブロック!$J$5:$J$13,MATCH(B102&amp;"|"&amp;C102,西日本第二ブロック!$O$5:$O$13,0))),"未回答")</f>
        <v>未回答</v>
      </c>
      <c r="G102" s="24"/>
      <c r="H102" s="12" t="str">
        <f aca="false">IF(G102&lt;&gt;"",G102,F102)</f>
        <v>未回答</v>
      </c>
      <c r="I102" s="33"/>
      <c r="J102" s="33"/>
      <c r="K102" s="34" t="str">
        <f aca="false">IF(OR(J102="",LEFT(H102,1)&lt;&gt;"B"),"",MOD(J102+TIME(1,40,0),1))</f>
        <v/>
      </c>
      <c r="L102" s="24"/>
    </row>
    <row r="103" customFormat="false" ht="26.85" hidden="false" customHeight="false" outlineLevel="0" collapsed="false">
      <c r="A103" s="12" t="s">
        <v>61</v>
      </c>
      <c r="B103" s="12" t="s">
        <v>67</v>
      </c>
      <c r="C103" s="12" t="s">
        <v>142</v>
      </c>
      <c r="D103" s="13" t="n">
        <v>2128</v>
      </c>
      <c r="E103" s="12" t="s">
        <v>244</v>
      </c>
      <c r="F103" s="12" t="str">
        <f aca="false">IFERROR(IF(INDEX(西日本第二ブロック!$J$5:$J$13,MATCH(B103&amp;"|"&amp;C103,西日本第二ブロック!$O$5:$O$13,0))="","未回答",INDEX(西日本第二ブロック!$J$5:$J$13,MATCH(B103&amp;"|"&amp;C103,西日本第二ブロック!$O$5:$O$13,0))),"未回答")</f>
        <v>未回答</v>
      </c>
      <c r="G103" s="24"/>
      <c r="H103" s="12" t="str">
        <f aca="false">IF(G103&lt;&gt;"",G103,F103)</f>
        <v>未回答</v>
      </c>
      <c r="I103" s="33"/>
      <c r="J103" s="33"/>
      <c r="K103" s="34" t="str">
        <f aca="false">IF(OR(J103="",LEFT(H103,1)&lt;&gt;"B"),"",MOD(J103+TIME(1,40,0),1))</f>
        <v/>
      </c>
      <c r="L103" s="24"/>
    </row>
    <row r="104" customFormat="false" ht="26.85" hidden="false" customHeight="false" outlineLevel="0" collapsed="false">
      <c r="A104" s="12" t="s">
        <v>61</v>
      </c>
      <c r="B104" s="12" t="s">
        <v>67</v>
      </c>
      <c r="C104" s="12" t="s">
        <v>142</v>
      </c>
      <c r="D104" s="13" t="n">
        <v>2131</v>
      </c>
      <c r="E104" s="12" t="s">
        <v>245</v>
      </c>
      <c r="F104" s="12" t="str">
        <f aca="false">IFERROR(IF(INDEX(西日本第二ブロック!$J$5:$J$13,MATCH(B104&amp;"|"&amp;C104,西日本第二ブロック!$O$5:$O$13,0))="","未回答",INDEX(西日本第二ブロック!$J$5:$J$13,MATCH(B104&amp;"|"&amp;C104,西日本第二ブロック!$O$5:$O$13,0))),"未回答")</f>
        <v>未回答</v>
      </c>
      <c r="G104" s="24"/>
      <c r="H104" s="12" t="str">
        <f aca="false">IF(G104&lt;&gt;"",G104,F104)</f>
        <v>未回答</v>
      </c>
      <c r="I104" s="33"/>
      <c r="J104" s="33"/>
      <c r="K104" s="34" t="str">
        <f aca="false">IF(OR(J104="",LEFT(H104,1)&lt;&gt;"B"),"",MOD(J104+TIME(1,40,0),1))</f>
        <v/>
      </c>
      <c r="L104" s="24"/>
    </row>
    <row r="105" customFormat="false" ht="26.85" hidden="false" customHeight="false" outlineLevel="0" collapsed="false">
      <c r="A105" s="12" t="s">
        <v>61</v>
      </c>
      <c r="B105" s="12" t="s">
        <v>67</v>
      </c>
      <c r="C105" s="12" t="s">
        <v>142</v>
      </c>
      <c r="D105" s="13" t="n">
        <v>2139</v>
      </c>
      <c r="E105" s="12" t="s">
        <v>246</v>
      </c>
      <c r="F105" s="12" t="str">
        <f aca="false">IFERROR(IF(INDEX(西日本第二ブロック!$J$5:$J$13,MATCH(B105&amp;"|"&amp;C105,西日本第二ブロック!$O$5:$O$13,0))="","未回答",INDEX(西日本第二ブロック!$J$5:$J$13,MATCH(B105&amp;"|"&amp;C105,西日本第二ブロック!$O$5:$O$13,0))),"未回答")</f>
        <v>未回答</v>
      </c>
      <c r="G105" s="24"/>
      <c r="H105" s="12" t="str">
        <f aca="false">IF(G105&lt;&gt;"",G105,F105)</f>
        <v>未回答</v>
      </c>
      <c r="I105" s="33"/>
      <c r="J105" s="33"/>
      <c r="K105" s="34" t="str">
        <f aca="false">IF(OR(J105="",LEFT(H105,1)&lt;&gt;"B"),"",MOD(J105+TIME(1,40,0),1))</f>
        <v/>
      </c>
      <c r="L105" s="24"/>
    </row>
    <row r="106" customFormat="false" ht="26.85" hidden="false" customHeight="false" outlineLevel="0" collapsed="false">
      <c r="A106" s="12" t="s">
        <v>61</v>
      </c>
      <c r="B106" s="12" t="s">
        <v>67</v>
      </c>
      <c r="C106" s="12" t="s">
        <v>142</v>
      </c>
      <c r="D106" s="13" t="n">
        <v>2151</v>
      </c>
      <c r="E106" s="12" t="s">
        <v>247</v>
      </c>
      <c r="F106" s="12" t="str">
        <f aca="false">IFERROR(IF(INDEX(西日本第二ブロック!$J$5:$J$13,MATCH(B106&amp;"|"&amp;C106,西日本第二ブロック!$O$5:$O$13,0))="","未回答",INDEX(西日本第二ブロック!$J$5:$J$13,MATCH(B106&amp;"|"&amp;C106,西日本第二ブロック!$O$5:$O$13,0))),"未回答")</f>
        <v>未回答</v>
      </c>
      <c r="G106" s="24"/>
      <c r="H106" s="12" t="str">
        <f aca="false">IF(G106&lt;&gt;"",G106,F106)</f>
        <v>未回答</v>
      </c>
      <c r="I106" s="33"/>
      <c r="J106" s="33"/>
      <c r="K106" s="34" t="str">
        <f aca="false">IF(OR(J106="",LEFT(H106,1)&lt;&gt;"B"),"",MOD(J106+TIME(1,40,0),1))</f>
        <v/>
      </c>
      <c r="L106" s="24"/>
    </row>
    <row r="107" customFormat="false" ht="26.85" hidden="false" customHeight="false" outlineLevel="0" collapsed="false">
      <c r="A107" s="12" t="s">
        <v>61</v>
      </c>
      <c r="B107" s="12" t="s">
        <v>67</v>
      </c>
      <c r="C107" s="12" t="s">
        <v>142</v>
      </c>
      <c r="D107" s="13" t="n">
        <v>2155</v>
      </c>
      <c r="E107" s="12" t="s">
        <v>248</v>
      </c>
      <c r="F107" s="12" t="str">
        <f aca="false">IFERROR(IF(INDEX(西日本第二ブロック!$J$5:$J$13,MATCH(B107&amp;"|"&amp;C107,西日本第二ブロック!$O$5:$O$13,0))="","未回答",INDEX(西日本第二ブロック!$J$5:$J$13,MATCH(B107&amp;"|"&amp;C107,西日本第二ブロック!$O$5:$O$13,0))),"未回答")</f>
        <v>未回答</v>
      </c>
      <c r="G107" s="24"/>
      <c r="H107" s="12" t="str">
        <f aca="false">IF(G107&lt;&gt;"",G107,F107)</f>
        <v>未回答</v>
      </c>
      <c r="I107" s="33"/>
      <c r="J107" s="33"/>
      <c r="K107" s="34" t="str">
        <f aca="false">IF(OR(J107="",LEFT(H107,1)&lt;&gt;"B"),"",MOD(J107+TIME(1,40,0),1))</f>
        <v/>
      </c>
      <c r="L107" s="24"/>
    </row>
    <row r="108" customFormat="false" ht="26.85" hidden="false" customHeight="false" outlineLevel="0" collapsed="false">
      <c r="A108" s="12" t="s">
        <v>61</v>
      </c>
      <c r="B108" s="12" t="s">
        <v>67</v>
      </c>
      <c r="C108" s="12" t="s">
        <v>142</v>
      </c>
      <c r="D108" s="13" t="n">
        <v>2158</v>
      </c>
      <c r="E108" s="12" t="s">
        <v>249</v>
      </c>
      <c r="F108" s="12" t="str">
        <f aca="false">IFERROR(IF(INDEX(西日本第二ブロック!$J$5:$J$13,MATCH(B108&amp;"|"&amp;C108,西日本第二ブロック!$O$5:$O$13,0))="","未回答",INDEX(西日本第二ブロック!$J$5:$J$13,MATCH(B108&amp;"|"&amp;C108,西日本第二ブロック!$O$5:$O$13,0))),"未回答")</f>
        <v>未回答</v>
      </c>
      <c r="G108" s="24"/>
      <c r="H108" s="12" t="str">
        <f aca="false">IF(G108&lt;&gt;"",G108,F108)</f>
        <v>未回答</v>
      </c>
      <c r="I108" s="33"/>
      <c r="J108" s="33"/>
      <c r="K108" s="34" t="str">
        <f aca="false">IF(OR(J108="",LEFT(H108,1)&lt;&gt;"B"),"",MOD(J108+TIME(1,40,0),1))</f>
        <v/>
      </c>
      <c r="L108" s="24"/>
    </row>
    <row r="109" customFormat="false" ht="26.85" hidden="false" customHeight="false" outlineLevel="0" collapsed="false">
      <c r="A109" s="12" t="s">
        <v>61</v>
      </c>
      <c r="B109" s="12" t="s">
        <v>67</v>
      </c>
      <c r="C109" s="12" t="s">
        <v>142</v>
      </c>
      <c r="D109" s="13" t="n">
        <v>2164</v>
      </c>
      <c r="E109" s="12" t="s">
        <v>250</v>
      </c>
      <c r="F109" s="12" t="str">
        <f aca="false">IFERROR(IF(INDEX(西日本第二ブロック!$J$5:$J$13,MATCH(B109&amp;"|"&amp;C109,西日本第二ブロック!$O$5:$O$13,0))="","未回答",INDEX(西日本第二ブロック!$J$5:$J$13,MATCH(B109&amp;"|"&amp;C109,西日本第二ブロック!$O$5:$O$13,0))),"未回答")</f>
        <v>未回答</v>
      </c>
      <c r="G109" s="24"/>
      <c r="H109" s="12" t="str">
        <f aca="false">IF(G109&lt;&gt;"",G109,F109)</f>
        <v>未回答</v>
      </c>
      <c r="I109" s="33"/>
      <c r="J109" s="33"/>
      <c r="K109" s="34" t="str">
        <f aca="false">IF(OR(J109="",LEFT(H109,1)&lt;&gt;"B"),"",MOD(J109+TIME(1,40,0),1))</f>
        <v/>
      </c>
      <c r="L109" s="24"/>
    </row>
    <row r="110" customFormat="false" ht="26.85" hidden="false" customHeight="false" outlineLevel="0" collapsed="false">
      <c r="A110" s="12" t="s">
        <v>61</v>
      </c>
      <c r="B110" s="12" t="s">
        <v>67</v>
      </c>
      <c r="C110" s="12" t="s">
        <v>142</v>
      </c>
      <c r="D110" s="13" t="n">
        <v>2170</v>
      </c>
      <c r="E110" s="12" t="s">
        <v>251</v>
      </c>
      <c r="F110" s="12" t="str">
        <f aca="false">IFERROR(IF(INDEX(西日本第二ブロック!$J$5:$J$13,MATCH(B110&amp;"|"&amp;C110,西日本第二ブロック!$O$5:$O$13,0))="","未回答",INDEX(西日本第二ブロック!$J$5:$J$13,MATCH(B110&amp;"|"&amp;C110,西日本第二ブロック!$O$5:$O$13,0))),"未回答")</f>
        <v>未回答</v>
      </c>
      <c r="G110" s="24"/>
      <c r="H110" s="12" t="str">
        <f aca="false">IF(G110&lt;&gt;"",G110,F110)</f>
        <v>未回答</v>
      </c>
      <c r="I110" s="33"/>
      <c r="J110" s="33"/>
      <c r="K110" s="34" t="str">
        <f aca="false">IF(OR(J110="",LEFT(H110,1)&lt;&gt;"B"),"",MOD(J110+TIME(1,40,0),1))</f>
        <v/>
      </c>
      <c r="L110" s="24"/>
    </row>
    <row r="111" customFormat="false" ht="26.85" hidden="false" customHeight="false" outlineLevel="0" collapsed="false">
      <c r="A111" s="12" t="s">
        <v>61</v>
      </c>
      <c r="B111" s="12" t="s">
        <v>67</v>
      </c>
      <c r="C111" s="12" t="s">
        <v>142</v>
      </c>
      <c r="D111" s="13" t="n">
        <v>2173</v>
      </c>
      <c r="E111" s="12" t="s">
        <v>252</v>
      </c>
      <c r="F111" s="12" t="str">
        <f aca="false">IFERROR(IF(INDEX(西日本第二ブロック!$J$5:$J$13,MATCH(B111&amp;"|"&amp;C111,西日本第二ブロック!$O$5:$O$13,0))="","未回答",INDEX(西日本第二ブロック!$J$5:$J$13,MATCH(B111&amp;"|"&amp;C111,西日本第二ブロック!$O$5:$O$13,0))),"未回答")</f>
        <v>未回答</v>
      </c>
      <c r="G111" s="24"/>
      <c r="H111" s="12" t="str">
        <f aca="false">IF(G111&lt;&gt;"",G111,F111)</f>
        <v>未回答</v>
      </c>
      <c r="I111" s="33"/>
      <c r="J111" s="33"/>
      <c r="K111" s="34" t="str">
        <f aca="false">IF(OR(J111="",LEFT(H111,1)&lt;&gt;"B"),"",MOD(J111+TIME(1,40,0),1))</f>
        <v/>
      </c>
      <c r="L111" s="24"/>
    </row>
    <row r="112" customFormat="false" ht="26.85" hidden="false" customHeight="false" outlineLevel="0" collapsed="false">
      <c r="A112" s="12" t="s">
        <v>61</v>
      </c>
      <c r="B112" s="12" t="s">
        <v>67</v>
      </c>
      <c r="C112" s="12" t="s">
        <v>142</v>
      </c>
      <c r="D112" s="13" t="n">
        <v>2175</v>
      </c>
      <c r="E112" s="12" t="s">
        <v>253</v>
      </c>
      <c r="F112" s="12" t="str">
        <f aca="false">IFERROR(IF(INDEX(西日本第二ブロック!$J$5:$J$13,MATCH(B112&amp;"|"&amp;C112,西日本第二ブロック!$O$5:$O$13,0))="","未回答",INDEX(西日本第二ブロック!$J$5:$J$13,MATCH(B112&amp;"|"&amp;C112,西日本第二ブロック!$O$5:$O$13,0))),"未回答")</f>
        <v>未回答</v>
      </c>
      <c r="G112" s="24"/>
      <c r="H112" s="12" t="str">
        <f aca="false">IF(G112&lt;&gt;"",G112,F112)</f>
        <v>未回答</v>
      </c>
      <c r="I112" s="33"/>
      <c r="J112" s="33"/>
      <c r="K112" s="34" t="str">
        <f aca="false">IF(OR(J112="",LEFT(H112,1)&lt;&gt;"B"),"",MOD(J112+TIME(1,40,0),1))</f>
        <v/>
      </c>
      <c r="L112" s="24"/>
    </row>
    <row r="113" customFormat="false" ht="26.85" hidden="false" customHeight="false" outlineLevel="0" collapsed="false">
      <c r="A113" s="12" t="s">
        <v>61</v>
      </c>
      <c r="B113" s="12" t="s">
        <v>67</v>
      </c>
      <c r="C113" s="12" t="s">
        <v>142</v>
      </c>
      <c r="D113" s="13" t="n">
        <v>2191</v>
      </c>
      <c r="E113" s="12" t="s">
        <v>254</v>
      </c>
      <c r="F113" s="12" t="str">
        <f aca="false">IFERROR(IF(INDEX(西日本第二ブロック!$J$5:$J$13,MATCH(B113&amp;"|"&amp;C113,西日本第二ブロック!$O$5:$O$13,0))="","未回答",INDEX(西日本第二ブロック!$J$5:$J$13,MATCH(B113&amp;"|"&amp;C113,西日本第二ブロック!$O$5:$O$13,0))),"未回答")</f>
        <v>未回答</v>
      </c>
      <c r="G113" s="24"/>
      <c r="H113" s="12" t="str">
        <f aca="false">IF(G113&lt;&gt;"",G113,F113)</f>
        <v>未回答</v>
      </c>
      <c r="I113" s="33"/>
      <c r="J113" s="33"/>
      <c r="K113" s="34" t="str">
        <f aca="false">IF(OR(J113="",LEFT(H113,1)&lt;&gt;"B"),"",MOD(J113+TIME(1,40,0),1))</f>
        <v/>
      </c>
      <c r="L113" s="24"/>
    </row>
    <row r="114" customFormat="false" ht="26.85" hidden="false" customHeight="false" outlineLevel="0" collapsed="false">
      <c r="A114" s="12" t="s">
        <v>61</v>
      </c>
      <c r="B114" s="12" t="s">
        <v>67</v>
      </c>
      <c r="C114" s="12" t="s">
        <v>142</v>
      </c>
      <c r="D114" s="13" t="n">
        <v>2192</v>
      </c>
      <c r="E114" s="12" t="s">
        <v>255</v>
      </c>
      <c r="F114" s="12" t="str">
        <f aca="false">IFERROR(IF(INDEX(西日本第二ブロック!$J$5:$J$13,MATCH(B114&amp;"|"&amp;C114,西日本第二ブロック!$O$5:$O$13,0))="","未回答",INDEX(西日本第二ブロック!$J$5:$J$13,MATCH(B114&amp;"|"&amp;C114,西日本第二ブロック!$O$5:$O$13,0))),"未回答")</f>
        <v>未回答</v>
      </c>
      <c r="G114" s="24"/>
      <c r="H114" s="12" t="str">
        <f aca="false">IF(G114&lt;&gt;"",G114,F114)</f>
        <v>未回答</v>
      </c>
      <c r="I114" s="33"/>
      <c r="J114" s="33"/>
      <c r="K114" s="34" t="str">
        <f aca="false">IF(OR(J114="",LEFT(H114,1)&lt;&gt;"B"),"",MOD(J114+TIME(1,40,0),1))</f>
        <v/>
      </c>
      <c r="L114" s="24"/>
    </row>
    <row r="115" customFormat="false" ht="26.85" hidden="false" customHeight="false" outlineLevel="0" collapsed="false">
      <c r="A115" s="12" t="s">
        <v>61</v>
      </c>
      <c r="B115" s="12" t="s">
        <v>67</v>
      </c>
      <c r="C115" s="12" t="s">
        <v>142</v>
      </c>
      <c r="D115" s="13" t="n">
        <v>2194</v>
      </c>
      <c r="E115" s="12" t="s">
        <v>256</v>
      </c>
      <c r="F115" s="12" t="str">
        <f aca="false">IFERROR(IF(INDEX(西日本第二ブロック!$J$5:$J$13,MATCH(B115&amp;"|"&amp;C115,西日本第二ブロック!$O$5:$O$13,0))="","未回答",INDEX(西日本第二ブロック!$J$5:$J$13,MATCH(B115&amp;"|"&amp;C115,西日本第二ブロック!$O$5:$O$13,0))),"未回答")</f>
        <v>未回答</v>
      </c>
      <c r="G115" s="24"/>
      <c r="H115" s="12" t="str">
        <f aca="false">IF(G115&lt;&gt;"",G115,F115)</f>
        <v>未回答</v>
      </c>
      <c r="I115" s="33"/>
      <c r="J115" s="33"/>
      <c r="K115" s="34" t="str">
        <f aca="false">IF(OR(J115="",LEFT(H115,1)&lt;&gt;"B"),"",MOD(J115+TIME(1,40,0),1))</f>
        <v/>
      </c>
      <c r="L115" s="24"/>
    </row>
    <row r="116" customFormat="false" ht="26.85" hidden="false" customHeight="false" outlineLevel="0" collapsed="false">
      <c r="A116" s="12" t="s">
        <v>61</v>
      </c>
      <c r="B116" s="12" t="s">
        <v>67</v>
      </c>
      <c r="C116" s="12" t="s">
        <v>142</v>
      </c>
      <c r="D116" s="13" t="n">
        <v>2207</v>
      </c>
      <c r="E116" s="12" t="s">
        <v>257</v>
      </c>
      <c r="F116" s="12" t="str">
        <f aca="false">IFERROR(IF(INDEX(西日本第二ブロック!$J$5:$J$13,MATCH(B116&amp;"|"&amp;C116,西日本第二ブロック!$O$5:$O$13,0))="","未回答",INDEX(西日本第二ブロック!$J$5:$J$13,MATCH(B116&amp;"|"&amp;C116,西日本第二ブロック!$O$5:$O$13,0))),"未回答")</f>
        <v>未回答</v>
      </c>
      <c r="G116" s="24"/>
      <c r="H116" s="12" t="str">
        <f aca="false">IF(G116&lt;&gt;"",G116,F116)</f>
        <v>未回答</v>
      </c>
      <c r="I116" s="33"/>
      <c r="J116" s="33"/>
      <c r="K116" s="34" t="str">
        <f aca="false">IF(OR(J116="",LEFT(H116,1)&lt;&gt;"B"),"",MOD(J116+TIME(1,40,0),1))</f>
        <v/>
      </c>
      <c r="L116" s="24"/>
    </row>
    <row r="117" customFormat="false" ht="26.85" hidden="false" customHeight="false" outlineLevel="0" collapsed="false">
      <c r="A117" s="12" t="s">
        <v>61</v>
      </c>
      <c r="B117" s="12" t="s">
        <v>67</v>
      </c>
      <c r="C117" s="12" t="s">
        <v>142</v>
      </c>
      <c r="D117" s="13" t="n">
        <v>2212</v>
      </c>
      <c r="E117" s="12" t="s">
        <v>258</v>
      </c>
      <c r="F117" s="12" t="str">
        <f aca="false">IFERROR(IF(INDEX(西日本第二ブロック!$J$5:$J$13,MATCH(B117&amp;"|"&amp;C117,西日本第二ブロック!$O$5:$O$13,0))="","未回答",INDEX(西日本第二ブロック!$J$5:$J$13,MATCH(B117&amp;"|"&amp;C117,西日本第二ブロック!$O$5:$O$13,0))),"未回答")</f>
        <v>未回答</v>
      </c>
      <c r="G117" s="24"/>
      <c r="H117" s="12" t="str">
        <f aca="false">IF(G117&lt;&gt;"",G117,F117)</f>
        <v>未回答</v>
      </c>
      <c r="I117" s="33"/>
      <c r="J117" s="33"/>
      <c r="K117" s="34" t="str">
        <f aca="false">IF(OR(J117="",LEFT(H117,1)&lt;&gt;"B"),"",MOD(J117+TIME(1,40,0),1))</f>
        <v/>
      </c>
      <c r="L117" s="24"/>
    </row>
    <row r="118" customFormat="false" ht="26.85" hidden="false" customHeight="false" outlineLevel="0" collapsed="false">
      <c r="A118" s="12" t="s">
        <v>61</v>
      </c>
      <c r="B118" s="12" t="s">
        <v>67</v>
      </c>
      <c r="C118" s="12" t="s">
        <v>142</v>
      </c>
      <c r="D118" s="13" t="n">
        <v>2214</v>
      </c>
      <c r="E118" s="12" t="s">
        <v>259</v>
      </c>
      <c r="F118" s="12" t="str">
        <f aca="false">IFERROR(IF(INDEX(西日本第二ブロック!$J$5:$J$13,MATCH(B118&amp;"|"&amp;C118,西日本第二ブロック!$O$5:$O$13,0))="","未回答",INDEX(西日本第二ブロック!$J$5:$J$13,MATCH(B118&amp;"|"&amp;C118,西日本第二ブロック!$O$5:$O$13,0))),"未回答")</f>
        <v>未回答</v>
      </c>
      <c r="G118" s="24"/>
      <c r="H118" s="12" t="str">
        <f aca="false">IF(G118&lt;&gt;"",G118,F118)</f>
        <v>未回答</v>
      </c>
      <c r="I118" s="33"/>
      <c r="J118" s="33"/>
      <c r="K118" s="34" t="str">
        <f aca="false">IF(OR(J118="",LEFT(H118,1)&lt;&gt;"B"),"",MOD(J118+TIME(1,40,0),1))</f>
        <v/>
      </c>
      <c r="L118" s="24"/>
    </row>
    <row r="119" customFormat="false" ht="26.85" hidden="false" customHeight="false" outlineLevel="0" collapsed="false">
      <c r="A119" s="12" t="s">
        <v>61</v>
      </c>
      <c r="B119" s="12" t="s">
        <v>67</v>
      </c>
      <c r="C119" s="12" t="s">
        <v>142</v>
      </c>
      <c r="D119" s="13" t="n">
        <v>2219</v>
      </c>
      <c r="E119" s="12" t="s">
        <v>260</v>
      </c>
      <c r="F119" s="12" t="str">
        <f aca="false">IFERROR(IF(INDEX(西日本第二ブロック!$J$5:$J$13,MATCH(B119&amp;"|"&amp;C119,西日本第二ブロック!$O$5:$O$13,0))="","未回答",INDEX(西日本第二ブロック!$J$5:$J$13,MATCH(B119&amp;"|"&amp;C119,西日本第二ブロック!$O$5:$O$13,0))),"未回答")</f>
        <v>未回答</v>
      </c>
      <c r="G119" s="24"/>
      <c r="H119" s="12" t="str">
        <f aca="false">IF(G119&lt;&gt;"",G119,F119)</f>
        <v>未回答</v>
      </c>
      <c r="I119" s="33"/>
      <c r="J119" s="33"/>
      <c r="K119" s="34" t="str">
        <f aca="false">IF(OR(J119="",LEFT(H119,1)&lt;&gt;"B"),"",MOD(J119+TIME(1,40,0),1))</f>
        <v/>
      </c>
      <c r="L119" s="24"/>
    </row>
    <row r="120" customFormat="false" ht="26.85" hidden="false" customHeight="false" outlineLevel="0" collapsed="false">
      <c r="A120" s="12" t="s">
        <v>61</v>
      </c>
      <c r="B120" s="12" t="s">
        <v>67</v>
      </c>
      <c r="C120" s="12" t="s">
        <v>142</v>
      </c>
      <c r="D120" s="13" t="n">
        <v>2229</v>
      </c>
      <c r="E120" s="12" t="s">
        <v>261</v>
      </c>
      <c r="F120" s="12" t="str">
        <f aca="false">IFERROR(IF(INDEX(西日本第二ブロック!$J$5:$J$13,MATCH(B120&amp;"|"&amp;C120,西日本第二ブロック!$O$5:$O$13,0))="","未回答",INDEX(西日本第二ブロック!$J$5:$J$13,MATCH(B120&amp;"|"&amp;C120,西日本第二ブロック!$O$5:$O$13,0))),"未回答")</f>
        <v>未回答</v>
      </c>
      <c r="G120" s="24"/>
      <c r="H120" s="12" t="str">
        <f aca="false">IF(G120&lt;&gt;"",G120,F120)</f>
        <v>未回答</v>
      </c>
      <c r="I120" s="33"/>
      <c r="J120" s="33"/>
      <c r="K120" s="34" t="str">
        <f aca="false">IF(OR(J120="",LEFT(H120,1)&lt;&gt;"B"),"",MOD(J120+TIME(1,40,0),1))</f>
        <v/>
      </c>
      <c r="L120" s="24"/>
    </row>
    <row r="121" customFormat="false" ht="26.85" hidden="false" customHeight="false" outlineLevel="0" collapsed="false">
      <c r="A121" s="12" t="s">
        <v>61</v>
      </c>
      <c r="B121" s="12" t="s">
        <v>67</v>
      </c>
      <c r="C121" s="12" t="s">
        <v>142</v>
      </c>
      <c r="D121" s="13" t="n">
        <v>2239</v>
      </c>
      <c r="E121" s="12" t="s">
        <v>262</v>
      </c>
      <c r="F121" s="12" t="str">
        <f aca="false">IFERROR(IF(INDEX(西日本第二ブロック!$J$5:$J$13,MATCH(B121&amp;"|"&amp;C121,西日本第二ブロック!$O$5:$O$13,0))="","未回答",INDEX(西日本第二ブロック!$J$5:$J$13,MATCH(B121&amp;"|"&amp;C121,西日本第二ブロック!$O$5:$O$13,0))),"未回答")</f>
        <v>未回答</v>
      </c>
      <c r="G121" s="24"/>
      <c r="H121" s="12" t="str">
        <f aca="false">IF(G121&lt;&gt;"",G121,F121)</f>
        <v>未回答</v>
      </c>
      <c r="I121" s="33"/>
      <c r="J121" s="33"/>
      <c r="K121" s="34" t="str">
        <f aca="false">IF(OR(J121="",LEFT(H121,1)&lt;&gt;"B"),"",MOD(J121+TIME(1,40,0),1))</f>
        <v/>
      </c>
      <c r="L121" s="24"/>
    </row>
    <row r="122" customFormat="false" ht="26.85" hidden="false" customHeight="false" outlineLevel="0" collapsed="false">
      <c r="A122" s="12" t="s">
        <v>61</v>
      </c>
      <c r="B122" s="12" t="s">
        <v>67</v>
      </c>
      <c r="C122" s="12" t="s">
        <v>142</v>
      </c>
      <c r="D122" s="13" t="n">
        <v>2241</v>
      </c>
      <c r="E122" s="12" t="s">
        <v>263</v>
      </c>
      <c r="F122" s="12" t="str">
        <f aca="false">IFERROR(IF(INDEX(西日本第二ブロック!$J$5:$J$13,MATCH(B122&amp;"|"&amp;C122,西日本第二ブロック!$O$5:$O$13,0))="","未回答",INDEX(西日本第二ブロック!$J$5:$J$13,MATCH(B122&amp;"|"&amp;C122,西日本第二ブロック!$O$5:$O$13,0))),"未回答")</f>
        <v>未回答</v>
      </c>
      <c r="G122" s="24"/>
      <c r="H122" s="12" t="str">
        <f aca="false">IF(G122&lt;&gt;"",G122,F122)</f>
        <v>未回答</v>
      </c>
      <c r="I122" s="33"/>
      <c r="J122" s="33"/>
      <c r="K122" s="34" t="str">
        <f aca="false">IF(OR(J122="",LEFT(H122,1)&lt;&gt;"B"),"",MOD(J122+TIME(1,40,0),1))</f>
        <v/>
      </c>
      <c r="L122" s="24"/>
    </row>
    <row r="123" customFormat="false" ht="26.85" hidden="false" customHeight="false" outlineLevel="0" collapsed="false">
      <c r="A123" s="12" t="s">
        <v>61</v>
      </c>
      <c r="B123" s="12" t="s">
        <v>67</v>
      </c>
      <c r="C123" s="12" t="s">
        <v>142</v>
      </c>
      <c r="D123" s="13" t="n">
        <v>2242</v>
      </c>
      <c r="E123" s="12" t="s">
        <v>264</v>
      </c>
      <c r="F123" s="12" t="str">
        <f aca="false">IFERROR(IF(INDEX(西日本第二ブロック!$J$5:$J$13,MATCH(B123&amp;"|"&amp;C123,西日本第二ブロック!$O$5:$O$13,0))="","未回答",INDEX(西日本第二ブロック!$J$5:$J$13,MATCH(B123&amp;"|"&amp;C123,西日本第二ブロック!$O$5:$O$13,0))),"未回答")</f>
        <v>未回答</v>
      </c>
      <c r="G123" s="24"/>
      <c r="H123" s="12" t="str">
        <f aca="false">IF(G123&lt;&gt;"",G123,F123)</f>
        <v>未回答</v>
      </c>
      <c r="I123" s="33"/>
      <c r="J123" s="33"/>
      <c r="K123" s="34" t="str">
        <f aca="false">IF(OR(J123="",LEFT(H123,1)&lt;&gt;"B"),"",MOD(J123+TIME(1,40,0),1))</f>
        <v/>
      </c>
      <c r="L123" s="24"/>
    </row>
    <row r="124" customFormat="false" ht="26.85" hidden="false" customHeight="false" outlineLevel="0" collapsed="false">
      <c r="A124" s="12" t="s">
        <v>61</v>
      </c>
      <c r="B124" s="12" t="s">
        <v>67</v>
      </c>
      <c r="C124" s="12" t="s">
        <v>142</v>
      </c>
      <c r="D124" s="13" t="n">
        <v>2245</v>
      </c>
      <c r="E124" s="12" t="s">
        <v>265</v>
      </c>
      <c r="F124" s="12" t="str">
        <f aca="false">IFERROR(IF(INDEX(西日本第二ブロック!$J$5:$J$13,MATCH(B124&amp;"|"&amp;C124,西日本第二ブロック!$O$5:$O$13,0))="","未回答",INDEX(西日本第二ブロック!$J$5:$J$13,MATCH(B124&amp;"|"&amp;C124,西日本第二ブロック!$O$5:$O$13,0))),"未回答")</f>
        <v>未回答</v>
      </c>
      <c r="G124" s="24"/>
      <c r="H124" s="12" t="str">
        <f aca="false">IF(G124&lt;&gt;"",G124,F124)</f>
        <v>未回答</v>
      </c>
      <c r="I124" s="33"/>
      <c r="J124" s="33"/>
      <c r="K124" s="34" t="str">
        <f aca="false">IF(OR(J124="",LEFT(H124,1)&lt;&gt;"B"),"",MOD(J124+TIME(1,40,0),1))</f>
        <v/>
      </c>
      <c r="L124" s="24"/>
    </row>
    <row r="125" customFormat="false" ht="26.85" hidden="false" customHeight="false" outlineLevel="0" collapsed="false">
      <c r="A125" s="12" t="s">
        <v>61</v>
      </c>
      <c r="B125" s="12" t="s">
        <v>67</v>
      </c>
      <c r="C125" s="12" t="s">
        <v>142</v>
      </c>
      <c r="D125" s="13" t="n">
        <v>2246</v>
      </c>
      <c r="E125" s="12" t="s">
        <v>266</v>
      </c>
      <c r="F125" s="12" t="str">
        <f aca="false">IFERROR(IF(INDEX(西日本第二ブロック!$J$5:$J$13,MATCH(B125&amp;"|"&amp;C125,西日本第二ブロック!$O$5:$O$13,0))="","未回答",INDEX(西日本第二ブロック!$J$5:$J$13,MATCH(B125&amp;"|"&amp;C125,西日本第二ブロック!$O$5:$O$13,0))),"未回答")</f>
        <v>未回答</v>
      </c>
      <c r="G125" s="24"/>
      <c r="H125" s="12" t="str">
        <f aca="false">IF(G125&lt;&gt;"",G125,F125)</f>
        <v>未回答</v>
      </c>
      <c r="I125" s="33"/>
      <c r="J125" s="33"/>
      <c r="K125" s="34" t="str">
        <f aca="false">IF(OR(J125="",LEFT(H125,1)&lt;&gt;"B"),"",MOD(J125+TIME(1,40,0),1))</f>
        <v/>
      </c>
      <c r="L125" s="24"/>
    </row>
    <row r="126" customFormat="false" ht="26.85" hidden="false" customHeight="false" outlineLevel="0" collapsed="false">
      <c r="A126" s="12" t="s">
        <v>61</v>
      </c>
      <c r="B126" s="12" t="s">
        <v>67</v>
      </c>
      <c r="C126" s="12" t="s">
        <v>142</v>
      </c>
      <c r="D126" s="13" t="n">
        <v>2247</v>
      </c>
      <c r="E126" s="12" t="s">
        <v>267</v>
      </c>
      <c r="F126" s="12" t="str">
        <f aca="false">IFERROR(IF(INDEX(西日本第二ブロック!$J$5:$J$13,MATCH(B126&amp;"|"&amp;C126,西日本第二ブロック!$O$5:$O$13,0))="","未回答",INDEX(西日本第二ブロック!$J$5:$J$13,MATCH(B126&amp;"|"&amp;C126,西日本第二ブロック!$O$5:$O$13,0))),"未回答")</f>
        <v>未回答</v>
      </c>
      <c r="G126" s="24"/>
      <c r="H126" s="12" t="str">
        <f aca="false">IF(G126&lt;&gt;"",G126,F126)</f>
        <v>未回答</v>
      </c>
      <c r="I126" s="33"/>
      <c r="J126" s="33"/>
      <c r="K126" s="34" t="str">
        <f aca="false">IF(OR(J126="",LEFT(H126,1)&lt;&gt;"B"),"",MOD(J126+TIME(1,40,0),1))</f>
        <v/>
      </c>
      <c r="L126" s="24"/>
    </row>
    <row r="127" customFormat="false" ht="26.85" hidden="false" customHeight="false" outlineLevel="0" collapsed="false">
      <c r="A127" s="12" t="s">
        <v>61</v>
      </c>
      <c r="B127" s="12" t="s">
        <v>67</v>
      </c>
      <c r="C127" s="12" t="s">
        <v>142</v>
      </c>
      <c r="D127" s="13" t="n">
        <v>2265</v>
      </c>
      <c r="E127" s="12" t="s">
        <v>268</v>
      </c>
      <c r="F127" s="12" t="str">
        <f aca="false">IFERROR(IF(INDEX(西日本第二ブロック!$J$5:$J$13,MATCH(B127&amp;"|"&amp;C127,西日本第二ブロック!$O$5:$O$13,0))="","未回答",INDEX(西日本第二ブロック!$J$5:$J$13,MATCH(B127&amp;"|"&amp;C127,西日本第二ブロック!$O$5:$O$13,0))),"未回答")</f>
        <v>未回答</v>
      </c>
      <c r="G127" s="24"/>
      <c r="H127" s="12" t="str">
        <f aca="false">IF(G127&lt;&gt;"",G127,F127)</f>
        <v>未回答</v>
      </c>
      <c r="I127" s="33"/>
      <c r="J127" s="33"/>
      <c r="K127" s="34" t="str">
        <f aca="false">IF(OR(J127="",LEFT(H127,1)&lt;&gt;"B"),"",MOD(J127+TIME(1,40,0),1))</f>
        <v/>
      </c>
      <c r="L127" s="24"/>
    </row>
    <row r="128" customFormat="false" ht="26.85" hidden="false" customHeight="false" outlineLevel="0" collapsed="false">
      <c r="A128" s="12" t="s">
        <v>61</v>
      </c>
      <c r="B128" s="12" t="s">
        <v>67</v>
      </c>
      <c r="C128" s="12" t="s">
        <v>142</v>
      </c>
      <c r="D128" s="13" t="n">
        <v>2266</v>
      </c>
      <c r="E128" s="12" t="s">
        <v>269</v>
      </c>
      <c r="F128" s="12" t="str">
        <f aca="false">IFERROR(IF(INDEX(西日本第二ブロック!$J$5:$J$13,MATCH(B128&amp;"|"&amp;C128,西日本第二ブロック!$O$5:$O$13,0))="","未回答",INDEX(西日本第二ブロック!$J$5:$J$13,MATCH(B128&amp;"|"&amp;C128,西日本第二ブロック!$O$5:$O$13,0))),"未回答")</f>
        <v>未回答</v>
      </c>
      <c r="G128" s="24"/>
      <c r="H128" s="12" t="str">
        <f aca="false">IF(G128&lt;&gt;"",G128,F128)</f>
        <v>未回答</v>
      </c>
      <c r="I128" s="33"/>
      <c r="J128" s="33"/>
      <c r="K128" s="34" t="str">
        <f aca="false">IF(OR(J128="",LEFT(H128,1)&lt;&gt;"B"),"",MOD(J128+TIME(1,40,0),1))</f>
        <v/>
      </c>
      <c r="L128" s="24"/>
    </row>
    <row r="129" customFormat="false" ht="26.85" hidden="false" customHeight="false" outlineLevel="0" collapsed="false">
      <c r="A129" s="12" t="s">
        <v>61</v>
      </c>
      <c r="B129" s="12" t="s">
        <v>67</v>
      </c>
      <c r="C129" s="12" t="s">
        <v>142</v>
      </c>
      <c r="D129" s="13" t="n">
        <v>2283</v>
      </c>
      <c r="E129" s="12" t="s">
        <v>270</v>
      </c>
      <c r="F129" s="12" t="str">
        <f aca="false">IFERROR(IF(INDEX(西日本第二ブロック!$J$5:$J$13,MATCH(B129&amp;"|"&amp;C129,西日本第二ブロック!$O$5:$O$13,0))="","未回答",INDEX(西日本第二ブロック!$J$5:$J$13,MATCH(B129&amp;"|"&amp;C129,西日本第二ブロック!$O$5:$O$13,0))),"未回答")</f>
        <v>未回答</v>
      </c>
      <c r="G129" s="24"/>
      <c r="H129" s="12" t="str">
        <f aca="false">IF(G129&lt;&gt;"",G129,F129)</f>
        <v>未回答</v>
      </c>
      <c r="I129" s="33"/>
      <c r="J129" s="33"/>
      <c r="K129" s="34" t="str">
        <f aca="false">IF(OR(J129="",LEFT(H129,1)&lt;&gt;"B"),"",MOD(J129+TIME(1,40,0),1))</f>
        <v/>
      </c>
      <c r="L129" s="24"/>
    </row>
    <row r="130" customFormat="false" ht="26.85" hidden="false" customHeight="false" outlineLevel="0" collapsed="false">
      <c r="A130" s="12" t="s">
        <v>61</v>
      </c>
      <c r="B130" s="12" t="s">
        <v>67</v>
      </c>
      <c r="C130" s="12" t="s">
        <v>142</v>
      </c>
      <c r="D130" s="13" t="n">
        <v>2287</v>
      </c>
      <c r="E130" s="12" t="s">
        <v>271</v>
      </c>
      <c r="F130" s="12" t="str">
        <f aca="false">IFERROR(IF(INDEX(西日本第二ブロック!$J$5:$J$13,MATCH(B130&amp;"|"&amp;C130,西日本第二ブロック!$O$5:$O$13,0))="","未回答",INDEX(西日本第二ブロック!$J$5:$J$13,MATCH(B130&amp;"|"&amp;C130,西日本第二ブロック!$O$5:$O$13,0))),"未回答")</f>
        <v>未回答</v>
      </c>
      <c r="G130" s="24"/>
      <c r="H130" s="12" t="str">
        <f aca="false">IF(G130&lt;&gt;"",G130,F130)</f>
        <v>未回答</v>
      </c>
      <c r="I130" s="33"/>
      <c r="J130" s="33"/>
      <c r="K130" s="34" t="str">
        <f aca="false">IF(OR(J130="",LEFT(H130,1)&lt;&gt;"B"),"",MOD(J130+TIME(1,40,0),1))</f>
        <v/>
      </c>
      <c r="L130" s="24"/>
    </row>
    <row r="131" customFormat="false" ht="26.85" hidden="false" customHeight="false" outlineLevel="0" collapsed="false">
      <c r="A131" s="12" t="s">
        <v>61</v>
      </c>
      <c r="B131" s="12" t="s">
        <v>67</v>
      </c>
      <c r="C131" s="12" t="s">
        <v>142</v>
      </c>
      <c r="D131" s="13" t="n">
        <v>2335</v>
      </c>
      <c r="E131" s="12" t="s">
        <v>272</v>
      </c>
      <c r="F131" s="12" t="str">
        <f aca="false">IFERROR(IF(INDEX(西日本第二ブロック!$J$5:$J$13,MATCH(B131&amp;"|"&amp;C131,西日本第二ブロック!$O$5:$O$13,0))="","未回答",INDEX(西日本第二ブロック!$J$5:$J$13,MATCH(B131&amp;"|"&amp;C131,西日本第二ブロック!$O$5:$O$13,0))),"未回答")</f>
        <v>未回答</v>
      </c>
      <c r="G131" s="24"/>
      <c r="H131" s="12" t="str">
        <f aca="false">IF(G131&lt;&gt;"",G131,F131)</f>
        <v>未回答</v>
      </c>
      <c r="I131" s="33"/>
      <c r="J131" s="33"/>
      <c r="K131" s="34" t="str">
        <f aca="false">IF(OR(J131="",LEFT(H131,1)&lt;&gt;"B"),"",MOD(J131+TIME(1,40,0),1))</f>
        <v/>
      </c>
      <c r="L131" s="24"/>
    </row>
    <row r="132" customFormat="false" ht="26.85" hidden="false" customHeight="false" outlineLevel="0" collapsed="false">
      <c r="A132" s="12" t="s">
        <v>61</v>
      </c>
      <c r="B132" s="12" t="s">
        <v>67</v>
      </c>
      <c r="C132" s="12" t="s">
        <v>142</v>
      </c>
      <c r="D132" s="13" t="n">
        <v>2361</v>
      </c>
      <c r="E132" s="12" t="s">
        <v>273</v>
      </c>
      <c r="F132" s="12" t="str">
        <f aca="false">IFERROR(IF(INDEX(西日本第二ブロック!$J$5:$J$13,MATCH(B132&amp;"|"&amp;C132,西日本第二ブロック!$O$5:$O$13,0))="","未回答",INDEX(西日本第二ブロック!$J$5:$J$13,MATCH(B132&amp;"|"&amp;C132,西日本第二ブロック!$O$5:$O$13,0))),"未回答")</f>
        <v>未回答</v>
      </c>
      <c r="G132" s="24"/>
      <c r="H132" s="12" t="str">
        <f aca="false">IF(G132&lt;&gt;"",G132,F132)</f>
        <v>未回答</v>
      </c>
      <c r="I132" s="33"/>
      <c r="J132" s="33"/>
      <c r="K132" s="34" t="str">
        <f aca="false">IF(OR(J132="",LEFT(H132,1)&lt;&gt;"B"),"",MOD(J132+TIME(1,40,0),1))</f>
        <v/>
      </c>
      <c r="L132" s="24"/>
    </row>
    <row r="133" customFormat="false" ht="26.85" hidden="false" customHeight="false" outlineLevel="0" collapsed="false">
      <c r="A133" s="12" t="s">
        <v>61</v>
      </c>
      <c r="B133" s="12" t="s">
        <v>67</v>
      </c>
      <c r="C133" s="12" t="s">
        <v>142</v>
      </c>
      <c r="D133" s="13" t="n">
        <v>2372</v>
      </c>
      <c r="E133" s="12" t="s">
        <v>274</v>
      </c>
      <c r="F133" s="12" t="str">
        <f aca="false">IFERROR(IF(INDEX(西日本第二ブロック!$J$5:$J$13,MATCH(B133&amp;"|"&amp;C133,西日本第二ブロック!$O$5:$O$13,0))="","未回答",INDEX(西日本第二ブロック!$J$5:$J$13,MATCH(B133&amp;"|"&amp;C133,西日本第二ブロック!$O$5:$O$13,0))),"未回答")</f>
        <v>未回答</v>
      </c>
      <c r="G133" s="24"/>
      <c r="H133" s="12" t="str">
        <f aca="false">IF(G133&lt;&gt;"",G133,F133)</f>
        <v>未回答</v>
      </c>
      <c r="I133" s="33"/>
      <c r="J133" s="33"/>
      <c r="K133" s="34" t="str">
        <f aca="false">IF(OR(J133="",LEFT(H133,1)&lt;&gt;"B"),"",MOD(J133+TIME(1,40,0),1))</f>
        <v/>
      </c>
      <c r="L133" s="24"/>
    </row>
    <row r="134" customFormat="false" ht="26.85" hidden="false" customHeight="false" outlineLevel="0" collapsed="false">
      <c r="A134" s="12" t="s">
        <v>61</v>
      </c>
      <c r="B134" s="12" t="s">
        <v>67</v>
      </c>
      <c r="C134" s="12" t="s">
        <v>142</v>
      </c>
      <c r="D134" s="13" t="n">
        <v>2392</v>
      </c>
      <c r="E134" s="12" t="s">
        <v>275</v>
      </c>
      <c r="F134" s="12" t="str">
        <f aca="false">IFERROR(IF(INDEX(西日本第二ブロック!$J$5:$J$13,MATCH(B134&amp;"|"&amp;C134,西日本第二ブロック!$O$5:$O$13,0))="","未回答",INDEX(西日本第二ブロック!$J$5:$J$13,MATCH(B134&amp;"|"&amp;C134,西日本第二ブロック!$O$5:$O$13,0))),"未回答")</f>
        <v>未回答</v>
      </c>
      <c r="G134" s="24"/>
      <c r="H134" s="12" t="str">
        <f aca="false">IF(G134&lt;&gt;"",G134,F134)</f>
        <v>未回答</v>
      </c>
      <c r="I134" s="33"/>
      <c r="J134" s="33"/>
      <c r="K134" s="34" t="str">
        <f aca="false">IF(OR(J134="",LEFT(H134,1)&lt;&gt;"B"),"",MOD(J134+TIME(1,40,0),1))</f>
        <v/>
      </c>
      <c r="L134" s="24"/>
    </row>
  </sheetData>
  <autoFilter ref="A4:L134"/>
  <conditionalFormatting sqref="H5:H134">
    <cfRule type="expression" priority="2" aboveAverage="0" equalAverage="0" bottom="0" percent="0" rank="0" text="" dxfId="6">
      <formula>$H5="未回答"</formula>
    </cfRule>
  </conditionalFormatting>
  <dataValidations count="1">
    <dataValidation allowBlank="true" errorStyle="stop" operator="between" showDropDown="false" showErrorMessage="false" showInputMessage="false" sqref="G5:G134" type="list">
      <formula1>"A：23時完全閉店,B：最終入店から100分確保"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2026-10-06T09:58:44Z</dcterms:created>
  <dc:creator>openpyxl</dc:creator>
  <dc:description/>
  <dc:language>en-US</dc:language>
  <cp:lastModifiedBy/>
  <dcterms:modified xsi:type="dcterms:W3CDTF">2026-10-06T09:58:44Z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